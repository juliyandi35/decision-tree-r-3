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Tugas -,-\29-06-2024\"/>
    </mc:Choice>
  </mc:AlternateContent>
  <xr:revisionPtr revIDLastSave="0" documentId="13_ncr:1_{0800604F-436F-4EC1-892C-B4A0E171D217}" xr6:coauthVersionLast="47" xr6:coauthVersionMax="47" xr10:uidLastSave="{00000000-0000-0000-0000-000000000000}"/>
  <bookViews>
    <workbookView xWindow="-108" yWindow="-108" windowWidth="23256" windowHeight="13176" activeTab="1" xr2:uid="{35597460-4D88-4FD1-BC7A-D63A7381E25A}"/>
  </bookViews>
  <sheets>
    <sheet name="Data_Fiks" sheetId="3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  <c r="C6" i="4"/>
  <c r="C34" i="4"/>
  <c r="C17" i="4"/>
  <c r="C9" i="4"/>
  <c r="C5" i="4"/>
  <c r="D3" i="4"/>
  <c r="C39" i="4"/>
  <c r="D39" i="4"/>
  <c r="E39" i="4"/>
  <c r="C35" i="4"/>
  <c r="D35" i="4"/>
  <c r="E35" i="4"/>
  <c r="C36" i="4"/>
  <c r="D36" i="4"/>
  <c r="E36" i="4"/>
  <c r="C37" i="4"/>
  <c r="D37" i="4"/>
  <c r="E37" i="4"/>
  <c r="C38" i="4"/>
  <c r="D38" i="4"/>
  <c r="E38" i="4"/>
  <c r="E34" i="4"/>
  <c r="D34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D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E20" i="4"/>
  <c r="D20" i="4"/>
  <c r="C20" i="4"/>
  <c r="E18" i="4"/>
  <c r="D18" i="4"/>
  <c r="C18" i="4"/>
  <c r="E17" i="4"/>
  <c r="D17" i="4"/>
  <c r="D10" i="4"/>
  <c r="E10" i="4"/>
  <c r="D11" i="4"/>
  <c r="E11" i="4"/>
  <c r="D12" i="4"/>
  <c r="E12" i="4"/>
  <c r="D13" i="4"/>
  <c r="E13" i="4"/>
  <c r="D14" i="4"/>
  <c r="E14" i="4"/>
  <c r="D15" i="4"/>
  <c r="E15" i="4"/>
  <c r="E9" i="4"/>
  <c r="D9" i="4"/>
  <c r="D5" i="4"/>
  <c r="C10" i="4"/>
  <c r="C11" i="4"/>
  <c r="C12" i="4"/>
  <c r="C13" i="4"/>
  <c r="C14" i="4"/>
  <c r="C15" i="4"/>
  <c r="E5" i="4"/>
  <c r="E7" i="4"/>
  <c r="E6" i="4"/>
  <c r="D7" i="4"/>
  <c r="D6" i="4"/>
  <c r="E3" i="4"/>
  <c r="F35" i="4" l="1"/>
  <c r="F25" i="4"/>
  <c r="F10" i="4"/>
  <c r="F21" i="4"/>
  <c r="F7" i="4"/>
  <c r="F12" i="4"/>
  <c r="F28" i="4"/>
  <c r="F36" i="4"/>
  <c r="F23" i="4"/>
  <c r="F15" i="4"/>
  <c r="F17" i="4"/>
  <c r="F9" i="4"/>
  <c r="F18" i="4"/>
  <c r="F11" i="4"/>
  <c r="F14" i="4"/>
  <c r="F6" i="4"/>
  <c r="F3" i="4"/>
  <c r="F13" i="4"/>
  <c r="F20" i="4"/>
  <c r="F34" i="4"/>
  <c r="F5" i="4"/>
  <c r="G4" i="4" l="1"/>
  <c r="G33" i="4"/>
  <c r="G16" i="4"/>
  <c r="G8" i="4"/>
  <c r="G1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9C2E8D-53D9-4111-9D72-B65A5918E7B7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<sst xmlns="http://schemas.openxmlformats.org/spreadsheetml/2006/main" count="17227" uniqueCount="16461">
  <si>
    <t>age</t>
  </si>
  <si>
    <t>workclass</t>
  </si>
  <si>
    <t>fnlwgt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</si>
  <si>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</si>
  <si>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</si>
  <si>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</si>
  <si>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</si>
  <si>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</si>
  <si>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</si>
  <si>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</si>
  <si>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capital-gain</t>
  </si>
  <si>
    <t>capital-loss</t>
  </si>
  <si>
    <t>hours-per-week</t>
  </si>
  <si>
    <t>native-country</t>
  </si>
  <si>
    <t>income</t>
  </si>
  <si>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</si>
  <si>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</si>
  <si>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</si>
  <si>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</si>
  <si>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</si>
  <si>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</si>
  <si>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</si>
  <si>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</si>
  <si>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&lt;=50K</t>
  </si>
  <si>
    <t>Self-emp-not-inc</t>
  </si>
  <si>
    <t>Married-civ-spouse</t>
  </si>
  <si>
    <t>Exec-managerial</t>
  </si>
  <si>
    <t>Husband</t>
  </si>
  <si>
    <t>Private</t>
  </si>
  <si>
    <t>HS-grad</t>
  </si>
  <si>
    <t>Divorced</t>
  </si>
  <si>
    <t>Handlers-cleaners</t>
  </si>
  <si>
    <t>11th</t>
  </si>
  <si>
    <t>Black</t>
  </si>
  <si>
    <t>Prof-specialty</t>
  </si>
  <si>
    <t>Wife</t>
  </si>
  <si>
    <t>Female</t>
  </si>
  <si>
    <t>Cuba</t>
  </si>
  <si>
    <t>Masters</t>
  </si>
  <si>
    <t>9th</t>
  </si>
  <si>
    <t>Married-spouse-absent</t>
  </si>
  <si>
    <t>Other-service</t>
  </si>
  <si>
    <t>Jamaica</t>
  </si>
  <si>
    <t>&gt;50K</t>
  </si>
  <si>
    <t>Some-college</t>
  </si>
  <si>
    <t>Asian-Pac-Islander</t>
  </si>
  <si>
    <t>India</t>
  </si>
  <si>
    <t>Own-child</t>
  </si>
  <si>
    <t>Assoc-acdm</t>
  </si>
  <si>
    <t>Sales</t>
  </si>
  <si>
    <t>Assoc-voc</t>
  </si>
  <si>
    <t>Craft-repair</t>
  </si>
  <si>
    <t>?</t>
  </si>
  <si>
    <t>7th-8th</t>
  </si>
  <si>
    <t>Transport-moving</t>
  </si>
  <si>
    <t>Amer-Indian-Eskimo</t>
  </si>
  <si>
    <t>Mexico</t>
  </si>
  <si>
    <t>Farming-fishing</t>
  </si>
  <si>
    <t>Machine-op-inspct</t>
  </si>
  <si>
    <t>Unmarried</t>
  </si>
  <si>
    <t>Doctorate</t>
  </si>
  <si>
    <t>Separated</t>
  </si>
  <si>
    <t>Federal-gov</t>
  </si>
  <si>
    <t>Tech-support</t>
  </si>
  <si>
    <t>Local-gov</t>
  </si>
  <si>
    <t>South</t>
  </si>
  <si>
    <t>Protective-serv</t>
  </si>
  <si>
    <t>Puerto-Rico</t>
  </si>
  <si>
    <t>Married-AF-spouse</t>
  </si>
  <si>
    <t>Other</t>
  </si>
  <si>
    <t>Prof-school</t>
  </si>
  <si>
    <t>Honduras</t>
  </si>
  <si>
    <t>Self-emp-inc</t>
  </si>
  <si>
    <t>5th-6th</t>
  </si>
  <si>
    <t>Other-relative</t>
  </si>
  <si>
    <t>10th</t>
  </si>
  <si>
    <t>England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</si>
  <si>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</si>
  <si>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</si>
  <si>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</si>
  <si>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</si>
  <si>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</si>
  <si>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</si>
  <si>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</si>
  <si>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</si>
  <si>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</si>
  <si>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</si>
  <si>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</si>
  <si>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</si>
  <si>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</si>
  <si>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</si>
  <si>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</si>
  <si>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</si>
  <si>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</si>
  <si>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</si>
  <si>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</si>
  <si>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</si>
  <si>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</si>
  <si>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</si>
  <si>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</si>
  <si>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</si>
  <si>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</si>
  <si>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</si>
  <si>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</si>
  <si>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</si>
  <si>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</si>
  <si>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</si>
  <si>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</si>
  <si>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</si>
  <si>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</si>
  <si>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</si>
  <si>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</si>
  <si>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</si>
  <si>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</si>
  <si>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</si>
  <si>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</si>
  <si>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</si>
  <si>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</si>
  <si>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</si>
  <si>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</si>
  <si>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</si>
  <si>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</si>
  <si>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</si>
  <si>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</si>
  <si>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</si>
  <si>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</si>
  <si>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</si>
  <si>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</si>
  <si>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</si>
  <si>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</si>
  <si>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</si>
  <si>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</si>
  <si>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</si>
  <si>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</si>
  <si>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</si>
  <si>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</si>
  <si>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</si>
  <si>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</si>
  <si>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</si>
  <si>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</si>
  <si>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</si>
  <si>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</si>
  <si>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</si>
  <si>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</si>
  <si>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</si>
  <si>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</si>
  <si>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</si>
  <si>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</si>
  <si>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</si>
  <si>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</si>
  <si>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</si>
  <si>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</si>
  <si>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</si>
  <si>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</si>
  <si>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</si>
  <si>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</si>
  <si>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</si>
  <si>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</si>
  <si>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</si>
  <si>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</si>
  <si>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</si>
  <si>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</si>
  <si>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</si>
  <si>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</si>
  <si>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</si>
  <si>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</si>
  <si>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</si>
  <si>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</si>
  <si>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</si>
  <si>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</si>
  <si>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</si>
  <si>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</si>
  <si>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</si>
  <si>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</si>
  <si>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</si>
  <si>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</si>
  <si>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</si>
  <si>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</si>
  <si>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</si>
  <si>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</si>
  <si>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</si>
  <si>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</si>
  <si>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</si>
  <si>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</si>
  <si>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</si>
  <si>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</si>
  <si>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</si>
  <si>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</si>
  <si>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</si>
  <si>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</si>
  <si>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</si>
  <si>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</si>
  <si>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</si>
  <si>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</si>
  <si>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</si>
  <si>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</si>
  <si>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</si>
  <si>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</si>
  <si>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</si>
  <si>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</si>
  <si>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</si>
  <si>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</si>
  <si>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</si>
  <si>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</si>
  <si>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</si>
  <si>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</si>
  <si>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</si>
  <si>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</si>
  <si>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</si>
  <si>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</si>
  <si>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</si>
  <si>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</si>
  <si>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</si>
  <si>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</si>
  <si>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</si>
  <si>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</si>
  <si>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</si>
  <si>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</si>
  <si>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</si>
  <si>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</si>
  <si>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</si>
  <si>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</si>
  <si>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</si>
  <si>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</si>
  <si>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</si>
  <si>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</si>
  <si>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</si>
  <si>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</si>
  <si>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</si>
  <si>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</si>
  <si>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</si>
  <si>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</si>
  <si>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</si>
  <si>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</si>
  <si>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</si>
  <si>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</si>
  <si>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</si>
  <si>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</si>
  <si>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</si>
  <si>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</si>
  <si>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</si>
  <si>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</si>
  <si>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</si>
  <si>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</si>
  <si>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</si>
  <si>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</si>
  <si>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</si>
  <si>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</si>
  <si>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</si>
  <si>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</si>
  <si>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</si>
  <si>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</si>
  <si>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</si>
  <si>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</si>
  <si>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</si>
  <si>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</si>
  <si>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</si>
  <si>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</si>
  <si>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</si>
  <si>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</si>
  <si>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</si>
  <si>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</si>
  <si>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</si>
  <si>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</si>
  <si>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</si>
  <si>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</si>
  <si>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</si>
  <si>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</si>
  <si>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</si>
  <si>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</si>
  <si>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</si>
  <si>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</si>
  <si>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</si>
  <si>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</si>
  <si>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</si>
  <si>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</si>
  <si>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</si>
  <si>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</si>
  <si>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</si>
  <si>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</si>
  <si>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</si>
  <si>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</si>
  <si>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</si>
  <si>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</si>
  <si>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</si>
  <si>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</si>
  <si>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</si>
  <si>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</si>
  <si>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</si>
  <si>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</si>
  <si>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</si>
  <si>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</si>
  <si>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</si>
  <si>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</si>
  <si>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</si>
  <si>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</si>
  <si>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</si>
  <si>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</si>
  <si>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</si>
  <si>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</si>
  <si>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</si>
  <si>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</si>
  <si>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</si>
  <si>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</si>
  <si>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</si>
  <si>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</si>
  <si>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</si>
  <si>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</si>
  <si>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</si>
  <si>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</si>
  <si>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</si>
  <si>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</si>
  <si>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</si>
  <si>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</si>
  <si>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</si>
  <si>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</si>
  <si>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</si>
  <si>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</si>
  <si>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</si>
  <si>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</si>
  <si>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</si>
  <si>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</si>
  <si>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</si>
  <si>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</si>
  <si>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</si>
  <si>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</si>
  <si>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</si>
  <si>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</si>
  <si>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</si>
  <si>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</si>
  <si>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</si>
  <si>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</si>
  <si>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</si>
  <si>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</si>
  <si>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</si>
  <si>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</si>
  <si>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</si>
  <si>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</si>
  <si>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</si>
  <si>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</si>
  <si>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</si>
  <si>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</si>
  <si>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</si>
  <si>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</si>
  <si>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</si>
  <si>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</si>
  <si>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</si>
  <si>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</si>
  <si>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</si>
  <si>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</si>
  <si>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</si>
  <si>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</si>
  <si>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</si>
  <si>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</si>
  <si>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</si>
  <si>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</si>
  <si>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</si>
  <si>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</si>
  <si>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</si>
  <si>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</si>
  <si>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</si>
  <si>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</si>
  <si>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</si>
  <si>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</si>
  <si>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</si>
  <si>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</si>
  <si>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</si>
  <si>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</si>
  <si>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</si>
  <si>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</si>
  <si>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</si>
  <si>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</si>
  <si>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</si>
  <si>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</si>
  <si>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</si>
  <si>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</si>
  <si>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</si>
  <si>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</si>
  <si>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</si>
  <si>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</si>
  <si>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</si>
  <si>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</si>
  <si>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</si>
  <si>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</si>
  <si>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</si>
  <si>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</si>
  <si>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</si>
  <si>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</si>
  <si>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</si>
  <si>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</si>
  <si>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</si>
  <si>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</si>
  <si>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</si>
  <si>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</si>
  <si>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</si>
  <si>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</si>
  <si>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</si>
  <si>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</si>
  <si>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</si>
  <si>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</si>
  <si>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</si>
  <si>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</si>
  <si>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</si>
  <si>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</si>
  <si>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</si>
  <si>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</si>
  <si>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</si>
  <si>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</si>
  <si>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</si>
  <si>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</si>
  <si>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</si>
  <si>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</si>
  <si>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</si>
  <si>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</si>
  <si>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</si>
  <si>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</si>
  <si>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</si>
  <si>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</si>
  <si>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</si>
  <si>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</si>
  <si>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</si>
  <si>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</si>
  <si>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</si>
  <si>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</si>
  <si>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</si>
  <si>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</si>
  <si>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</si>
  <si>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</si>
  <si>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</si>
  <si>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</si>
  <si>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</si>
  <si>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</si>
  <si>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</si>
  <si>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</si>
  <si>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</si>
  <si>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</si>
  <si>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</si>
  <si>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</si>
  <si>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</si>
  <si>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</si>
  <si>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</si>
  <si>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</si>
  <si>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</si>
  <si>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</si>
  <si>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</si>
  <si>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</si>
  <si>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</si>
  <si>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</si>
  <si>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</si>
  <si>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</si>
  <si>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</si>
  <si>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</si>
  <si>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</si>
  <si>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</si>
  <si>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</si>
  <si>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</si>
  <si>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</si>
  <si>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</si>
  <si>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</si>
  <si>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</si>
  <si>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</si>
  <si>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</si>
  <si>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</si>
  <si>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</si>
  <si>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</si>
  <si>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</si>
  <si>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</si>
  <si>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</si>
  <si>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</si>
  <si>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</si>
  <si>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</si>
  <si>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</si>
  <si>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</si>
  <si>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</si>
  <si>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</si>
  <si>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</si>
  <si>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</si>
  <si>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</si>
  <si>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</si>
  <si>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</si>
  <si>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</si>
  <si>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</si>
  <si>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</si>
  <si>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</si>
  <si>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</si>
  <si>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</si>
  <si>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</si>
  <si>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</si>
  <si>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</si>
  <si>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</si>
  <si>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</si>
  <si>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</si>
  <si>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</si>
  <si>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</si>
  <si>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</si>
  <si>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</si>
  <si>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</si>
  <si>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</si>
  <si>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</si>
  <si>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</si>
  <si>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</si>
  <si>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</si>
  <si>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</si>
  <si>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</si>
  <si>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</si>
  <si>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</si>
  <si>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</si>
  <si>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</si>
  <si>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</si>
  <si>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</si>
  <si>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</si>
  <si>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</si>
  <si>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</si>
  <si>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</si>
  <si>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</si>
  <si>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</si>
  <si>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</si>
  <si>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</si>
  <si>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</si>
  <si>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</si>
  <si>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</si>
  <si>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</si>
  <si>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</si>
  <si>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</si>
  <si>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</si>
  <si>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</si>
  <si>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</si>
  <si>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</si>
  <si>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</si>
  <si>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</si>
  <si>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</si>
  <si>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</si>
  <si>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</si>
  <si>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</si>
  <si>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</si>
  <si>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</si>
  <si>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</si>
  <si>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</si>
  <si>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</si>
  <si>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</si>
  <si>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</si>
  <si>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</si>
  <si>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</si>
  <si>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</si>
  <si>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</si>
  <si>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</si>
  <si>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</si>
  <si>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</si>
  <si>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</si>
  <si>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</si>
  <si>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</si>
  <si>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</si>
  <si>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</si>
  <si>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</si>
  <si>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</si>
  <si>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</si>
  <si>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</si>
  <si>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</si>
  <si>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</si>
  <si>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</si>
  <si>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</si>
  <si>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</si>
  <si>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</si>
  <si>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</si>
  <si>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</si>
  <si>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</si>
  <si>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</si>
  <si>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</si>
  <si>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</si>
  <si>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</si>
  <si>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</si>
  <si>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</si>
  <si>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</si>
  <si>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</si>
  <si>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</si>
  <si>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</si>
  <si>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</si>
  <si>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</si>
  <si>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</si>
  <si>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</si>
  <si>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</si>
  <si>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</si>
  <si>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</si>
  <si>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</si>
  <si>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</si>
  <si>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</si>
  <si>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</si>
  <si>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</si>
  <si>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</si>
  <si>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</si>
  <si>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</si>
  <si>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</si>
  <si>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</si>
  <si>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</si>
  <si>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</si>
  <si>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</si>
  <si>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</si>
  <si>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</si>
  <si>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</si>
  <si>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</si>
  <si>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</si>
  <si>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</si>
  <si>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</si>
  <si>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</si>
  <si>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</si>
  <si>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</si>
  <si>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</si>
  <si>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</si>
  <si>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</si>
  <si>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</si>
  <si>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</si>
  <si>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</si>
  <si>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</si>
  <si>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</si>
  <si>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</si>
  <si>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</si>
  <si>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</si>
  <si>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</si>
  <si>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</si>
  <si>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</si>
  <si>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</si>
  <si>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</si>
  <si>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</si>
  <si>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</si>
  <si>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</si>
  <si>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</si>
  <si>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</si>
  <si>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</si>
  <si>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</si>
  <si>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</si>
  <si>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</si>
  <si>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</si>
  <si>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</si>
  <si>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</si>
  <si>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</si>
  <si>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</si>
  <si>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</si>
  <si>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</si>
  <si>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</si>
  <si>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</si>
  <si>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</si>
  <si>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</si>
  <si>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</si>
  <si>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</si>
  <si>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</si>
  <si>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</si>
  <si>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</si>
  <si>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</si>
  <si>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</si>
  <si>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</si>
  <si>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</si>
  <si>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</si>
  <si>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</si>
  <si>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</si>
  <si>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</si>
  <si>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</si>
  <si>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</si>
  <si>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</si>
  <si>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</si>
  <si>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</si>
  <si>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</si>
  <si>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</si>
  <si>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</si>
  <si>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</si>
  <si>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</si>
  <si>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</si>
  <si>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</si>
  <si>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</si>
  <si>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</si>
  <si>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</si>
  <si>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</si>
  <si>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</si>
  <si>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</si>
  <si>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</si>
  <si>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</si>
  <si>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</si>
  <si>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</si>
  <si>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</si>
  <si>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</si>
  <si>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</si>
  <si>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</si>
  <si>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</si>
  <si>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</si>
  <si>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</si>
  <si>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</si>
  <si>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</si>
  <si>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</si>
  <si>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</si>
  <si>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</si>
  <si>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</si>
  <si>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</si>
  <si>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</si>
  <si>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</si>
  <si>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</si>
  <si>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</si>
  <si>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</si>
  <si>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</si>
  <si>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</si>
  <si>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</si>
  <si>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</si>
  <si>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</si>
  <si>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</si>
  <si>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</si>
  <si>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</si>
  <si>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</si>
  <si>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</si>
  <si>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</si>
  <si>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</si>
  <si>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</si>
  <si>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</si>
  <si>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</si>
  <si>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</si>
  <si>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</si>
  <si>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</si>
  <si>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</si>
  <si>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</si>
  <si>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</si>
  <si>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</si>
  <si>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</si>
  <si>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</si>
  <si>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</si>
  <si>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</si>
  <si>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</si>
  <si>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</si>
  <si>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</si>
  <si>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</si>
  <si>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</si>
  <si>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</si>
  <si>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</si>
  <si>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</si>
  <si>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</si>
  <si>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</si>
  <si>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</si>
  <si>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</si>
  <si>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</si>
  <si>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</si>
  <si>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</si>
  <si>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</si>
  <si>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</si>
  <si>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</si>
  <si>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</si>
  <si>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</si>
  <si>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</si>
  <si>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</si>
  <si>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</si>
  <si>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</si>
  <si>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</si>
  <si>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</si>
  <si>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</si>
  <si>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</si>
  <si>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</si>
  <si>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</si>
  <si>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</si>
  <si>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</si>
  <si>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</si>
  <si>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</si>
  <si>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</si>
  <si>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</si>
  <si>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</si>
  <si>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</si>
  <si>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</si>
  <si>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</si>
  <si>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</si>
  <si>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</si>
  <si>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</si>
  <si>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</si>
  <si>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</si>
  <si>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</si>
  <si>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</si>
  <si>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</si>
  <si>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</si>
  <si>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</si>
  <si>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</si>
  <si>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</si>
  <si>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</si>
  <si>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</si>
  <si>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</si>
  <si>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</si>
  <si>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</si>
  <si>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</si>
  <si>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</si>
  <si>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</si>
  <si>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</si>
  <si>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</si>
  <si>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</si>
  <si>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</si>
  <si>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</si>
  <si>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</si>
  <si>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</si>
  <si>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</si>
  <si>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</si>
  <si>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</si>
  <si>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</si>
  <si>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</si>
  <si>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</si>
  <si>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</si>
  <si>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</si>
  <si>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</si>
  <si>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</si>
  <si>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</si>
  <si>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</si>
  <si>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</si>
  <si>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</si>
  <si>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</si>
  <si>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</si>
  <si>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</si>
  <si>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</si>
  <si>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</si>
  <si>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</si>
  <si>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</si>
  <si>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</si>
  <si>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</si>
  <si>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</si>
  <si>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</si>
  <si>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</si>
  <si>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</si>
  <si>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</si>
  <si>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</si>
  <si>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</si>
  <si>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</si>
  <si>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</si>
  <si>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</si>
  <si>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</si>
  <si>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</si>
  <si>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</si>
  <si>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</si>
  <si>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</si>
  <si>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</si>
  <si>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</si>
  <si>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</si>
  <si>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</si>
  <si>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</si>
  <si>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</si>
  <si>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</si>
  <si>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</si>
  <si>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</si>
  <si>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</si>
  <si>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</si>
  <si>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</si>
  <si>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</si>
  <si>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</si>
  <si>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</si>
  <si>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</si>
  <si>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</si>
  <si>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</si>
  <si>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</si>
  <si>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</si>
  <si>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</si>
  <si>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</si>
  <si>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</si>
  <si>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</si>
  <si>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</si>
  <si>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</si>
  <si>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</si>
  <si>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</si>
  <si>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</si>
  <si>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</si>
  <si>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</si>
  <si>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</si>
  <si>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</si>
  <si>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</si>
  <si>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</si>
  <si>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</si>
  <si>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</si>
  <si>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</si>
  <si>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</si>
  <si>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</si>
  <si>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</si>
  <si>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</si>
  <si>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</si>
  <si>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</si>
  <si>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</si>
  <si>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</si>
  <si>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</si>
  <si>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</si>
  <si>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</si>
  <si>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</si>
  <si>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</si>
  <si>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</si>
  <si>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</si>
  <si>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</si>
  <si>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</si>
  <si>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</si>
  <si>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</si>
  <si>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</si>
  <si>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</si>
  <si>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</si>
  <si>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</si>
  <si>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</si>
  <si>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</si>
  <si>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</si>
  <si>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</si>
  <si>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</si>
  <si>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</si>
  <si>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</si>
  <si>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</si>
  <si>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</si>
  <si>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</si>
  <si>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</si>
  <si>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</si>
  <si>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</si>
  <si>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</si>
  <si>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</si>
  <si>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</si>
  <si>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</si>
  <si>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</si>
  <si>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</si>
  <si>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</si>
  <si>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</si>
  <si>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</si>
  <si>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</si>
  <si>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</si>
  <si>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</si>
  <si>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</si>
  <si>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</si>
  <si>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</si>
  <si>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</si>
  <si>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</si>
  <si>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</si>
  <si>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</si>
  <si>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</si>
  <si>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</si>
  <si>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</si>
  <si>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</si>
  <si>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</si>
  <si>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</si>
  <si>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</si>
  <si>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</si>
  <si>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</si>
  <si>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</si>
  <si>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</si>
  <si>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</si>
  <si>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</si>
  <si>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</si>
  <si>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</si>
  <si>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</si>
  <si>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</si>
  <si>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</si>
  <si>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</si>
  <si>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</si>
  <si>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</si>
  <si>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</si>
  <si>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</si>
  <si>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</si>
  <si>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</si>
  <si>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</si>
  <si>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</si>
  <si>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</si>
  <si>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</si>
  <si>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</si>
  <si>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</si>
  <si>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</si>
  <si>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</si>
  <si>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</si>
  <si>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</si>
  <si>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</si>
  <si>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</si>
  <si>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</si>
  <si>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</si>
  <si>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</si>
  <si>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</si>
  <si>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</si>
  <si>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</si>
  <si>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</si>
  <si>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</si>
  <si>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</si>
  <si>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</si>
  <si>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</si>
  <si>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</si>
  <si>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</si>
  <si>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</si>
  <si>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</si>
  <si>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</si>
  <si>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</si>
  <si>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</si>
  <si>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</si>
  <si>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</si>
  <si>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</si>
  <si>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</si>
  <si>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</si>
  <si>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</si>
  <si>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</si>
  <si>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</si>
  <si>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</si>
  <si>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</si>
  <si>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</si>
  <si>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</si>
  <si>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</si>
  <si>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</si>
  <si>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</si>
  <si>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</si>
  <si>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</si>
  <si>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</si>
  <si>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</si>
  <si>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</si>
  <si>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</si>
  <si>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</si>
  <si>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</si>
  <si>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</si>
  <si>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</si>
  <si>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</si>
  <si>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</si>
  <si>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</si>
  <si>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</si>
  <si>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</si>
  <si>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</si>
  <si>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</si>
  <si>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</si>
  <si>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</si>
  <si>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</si>
  <si>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</si>
  <si>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</si>
  <si>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</si>
  <si>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</si>
  <si>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</si>
  <si>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</si>
  <si>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</si>
  <si>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</si>
  <si>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</si>
  <si>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</si>
  <si>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</si>
  <si>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</si>
  <si>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</si>
  <si>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</si>
  <si>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</si>
  <si>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</si>
  <si>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</si>
  <si>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</si>
  <si>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</si>
  <si>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</si>
  <si>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</si>
  <si>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</si>
  <si>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</si>
  <si>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</si>
  <si>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</si>
  <si>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</si>
  <si>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</si>
  <si>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</si>
  <si>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</si>
  <si>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</si>
  <si>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</si>
  <si>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</si>
  <si>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</si>
  <si>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</si>
  <si>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</si>
  <si>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</si>
  <si>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</si>
  <si>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</si>
  <si>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</si>
  <si>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</si>
  <si>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</si>
  <si>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</si>
  <si>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</si>
  <si>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</si>
  <si>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</si>
  <si>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</si>
  <si>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</si>
  <si>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</si>
  <si>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</si>
  <si>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</si>
  <si>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</si>
  <si>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</si>
  <si>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</si>
  <si>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</si>
  <si>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</si>
  <si>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</si>
  <si>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</si>
  <si>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</si>
  <si>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</si>
  <si>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</si>
  <si>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</si>
  <si>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</si>
  <si>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</si>
  <si>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</si>
  <si>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</si>
  <si>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</si>
  <si>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</si>
  <si>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</si>
  <si>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</si>
  <si>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</si>
  <si>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</si>
  <si>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</si>
  <si>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</si>
  <si>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</si>
  <si>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</si>
  <si>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</si>
  <si>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</si>
  <si>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</si>
  <si>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</si>
  <si>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</si>
  <si>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</si>
  <si>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</si>
  <si>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</si>
  <si>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</si>
  <si>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</si>
  <si>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</si>
  <si>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</si>
  <si>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</si>
  <si>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</si>
  <si>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</si>
  <si>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</si>
  <si>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</si>
  <si>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</si>
  <si>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</si>
  <si>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</si>
  <si>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</si>
  <si>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</si>
  <si>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</si>
  <si>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</si>
  <si>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</si>
  <si>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</si>
  <si>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</si>
  <si>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</si>
  <si>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</si>
  <si>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</si>
  <si>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</si>
  <si>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</si>
  <si>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</si>
  <si>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</si>
  <si>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</si>
  <si>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</si>
  <si>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</si>
  <si>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</si>
  <si>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</si>
  <si>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</si>
  <si>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</si>
  <si>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</si>
  <si>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</si>
  <si>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</si>
  <si>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</si>
  <si>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</si>
  <si>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</si>
  <si>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</si>
  <si>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</si>
  <si>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</si>
  <si>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</si>
  <si>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</si>
  <si>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</si>
  <si>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</si>
  <si>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</si>
  <si>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</si>
  <si>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</si>
  <si>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</si>
  <si>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</si>
  <si>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</si>
  <si>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</si>
  <si>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</si>
  <si>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</si>
  <si>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</si>
  <si>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</si>
  <si>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</si>
  <si>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</si>
  <si>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</si>
  <si>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</si>
  <si>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</si>
  <si>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</si>
  <si>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</si>
  <si>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</si>
  <si>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</si>
  <si>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</si>
  <si>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</si>
  <si>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</si>
  <si>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</si>
  <si>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</si>
  <si>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</si>
  <si>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</si>
  <si>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</si>
  <si>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</si>
  <si>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</si>
  <si>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</si>
  <si>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</si>
  <si>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</si>
  <si>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</si>
  <si>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</si>
  <si>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</si>
  <si>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</si>
  <si>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</si>
  <si>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</si>
  <si>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</si>
  <si>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</si>
  <si>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</si>
  <si>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</si>
  <si>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</si>
  <si>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</si>
  <si>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</si>
  <si>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</si>
  <si>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</si>
  <si>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</si>
  <si>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</si>
  <si>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</si>
  <si>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</si>
  <si>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</si>
  <si>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</si>
  <si>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</si>
  <si>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</si>
  <si>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</si>
  <si>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</si>
  <si>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</si>
  <si>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</si>
  <si>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</si>
  <si>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</si>
  <si>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</si>
  <si>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</si>
  <si>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</si>
  <si>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</si>
  <si>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</si>
  <si>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</si>
  <si>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</si>
  <si>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</si>
  <si>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</si>
  <si>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</si>
  <si>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</si>
  <si>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</si>
  <si>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</si>
  <si>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</si>
  <si>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</si>
  <si>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</si>
  <si>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</si>
  <si>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</si>
  <si>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</si>
  <si>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</si>
  <si>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</si>
  <si>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</si>
  <si>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</si>
  <si>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</si>
  <si>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</si>
  <si>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</si>
  <si>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</si>
  <si>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</si>
  <si>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</si>
  <si>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</si>
  <si>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</si>
  <si>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</si>
  <si>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</si>
  <si>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</si>
  <si>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</si>
  <si>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</si>
  <si>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</si>
  <si>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</si>
  <si>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</si>
  <si>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</si>
  <si>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</si>
  <si>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</si>
  <si>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</si>
  <si>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</si>
  <si>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</si>
  <si>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</si>
  <si>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</si>
  <si>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</si>
  <si>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</si>
  <si>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</si>
  <si>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</si>
  <si>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</si>
  <si>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</si>
  <si>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</si>
  <si>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</si>
  <si>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</si>
  <si>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</si>
  <si>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</si>
  <si>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</si>
  <si>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</si>
  <si>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</si>
  <si>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</si>
  <si>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</si>
  <si>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</si>
  <si>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</si>
  <si>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</si>
  <si>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</si>
  <si>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</si>
  <si>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</si>
  <si>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</si>
  <si>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</si>
  <si>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</si>
  <si>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</si>
  <si>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</si>
  <si>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</si>
  <si>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</si>
  <si>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</si>
  <si>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</si>
  <si>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</si>
  <si>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</si>
  <si>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</si>
  <si>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</si>
  <si>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</si>
  <si>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</si>
  <si>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</si>
  <si>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</si>
  <si>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</si>
  <si>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</si>
  <si>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</si>
  <si>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</si>
  <si>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</si>
  <si>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</si>
  <si>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</si>
  <si>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</si>
  <si>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</si>
  <si>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</si>
  <si>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</si>
  <si>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</si>
  <si>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</si>
  <si>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</si>
  <si>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</si>
  <si>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</si>
  <si>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</si>
  <si>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</si>
  <si>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</si>
  <si>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</si>
  <si>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</si>
  <si>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</si>
  <si>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</si>
  <si>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</si>
  <si>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</si>
  <si>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</si>
  <si>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</si>
  <si>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</si>
  <si>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</si>
  <si>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</si>
  <si>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</si>
  <si>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</si>
  <si>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</si>
  <si>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</si>
  <si>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</si>
  <si>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</si>
  <si>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</si>
  <si>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</si>
  <si>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</si>
  <si>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</si>
  <si>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</si>
  <si>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</si>
  <si>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</si>
  <si>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</si>
  <si>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</si>
  <si>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</si>
  <si>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</si>
  <si>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</si>
  <si>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</si>
  <si>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</si>
  <si>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</si>
  <si>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</si>
  <si>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</si>
  <si>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</si>
  <si>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</si>
  <si>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</si>
  <si>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</si>
  <si>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</si>
  <si>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</si>
  <si>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</si>
  <si>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</si>
  <si>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</si>
  <si>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</si>
  <si>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</si>
  <si>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</si>
  <si>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</si>
  <si>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</si>
  <si>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</si>
  <si>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</si>
  <si>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</si>
  <si>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</si>
  <si>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</si>
  <si>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</si>
  <si>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</si>
  <si>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</si>
  <si>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</si>
  <si>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</si>
  <si>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</si>
  <si>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</si>
  <si>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</si>
  <si>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</si>
  <si>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</si>
  <si>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</si>
  <si>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</si>
  <si>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</si>
  <si>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</si>
  <si>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</si>
  <si>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</si>
  <si>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</si>
  <si>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</si>
  <si>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</si>
  <si>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</si>
  <si>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</si>
  <si>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</si>
  <si>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</si>
  <si>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</si>
  <si>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</si>
  <si>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</si>
  <si>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</si>
  <si>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</si>
  <si>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</si>
  <si>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</si>
  <si>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</si>
  <si>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</si>
  <si>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</si>
  <si>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</si>
  <si>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</si>
  <si>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</si>
  <si>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</si>
  <si>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</si>
  <si>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</si>
  <si>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</si>
  <si>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</si>
  <si>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</si>
  <si>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</si>
  <si>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</si>
  <si>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</si>
  <si>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</si>
  <si>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</si>
  <si>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</si>
  <si>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</si>
  <si>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</si>
  <si>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</si>
  <si>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</si>
  <si>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</si>
  <si>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</si>
  <si>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</si>
  <si>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</si>
  <si>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</si>
  <si>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</si>
  <si>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</si>
  <si>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</si>
  <si>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</si>
  <si>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</si>
  <si>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</si>
  <si>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</si>
  <si>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</si>
  <si>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</si>
  <si>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</si>
  <si>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</si>
  <si>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</si>
  <si>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</si>
  <si>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</si>
  <si>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</si>
  <si>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</si>
  <si>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</si>
  <si>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</si>
  <si>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</si>
  <si>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</si>
  <si>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</si>
  <si>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</si>
  <si>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</si>
  <si>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</si>
  <si>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</si>
  <si>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</si>
  <si>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</si>
  <si>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</si>
  <si>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</si>
  <si>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</si>
  <si>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</si>
  <si>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</si>
  <si>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</si>
  <si>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</si>
  <si>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</si>
  <si>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</si>
  <si>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</si>
  <si>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</si>
  <si>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</si>
  <si>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</si>
  <si>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</si>
  <si>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</si>
  <si>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</si>
  <si>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</si>
  <si>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</si>
  <si>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</si>
  <si>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</si>
  <si>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</si>
  <si>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</si>
  <si>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</si>
  <si>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</si>
  <si>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</si>
  <si>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</si>
  <si>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</si>
  <si>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</si>
  <si>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</si>
  <si>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</si>
  <si>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</si>
  <si>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</si>
  <si>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</si>
  <si>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</si>
  <si>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</si>
  <si>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</si>
  <si>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</si>
  <si>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</si>
  <si>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</si>
  <si>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</si>
  <si>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</si>
  <si>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</si>
  <si>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</si>
  <si>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</si>
  <si>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</si>
  <si>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</si>
  <si>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</si>
  <si>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</si>
  <si>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</si>
  <si>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</si>
  <si>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</si>
  <si>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</si>
  <si>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</si>
  <si>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</si>
  <si>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</si>
  <si>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</si>
  <si>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</si>
  <si>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</si>
  <si>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</si>
  <si>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</si>
  <si>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</si>
  <si>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</si>
  <si>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</si>
  <si>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</si>
  <si>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</si>
  <si>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</si>
  <si>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</si>
  <si>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</si>
  <si>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</si>
  <si>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</si>
  <si>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</si>
  <si>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</si>
  <si>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</si>
  <si>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</si>
  <si>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</si>
  <si>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</si>
  <si>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</si>
  <si>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</si>
  <si>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</si>
  <si>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</si>
  <si>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</si>
  <si>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</si>
  <si>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</si>
  <si>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</si>
  <si>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</si>
  <si>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</si>
  <si>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</si>
  <si>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</si>
  <si>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</si>
  <si>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</si>
  <si>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</si>
  <si>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</si>
  <si>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</si>
  <si>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</si>
  <si>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</si>
  <si>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</si>
  <si>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</si>
  <si>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</si>
  <si>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</si>
  <si>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</si>
  <si>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</si>
  <si>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</si>
  <si>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</si>
  <si>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</si>
  <si>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</si>
  <si>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</si>
  <si>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</si>
  <si>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</si>
  <si>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</si>
  <si>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</si>
  <si>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</si>
  <si>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</si>
  <si>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</si>
  <si>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</si>
  <si>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</si>
  <si>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</si>
  <si>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</si>
  <si>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</si>
  <si>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</si>
  <si>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</si>
  <si>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</si>
  <si>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</si>
  <si>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</si>
  <si>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</si>
  <si>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</si>
  <si>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</si>
  <si>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</si>
  <si>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</si>
  <si>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</si>
  <si>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</si>
  <si>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</si>
  <si>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</si>
  <si>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</si>
  <si>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</si>
  <si>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</si>
  <si>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</si>
  <si>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</si>
  <si>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</si>
  <si>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</si>
  <si>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</si>
  <si>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</si>
  <si>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</si>
  <si>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</si>
  <si>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</si>
  <si>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</si>
  <si>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</si>
  <si>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</si>
  <si>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</si>
  <si>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</si>
  <si>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</si>
  <si>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</si>
  <si>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</si>
  <si>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</si>
  <si>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</si>
  <si>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</si>
  <si>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</si>
  <si>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</si>
  <si>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</si>
  <si>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</si>
  <si>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</si>
  <si>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</si>
  <si>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</si>
  <si>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</si>
  <si>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</si>
  <si>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</si>
  <si>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</si>
  <si>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</si>
  <si>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</si>
  <si>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</si>
  <si>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</si>
  <si>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</si>
  <si>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</si>
  <si>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</si>
  <si>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</si>
  <si>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</si>
  <si>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</si>
  <si>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</si>
  <si>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</si>
  <si>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</si>
  <si>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</si>
  <si>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</si>
  <si>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</si>
  <si>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</si>
  <si>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</si>
  <si>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</si>
  <si>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</si>
  <si>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</si>
  <si>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</si>
  <si>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</si>
  <si>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</si>
  <si>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</si>
  <si>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</si>
  <si>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</si>
  <si>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</si>
  <si>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</si>
  <si>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</si>
  <si>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</si>
  <si>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</si>
  <si>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</si>
  <si>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</si>
  <si>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</si>
  <si>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</si>
  <si>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</si>
  <si>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</si>
  <si>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</si>
  <si>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</si>
  <si>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</si>
  <si>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</si>
  <si>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</si>
  <si>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</si>
  <si>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</si>
  <si>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</si>
  <si>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</si>
  <si>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</si>
  <si>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</si>
  <si>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</si>
  <si>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</si>
  <si>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</si>
  <si>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</si>
  <si>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</si>
  <si>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</si>
  <si>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</si>
  <si>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</si>
  <si>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</si>
  <si>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</si>
  <si>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</si>
  <si>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</si>
  <si>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</si>
  <si>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</si>
  <si>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</si>
  <si>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</si>
  <si>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</si>
  <si>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</si>
  <si>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</si>
  <si>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</si>
  <si>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</si>
  <si>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</si>
  <si>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</si>
  <si>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</si>
  <si>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</si>
  <si>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</si>
  <si>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</si>
  <si>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</si>
  <si>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</si>
  <si>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</si>
  <si>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</si>
  <si>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</si>
  <si>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</si>
  <si>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</si>
  <si>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</si>
  <si>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</si>
  <si>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</si>
  <si>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</si>
  <si>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</si>
  <si>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</si>
  <si>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</si>
  <si>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</si>
  <si>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</si>
  <si>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</si>
  <si>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</si>
  <si>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</si>
  <si>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</si>
  <si>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</si>
  <si>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</si>
  <si>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</si>
  <si>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</si>
  <si>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</si>
  <si>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</si>
  <si>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</si>
  <si>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</si>
  <si>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</si>
  <si>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</si>
  <si>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</si>
  <si>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</si>
  <si>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</si>
  <si>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</si>
  <si>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</si>
  <si>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</si>
  <si>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</si>
  <si>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</si>
  <si>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</si>
  <si>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</si>
  <si>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</si>
  <si>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</si>
  <si>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</si>
  <si>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</si>
  <si>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</si>
  <si>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</si>
  <si>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</si>
  <si>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</si>
  <si>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</si>
  <si>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</si>
  <si>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</si>
  <si>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</si>
  <si>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</si>
  <si>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</si>
  <si>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</si>
  <si>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</si>
  <si>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</si>
  <si>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</si>
  <si>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</si>
  <si>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</si>
  <si>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</si>
  <si>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</si>
  <si>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</si>
  <si>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</si>
  <si>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</si>
  <si>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</si>
  <si>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</si>
  <si>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</si>
  <si>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</si>
  <si>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</si>
  <si>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</si>
  <si>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</si>
  <si>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</si>
  <si>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</si>
  <si>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</si>
  <si>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</si>
  <si>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</si>
  <si>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</si>
  <si>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</si>
  <si>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</si>
  <si>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</si>
  <si>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</si>
  <si>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</si>
  <si>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</si>
  <si>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</si>
  <si>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</si>
  <si>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</si>
  <si>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</si>
  <si>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</si>
  <si>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</si>
  <si>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</si>
  <si>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</si>
  <si>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</si>
  <si>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</si>
  <si>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</si>
  <si>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</si>
  <si>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</si>
  <si>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</si>
  <si>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</si>
  <si>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</si>
  <si>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</si>
  <si>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</si>
  <si>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</si>
  <si>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</si>
  <si>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</si>
  <si>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</si>
  <si>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</si>
  <si>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</si>
  <si>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</si>
  <si>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</si>
  <si>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</si>
  <si>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</si>
  <si>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</si>
  <si>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</si>
  <si>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</si>
  <si>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</si>
  <si>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</si>
  <si>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</si>
  <si>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</si>
  <si>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</si>
  <si>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</si>
  <si>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</si>
  <si>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</si>
  <si>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</si>
  <si>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</si>
  <si>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</si>
  <si>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</si>
  <si>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</si>
  <si>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</si>
  <si>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</si>
  <si>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</si>
  <si>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</si>
  <si>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</si>
  <si>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</si>
  <si>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</si>
  <si>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</si>
  <si>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</si>
  <si>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</si>
  <si>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</si>
  <si>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</si>
  <si>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</si>
  <si>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</si>
  <si>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</si>
  <si>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</si>
  <si>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</si>
  <si>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</si>
  <si>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</si>
  <si>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</si>
  <si>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</si>
  <si>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</si>
  <si>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</si>
  <si>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</si>
  <si>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</si>
  <si>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</si>
  <si>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</si>
  <si>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</si>
  <si>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</si>
  <si>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</si>
  <si>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</si>
  <si>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</si>
  <si>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</si>
  <si>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</si>
  <si>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</si>
  <si>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</si>
  <si>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</si>
  <si>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</si>
  <si>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</si>
  <si>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</si>
  <si>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</si>
  <si>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</si>
  <si>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</si>
  <si>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</si>
  <si>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</si>
  <si>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</si>
  <si>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</si>
  <si>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</si>
  <si>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</si>
  <si>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</si>
  <si>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</si>
  <si>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</si>
  <si>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</si>
  <si>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</si>
  <si>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</si>
  <si>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</si>
  <si>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</si>
  <si>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</si>
  <si>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</si>
  <si>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</si>
  <si>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</si>
  <si>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</si>
  <si>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</si>
  <si>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</si>
  <si>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</si>
  <si>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</si>
  <si>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</si>
  <si>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</si>
  <si>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</si>
  <si>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</si>
  <si>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</si>
  <si>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</si>
  <si>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</si>
  <si>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</si>
  <si>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</si>
  <si>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</si>
  <si>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</si>
  <si>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</si>
  <si>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</si>
  <si>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</si>
  <si>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</si>
  <si>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</si>
  <si>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</si>
  <si>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</si>
  <si>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</si>
  <si>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</si>
  <si>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</si>
  <si>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</si>
  <si>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</si>
  <si>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</si>
  <si>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</si>
  <si>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</si>
  <si>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</si>
  <si>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</si>
  <si>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</si>
  <si>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</si>
  <si>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</si>
  <si>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</si>
  <si>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</si>
  <si>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</si>
  <si>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</si>
  <si>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</si>
  <si>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</si>
  <si>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</si>
  <si>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</si>
  <si>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</si>
  <si>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</si>
  <si>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</si>
  <si>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</si>
  <si>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</si>
  <si>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</si>
  <si>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</si>
  <si>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</si>
  <si>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</si>
  <si>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</si>
  <si>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</si>
  <si>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</si>
  <si>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</si>
  <si>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</si>
  <si>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</si>
  <si>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</si>
  <si>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</si>
  <si>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</si>
  <si>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</si>
  <si>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</si>
  <si>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</si>
  <si>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</si>
  <si>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</si>
  <si>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</si>
  <si>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</si>
  <si>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</si>
  <si>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</si>
  <si>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</si>
  <si>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</si>
  <si>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</si>
  <si>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</si>
  <si>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</si>
  <si>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</si>
  <si>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</si>
  <si>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</si>
  <si>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</si>
  <si>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</si>
  <si>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</si>
  <si>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</si>
  <si>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</si>
  <si>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</si>
  <si>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</si>
  <si>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</si>
  <si>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</si>
  <si>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</si>
  <si>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</si>
  <si>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</si>
  <si>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</si>
  <si>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</si>
  <si>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</si>
  <si>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</si>
  <si>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</si>
  <si>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</si>
  <si>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</si>
  <si>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</si>
  <si>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</si>
  <si>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</si>
  <si>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</si>
  <si>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</si>
  <si>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</si>
  <si>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</si>
  <si>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</si>
  <si>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</si>
  <si>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</si>
  <si>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</si>
  <si>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</si>
  <si>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</si>
  <si>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</si>
  <si>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</si>
  <si>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</si>
  <si>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</si>
  <si>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</si>
  <si>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</si>
  <si>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</si>
  <si>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</si>
  <si>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</si>
  <si>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</si>
  <si>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</si>
  <si>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</si>
  <si>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</si>
  <si>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</si>
  <si>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</si>
  <si>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</si>
  <si>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</si>
  <si>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</si>
  <si>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</si>
  <si>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</si>
  <si>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</si>
  <si>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</si>
  <si>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</si>
  <si>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</si>
  <si>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</si>
  <si>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</si>
  <si>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</si>
  <si>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</si>
  <si>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</si>
  <si>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</si>
  <si>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</si>
  <si>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</si>
  <si>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</si>
  <si>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</si>
  <si>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</si>
  <si>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</si>
  <si>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</si>
  <si>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</si>
  <si>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</si>
  <si>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</si>
  <si>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</si>
  <si>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</si>
  <si>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</si>
  <si>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</si>
  <si>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</si>
  <si>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</si>
  <si>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</si>
  <si>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</si>
  <si>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</si>
  <si>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</si>
  <si>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</si>
  <si>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</si>
  <si>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</si>
  <si>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</si>
  <si>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</si>
  <si>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</si>
  <si>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</si>
  <si>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</si>
  <si>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</si>
  <si>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</si>
  <si>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</si>
  <si>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</si>
  <si>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</si>
  <si>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</si>
  <si>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</si>
  <si>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</si>
  <si>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</si>
  <si>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</si>
  <si>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</si>
  <si>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</si>
  <si>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</si>
  <si>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</si>
  <si>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</si>
  <si>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</si>
  <si>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</si>
  <si>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</si>
  <si>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</si>
  <si>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</si>
  <si>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</si>
  <si>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</si>
  <si>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</si>
  <si>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</si>
  <si>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</si>
  <si>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</si>
  <si>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</si>
  <si>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</si>
  <si>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</si>
  <si>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</si>
  <si>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</si>
  <si>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</si>
  <si>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</si>
  <si>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</si>
  <si>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</si>
  <si>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</si>
  <si>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</si>
  <si>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</si>
  <si>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</si>
  <si>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</si>
  <si>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</si>
  <si>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</si>
  <si>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</si>
  <si>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</si>
  <si>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</si>
  <si>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</si>
  <si>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</si>
  <si>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</si>
  <si>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</si>
  <si>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</si>
  <si>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</si>
  <si>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</si>
  <si>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</si>
  <si>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</si>
  <si>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</si>
  <si>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</si>
  <si>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</si>
  <si>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</si>
  <si>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</si>
  <si>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</si>
  <si>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</si>
  <si>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</si>
  <si>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</si>
  <si>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</si>
  <si>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</si>
  <si>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</si>
  <si>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</si>
  <si>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</si>
  <si>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</si>
  <si>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</si>
  <si>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</si>
  <si>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</si>
  <si>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</si>
  <si>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</si>
  <si>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</si>
  <si>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</si>
  <si>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</si>
  <si>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</si>
  <si>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</si>
  <si>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</si>
  <si>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</si>
  <si>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</si>
  <si>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</si>
  <si>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</si>
  <si>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</si>
  <si>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</si>
  <si>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</si>
  <si>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</si>
  <si>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</si>
  <si>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</si>
  <si>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</si>
  <si>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</si>
  <si>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</si>
  <si>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</si>
  <si>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</si>
  <si>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</si>
  <si>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</si>
  <si>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</si>
  <si>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</si>
  <si>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</si>
  <si>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</si>
  <si>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</si>
  <si>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</si>
  <si>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</si>
  <si>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</si>
  <si>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</si>
  <si>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</si>
  <si>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</si>
  <si>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</si>
  <si>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</si>
  <si>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</si>
  <si>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</si>
  <si>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</si>
  <si>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</si>
  <si>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</si>
  <si>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</si>
  <si>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</si>
  <si>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</si>
  <si>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</si>
  <si>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</si>
  <si>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</si>
  <si>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</si>
  <si>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</si>
  <si>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</si>
  <si>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</si>
  <si>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</si>
  <si>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</si>
  <si>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</si>
  <si>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</si>
  <si>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</si>
  <si>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</si>
  <si>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</si>
  <si>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</si>
  <si>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</si>
  <si>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</si>
  <si>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</si>
  <si>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</si>
  <si>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</si>
  <si>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</si>
  <si>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</si>
  <si>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</si>
  <si>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</si>
  <si>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</si>
  <si>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</si>
  <si>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</si>
  <si>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</si>
  <si>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</si>
  <si>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</si>
  <si>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</si>
  <si>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</si>
  <si>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</si>
  <si>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</si>
  <si>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</si>
  <si>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</si>
  <si>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</si>
  <si>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</si>
  <si>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</si>
  <si>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</si>
  <si>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</si>
  <si>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</si>
  <si>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</si>
  <si>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</si>
  <si>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</si>
  <si>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</si>
  <si>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</si>
  <si>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</si>
  <si>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</si>
  <si>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</si>
  <si>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</si>
  <si>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</si>
  <si>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</si>
  <si>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</si>
  <si>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</si>
  <si>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</si>
  <si>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</si>
  <si>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</si>
  <si>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</si>
  <si>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</si>
  <si>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</si>
  <si>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</si>
  <si>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</si>
  <si>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</si>
  <si>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</si>
  <si>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</si>
  <si>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</si>
  <si>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</si>
  <si>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</si>
  <si>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</si>
  <si>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</si>
  <si>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</si>
  <si>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</si>
  <si>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</si>
  <si>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</si>
  <si>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</si>
  <si>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</si>
  <si>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</si>
  <si>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</si>
  <si>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</si>
  <si>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</si>
  <si>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</si>
  <si>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</si>
  <si>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</si>
  <si>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</si>
  <si>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</si>
  <si>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</si>
  <si>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</si>
  <si>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</si>
  <si>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</si>
  <si>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</si>
  <si>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</si>
  <si>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</si>
  <si>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</si>
  <si>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</si>
  <si>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</si>
  <si>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</si>
  <si>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</si>
  <si>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</si>
  <si>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</si>
  <si>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</si>
  <si>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</si>
  <si>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</si>
  <si>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</si>
  <si>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</si>
  <si>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</si>
  <si>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</si>
  <si>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</si>
  <si>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</si>
  <si>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</si>
  <si>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</si>
  <si>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</si>
  <si>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</si>
  <si>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</si>
  <si>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</si>
  <si>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</si>
  <si>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</si>
  <si>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</si>
  <si>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</si>
  <si>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</si>
  <si>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</si>
  <si>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</si>
  <si>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</si>
  <si>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</si>
  <si>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</si>
  <si>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</si>
  <si>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</si>
  <si>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</si>
  <si>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</si>
  <si>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</si>
  <si>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</si>
  <si>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</si>
  <si>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</si>
  <si>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</si>
  <si>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</si>
  <si>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</si>
  <si>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</si>
  <si>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</si>
  <si>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</si>
  <si>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</si>
  <si>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</si>
  <si>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</si>
  <si>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</si>
  <si>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</si>
  <si>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</si>
  <si>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</si>
  <si>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</si>
  <si>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</si>
  <si>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</si>
  <si>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</si>
  <si>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</si>
  <si>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</si>
  <si>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</si>
  <si>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</si>
  <si>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</si>
  <si>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</si>
  <si>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</si>
  <si>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</si>
  <si>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</si>
  <si>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</si>
  <si>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</si>
  <si>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</si>
  <si>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</si>
  <si>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</si>
  <si>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</si>
  <si>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</si>
  <si>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</si>
  <si>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</si>
  <si>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</si>
  <si>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</si>
  <si>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</si>
  <si>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</si>
  <si>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</si>
  <si>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</si>
  <si>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</si>
  <si>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</si>
  <si>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</si>
  <si>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</si>
  <si>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</si>
  <si>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</si>
  <si>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</si>
  <si>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</si>
  <si>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</si>
  <si>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</si>
  <si>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</si>
  <si>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</si>
  <si>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</si>
  <si>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</si>
  <si>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</si>
  <si>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</si>
  <si>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</si>
  <si>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</si>
  <si>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</si>
  <si>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</si>
  <si>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</si>
  <si>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</si>
  <si>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</si>
  <si>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</si>
  <si>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</si>
  <si>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</si>
  <si>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</si>
  <si>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</si>
  <si>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</si>
  <si>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</si>
  <si>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</si>
  <si>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</si>
  <si>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</si>
  <si>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</si>
  <si>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</si>
  <si>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</si>
  <si>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</si>
  <si>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</si>
  <si>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</si>
  <si>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</si>
  <si>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</si>
  <si>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</si>
  <si>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</si>
  <si>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</si>
  <si>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</si>
  <si>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</si>
  <si>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</si>
  <si>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</si>
  <si>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</si>
  <si>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</si>
  <si>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</si>
  <si>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</si>
  <si>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</si>
  <si>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</si>
  <si>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</si>
  <si>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</si>
  <si>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</si>
  <si>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</si>
  <si>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</si>
  <si>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</si>
  <si>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</si>
  <si>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</si>
  <si>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</si>
  <si>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</si>
  <si>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</si>
  <si>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</si>
  <si>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</si>
  <si>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</si>
  <si>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</si>
  <si>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</si>
  <si>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</si>
  <si>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</si>
  <si>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</si>
  <si>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</si>
  <si>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</si>
  <si>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</si>
  <si>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</si>
  <si>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</si>
  <si>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</si>
  <si>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</si>
  <si>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</si>
  <si>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</si>
  <si>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</si>
  <si>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</si>
  <si>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</si>
  <si>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</si>
  <si>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</si>
  <si>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</si>
  <si>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</si>
  <si>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</si>
  <si>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</si>
  <si>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</si>
  <si>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</si>
  <si>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</si>
  <si>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</si>
  <si>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</si>
  <si>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</si>
  <si>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</si>
  <si>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</si>
  <si>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</si>
  <si>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</si>
  <si>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</si>
  <si>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</si>
  <si>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</si>
  <si>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</si>
  <si>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</si>
  <si>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</si>
  <si>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</si>
  <si>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</si>
  <si>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</si>
  <si>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</si>
  <si>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</si>
  <si>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</si>
  <si>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</si>
  <si>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</si>
  <si>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</si>
  <si>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</si>
  <si>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</si>
  <si>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</si>
  <si>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</si>
  <si>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</si>
  <si>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</si>
  <si>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</si>
  <si>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</si>
  <si>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</si>
  <si>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</si>
  <si>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</si>
  <si>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</si>
  <si>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</si>
  <si>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</si>
  <si>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</si>
  <si>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</si>
  <si>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</si>
  <si>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</si>
  <si>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</si>
  <si>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</si>
  <si>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</si>
  <si>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</si>
  <si>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</si>
  <si>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</si>
  <si>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</si>
  <si>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</si>
  <si>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</si>
  <si>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</si>
  <si>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</si>
  <si>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</si>
  <si>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</si>
  <si>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</si>
  <si>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</si>
  <si>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</si>
  <si>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</si>
  <si>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</si>
  <si>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</si>
  <si>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</si>
  <si>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</si>
  <si>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</si>
  <si>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</si>
  <si>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</si>
  <si>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</si>
  <si>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</si>
  <si>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</si>
  <si>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</si>
  <si>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</si>
  <si>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</si>
  <si>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</si>
  <si>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</si>
  <si>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</si>
  <si>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</si>
  <si>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</si>
  <si>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</si>
  <si>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</si>
  <si>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</si>
  <si>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</si>
  <si>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</si>
  <si>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</si>
  <si>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</si>
  <si>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</si>
  <si>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</si>
  <si>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</si>
  <si>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</si>
  <si>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</si>
  <si>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</si>
  <si>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</si>
  <si>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</si>
  <si>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</si>
  <si>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</si>
  <si>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</si>
  <si>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</si>
  <si>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</si>
  <si>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</si>
  <si>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</si>
  <si>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</si>
  <si>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</si>
  <si>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</si>
  <si>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</si>
  <si>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</si>
  <si>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</si>
  <si>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</si>
  <si>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</si>
  <si>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</si>
  <si>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</si>
  <si>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</si>
  <si>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</si>
  <si>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</si>
  <si>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</si>
  <si>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</si>
  <si>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</si>
  <si>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</si>
  <si>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</si>
  <si>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</si>
  <si>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</si>
  <si>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</si>
  <si>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</si>
  <si>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</si>
  <si>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</si>
  <si>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</si>
  <si>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</si>
  <si>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</si>
  <si>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</si>
  <si>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</si>
  <si>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</si>
  <si>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</si>
  <si>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</si>
  <si>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</si>
  <si>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</si>
  <si>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</si>
  <si>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</si>
  <si>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</si>
  <si>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</si>
  <si>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</si>
  <si>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</si>
  <si>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</si>
  <si>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</si>
  <si>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</si>
  <si>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</si>
  <si>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</si>
  <si>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</si>
  <si>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</si>
  <si>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</si>
  <si>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</si>
  <si>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</si>
  <si>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</si>
  <si>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</si>
  <si>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</si>
  <si>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</si>
  <si>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</si>
  <si>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</si>
  <si>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</si>
  <si>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</si>
  <si>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</si>
  <si>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</si>
  <si>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</si>
  <si>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</si>
  <si>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</si>
  <si>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</si>
  <si>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</si>
  <si>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</si>
  <si>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</si>
  <si>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</si>
  <si>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</si>
  <si>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</si>
  <si>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</si>
  <si>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</si>
  <si>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</si>
  <si>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</si>
  <si>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</si>
  <si>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</si>
  <si>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</si>
  <si>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</si>
  <si>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</si>
  <si>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</si>
  <si>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</si>
  <si>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</si>
  <si>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</si>
  <si>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</si>
  <si>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</si>
  <si>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</si>
  <si>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</si>
  <si>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</si>
  <si>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</si>
  <si>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</si>
  <si>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</si>
  <si>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</si>
  <si>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</si>
  <si>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</si>
  <si>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</si>
  <si>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</si>
  <si>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</si>
  <si>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</si>
  <si>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</si>
  <si>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</si>
  <si>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</si>
  <si>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</si>
  <si>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</si>
  <si>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</si>
  <si>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</si>
  <si>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</si>
  <si>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</si>
  <si>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</si>
  <si>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</si>
  <si>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</si>
  <si>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</si>
  <si>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</si>
  <si>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</si>
  <si>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</si>
  <si>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</si>
  <si>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</si>
  <si>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</si>
  <si>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</si>
  <si>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</si>
  <si>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</si>
  <si>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</si>
  <si>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</si>
  <si>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</si>
  <si>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</si>
  <si>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</si>
  <si>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</si>
  <si>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</si>
  <si>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</si>
  <si>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</si>
  <si>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</si>
  <si>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</si>
  <si>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</si>
  <si>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</si>
  <si>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</si>
  <si>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</si>
  <si>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</si>
  <si>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</si>
  <si>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</si>
  <si>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</si>
  <si>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</si>
  <si>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</si>
  <si>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</si>
  <si>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</si>
  <si>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</si>
  <si>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</si>
  <si>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</si>
  <si>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</si>
  <si>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</si>
  <si>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</si>
  <si>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</si>
  <si>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</si>
  <si>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</si>
  <si>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</si>
  <si>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</si>
  <si>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</si>
  <si>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</si>
  <si>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</si>
  <si>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</si>
  <si>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</si>
  <si>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</si>
  <si>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</si>
  <si>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</si>
  <si>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</si>
  <si>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</si>
  <si>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</si>
  <si>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</si>
  <si>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</si>
  <si>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</si>
  <si>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</si>
  <si>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</si>
  <si>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</si>
  <si>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</si>
  <si>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</si>
  <si>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</si>
  <si>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</si>
  <si>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</si>
  <si>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</si>
  <si>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</si>
  <si>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</si>
  <si>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</si>
  <si>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</si>
  <si>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</si>
  <si>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</si>
  <si>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</si>
  <si>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</si>
  <si>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</si>
  <si>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</si>
  <si>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</si>
  <si>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</si>
  <si>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</si>
  <si>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</si>
  <si>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</si>
  <si>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</si>
  <si>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</si>
  <si>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</si>
  <si>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</si>
  <si>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</si>
  <si>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</si>
  <si>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</si>
  <si>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</si>
  <si>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</si>
  <si>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</si>
  <si>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</si>
  <si>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</si>
  <si>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</si>
  <si>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</si>
  <si>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</si>
  <si>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</si>
  <si>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</si>
  <si>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</si>
  <si>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</si>
  <si>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</si>
  <si>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</si>
  <si>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</si>
  <si>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</si>
  <si>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</si>
  <si>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</si>
  <si>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</si>
  <si>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</si>
  <si>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</si>
  <si>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</si>
  <si>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</si>
  <si>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</si>
  <si>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</si>
  <si>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</si>
  <si>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</si>
  <si>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</si>
  <si>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</si>
  <si>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</si>
  <si>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</si>
  <si>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</si>
  <si>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</si>
  <si>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</si>
  <si>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</si>
  <si>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</si>
  <si>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</si>
  <si>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</si>
  <si>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</si>
  <si>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</si>
  <si>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</si>
  <si>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</si>
  <si>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</si>
  <si>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</si>
  <si>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</si>
  <si>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</si>
  <si>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</si>
  <si>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</si>
  <si>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</si>
  <si>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</si>
  <si>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</si>
  <si>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</si>
  <si>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</si>
  <si>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</si>
  <si>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</si>
  <si>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</si>
  <si>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</si>
  <si>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</si>
  <si>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</si>
  <si>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</si>
  <si>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</si>
  <si>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</si>
  <si>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</si>
  <si>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</si>
  <si>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</si>
  <si>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</si>
  <si>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</si>
  <si>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</si>
  <si>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</si>
  <si>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</si>
  <si>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</si>
  <si>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</si>
  <si>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</si>
  <si>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</si>
  <si>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</si>
  <si>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</si>
  <si>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</si>
  <si>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</si>
  <si>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</si>
  <si>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</si>
  <si>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</si>
  <si>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</si>
  <si>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</si>
  <si>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</si>
  <si>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</si>
  <si>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</si>
  <si>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</si>
  <si>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</si>
  <si>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</si>
  <si>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</si>
  <si>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</si>
  <si>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</si>
  <si>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</si>
  <si>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</si>
  <si>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</si>
  <si>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</si>
  <si>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</si>
  <si>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</si>
  <si>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</si>
  <si>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</si>
  <si>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</si>
  <si>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</si>
  <si>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</si>
  <si>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</si>
  <si>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</si>
  <si>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</si>
  <si>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</si>
  <si>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</si>
  <si>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</si>
  <si>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</si>
  <si>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</si>
  <si>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</si>
  <si>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</si>
  <si>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</si>
  <si>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</si>
  <si>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</si>
  <si>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</si>
  <si>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</si>
  <si>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</si>
  <si>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</si>
  <si>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</si>
  <si>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</si>
  <si>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</si>
  <si>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</si>
  <si>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</si>
  <si>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</si>
  <si>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</si>
  <si>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</si>
  <si>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</si>
  <si>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</si>
  <si>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</si>
  <si>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</si>
  <si>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</si>
  <si>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</si>
  <si>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</si>
  <si>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</si>
  <si>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</si>
  <si>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</si>
  <si>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</si>
  <si>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</si>
  <si>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</si>
  <si>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</si>
  <si>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</si>
  <si>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</si>
  <si>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</si>
  <si>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</si>
  <si>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</si>
  <si>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</si>
  <si>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</si>
  <si>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</si>
  <si>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</si>
  <si>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</si>
  <si>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</si>
  <si>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</si>
  <si>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</si>
  <si>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</si>
  <si>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</si>
  <si>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</si>
  <si>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</si>
  <si>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</si>
  <si>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</si>
  <si>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</si>
  <si>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</si>
  <si>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</si>
  <si>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</si>
  <si>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</si>
  <si>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</si>
  <si>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</si>
  <si>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</si>
  <si>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</si>
  <si>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</si>
  <si>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</si>
  <si>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</si>
  <si>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</si>
  <si>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</si>
  <si>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</si>
  <si>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</si>
  <si>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</si>
  <si>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</si>
  <si>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</si>
  <si>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</si>
  <si>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</si>
  <si>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</si>
  <si>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</si>
  <si>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</si>
  <si>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</si>
  <si>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</si>
  <si>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</si>
  <si>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</si>
  <si>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</si>
  <si>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</si>
  <si>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</si>
  <si>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</si>
  <si>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</si>
  <si>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</si>
  <si>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</si>
  <si>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</si>
  <si>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</si>
  <si>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</si>
  <si>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</si>
  <si>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</si>
  <si>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</si>
  <si>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</si>
  <si>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</si>
  <si>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</si>
  <si>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</si>
  <si>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</si>
  <si>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</si>
  <si>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</si>
  <si>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</si>
  <si>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</si>
  <si>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</si>
  <si>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</si>
  <si>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</si>
  <si>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</si>
  <si>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</si>
  <si>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</si>
  <si>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</si>
  <si>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</si>
  <si>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</si>
  <si>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</si>
  <si>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</si>
  <si>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</si>
  <si>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</si>
  <si>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</si>
  <si>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</si>
  <si>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</si>
  <si>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</si>
  <si>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</si>
  <si>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</si>
  <si>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</si>
  <si>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</si>
  <si>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</si>
  <si>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</si>
  <si>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</si>
  <si>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</si>
  <si>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</si>
  <si>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</si>
  <si>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</si>
  <si>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</si>
  <si>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</si>
  <si>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</si>
  <si>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</si>
  <si>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</si>
  <si>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</si>
  <si>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</si>
  <si>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</si>
  <si>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</si>
  <si>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</si>
  <si>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</si>
  <si>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</si>
  <si>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</si>
  <si>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</si>
  <si>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</si>
  <si>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</si>
  <si>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</si>
  <si>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</si>
  <si>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</si>
  <si>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</si>
  <si>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</si>
  <si>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</si>
  <si>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</si>
  <si>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</si>
  <si>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</si>
  <si>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</si>
  <si>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</si>
  <si>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</si>
  <si>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</si>
  <si>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</si>
  <si>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</si>
  <si>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</si>
  <si>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</si>
  <si>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</si>
  <si>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</si>
  <si>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</si>
  <si>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</si>
  <si>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</si>
  <si>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</si>
  <si>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</si>
  <si>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</si>
  <si>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</si>
  <si>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</si>
  <si>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</si>
  <si>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</si>
  <si>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</si>
  <si>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</si>
  <si>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</si>
  <si>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</si>
  <si>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</si>
  <si>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</si>
  <si>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</si>
  <si>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</si>
  <si>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</si>
  <si>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</si>
  <si>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</si>
  <si>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</si>
  <si>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</si>
  <si>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</si>
  <si>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</si>
  <si>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</si>
  <si>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</si>
  <si>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</si>
  <si>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</si>
  <si>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</si>
  <si>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</si>
  <si>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</si>
  <si>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</si>
  <si>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</si>
  <si>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</si>
  <si>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</si>
  <si>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</si>
  <si>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</si>
  <si>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</si>
  <si>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</si>
  <si>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</si>
  <si>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</si>
  <si>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</si>
  <si>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</si>
  <si>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</si>
  <si>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</si>
  <si>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</si>
  <si>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</si>
  <si>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</si>
  <si>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</si>
  <si>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</si>
  <si>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</si>
  <si>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</si>
  <si>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</si>
  <si>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</si>
  <si>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</si>
  <si>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</si>
  <si>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</si>
  <si>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</si>
  <si>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</si>
  <si>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</si>
  <si>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</si>
  <si>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</si>
  <si>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</si>
  <si>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</si>
  <si>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</si>
  <si>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</si>
  <si>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</si>
  <si>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</si>
  <si>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</si>
  <si>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</si>
  <si>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</si>
  <si>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</si>
  <si>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</si>
  <si>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</si>
  <si>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</si>
  <si>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</si>
  <si>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</si>
  <si>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</si>
  <si>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</si>
  <si>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</si>
  <si>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</si>
  <si>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</si>
  <si>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</si>
  <si>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</si>
  <si>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</si>
  <si>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</si>
  <si>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</si>
  <si>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</si>
  <si>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</si>
  <si>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</si>
  <si>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</si>
  <si>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</si>
  <si>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</si>
  <si>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</si>
  <si>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</si>
  <si>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</si>
  <si>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</si>
  <si>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</si>
  <si>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</si>
  <si>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</si>
  <si>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</si>
  <si>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</si>
  <si>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</si>
  <si>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</si>
  <si>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</si>
  <si>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</si>
  <si>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</si>
  <si>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</si>
  <si>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</si>
  <si>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</si>
  <si>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</si>
  <si>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</si>
  <si>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</si>
  <si>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</si>
  <si>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</si>
  <si>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</si>
  <si>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</si>
  <si>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</si>
  <si>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</si>
  <si>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</si>
  <si>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</si>
  <si>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</si>
  <si>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</si>
  <si>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</si>
  <si>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</si>
  <si>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</si>
  <si>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</si>
  <si>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</si>
  <si>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</si>
  <si>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</si>
  <si>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</si>
  <si>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</si>
  <si>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</si>
  <si>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</si>
  <si>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</si>
  <si>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</si>
  <si>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</si>
  <si>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</si>
  <si>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</si>
  <si>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</si>
  <si>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</si>
  <si>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</si>
  <si>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</si>
  <si>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</si>
  <si>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</si>
  <si>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</si>
  <si>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</si>
  <si>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</si>
  <si>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</si>
  <si>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</si>
  <si>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</si>
  <si>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</si>
  <si>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</si>
  <si>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</si>
  <si>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</si>
  <si>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</si>
  <si>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</si>
  <si>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</si>
  <si>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</si>
  <si>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</si>
  <si>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</si>
  <si>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</si>
  <si>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</si>
  <si>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</si>
  <si>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</si>
  <si>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</si>
  <si>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</si>
  <si>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</si>
  <si>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</si>
  <si>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</si>
  <si>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</si>
  <si>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</si>
  <si>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</si>
  <si>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</si>
  <si>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</si>
  <si>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</si>
  <si>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</si>
  <si>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</si>
  <si>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</si>
  <si>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</si>
  <si>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</si>
  <si>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</si>
  <si>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</si>
  <si>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</si>
  <si>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</si>
  <si>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</si>
  <si>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</si>
  <si>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</si>
  <si>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</si>
  <si>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</si>
  <si>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</si>
  <si>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</si>
  <si>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</si>
  <si>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</si>
  <si>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</si>
  <si>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</si>
  <si>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</si>
  <si>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</si>
  <si>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</si>
  <si>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</si>
  <si>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</si>
  <si>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</si>
  <si>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</si>
  <si>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</si>
  <si>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</si>
  <si>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</si>
  <si>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</si>
  <si>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</si>
  <si>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</si>
  <si>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</si>
  <si>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</si>
  <si>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</si>
  <si>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</si>
  <si>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</si>
  <si>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</si>
  <si>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</si>
  <si>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</si>
  <si>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</si>
  <si>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</si>
  <si>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</si>
  <si>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</si>
  <si>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</si>
  <si>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</si>
  <si>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</si>
  <si>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</si>
  <si>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</si>
  <si>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</si>
  <si>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</si>
  <si>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</si>
  <si>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</si>
  <si>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</si>
  <si>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</si>
  <si>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</si>
  <si>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</si>
  <si>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</si>
  <si>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</si>
  <si>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</si>
  <si>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</si>
  <si>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</si>
  <si>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</si>
  <si>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</si>
  <si>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</si>
  <si>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</si>
  <si>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</si>
  <si>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</si>
  <si>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</si>
  <si>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</si>
  <si>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</si>
  <si>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</si>
  <si>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</si>
  <si>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</si>
  <si>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</si>
  <si>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</si>
  <si>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</si>
  <si>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</si>
  <si>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</si>
  <si>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</si>
  <si>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</si>
  <si>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</si>
  <si>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</si>
  <si>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</si>
  <si>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</si>
  <si>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</si>
  <si>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</si>
  <si>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</si>
  <si>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</si>
  <si>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</si>
  <si>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</si>
  <si>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</si>
  <si>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</si>
  <si>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</si>
  <si>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</si>
  <si>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</si>
  <si>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</si>
  <si>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</si>
  <si>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</si>
  <si>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</si>
  <si>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</si>
  <si>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</si>
  <si>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</si>
  <si>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</si>
  <si>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</si>
  <si>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</si>
  <si>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</si>
  <si>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</si>
  <si>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</si>
  <si>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</si>
  <si>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</si>
  <si>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</si>
  <si>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</si>
  <si>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</si>
  <si>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</si>
  <si>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</si>
  <si>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</si>
  <si>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</si>
  <si>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</si>
  <si>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</si>
  <si>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</si>
  <si>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</si>
  <si>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</si>
  <si>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</si>
  <si>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</si>
  <si>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</si>
  <si>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</si>
  <si>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</si>
  <si>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</si>
  <si>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</si>
  <si>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</si>
  <si>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</si>
  <si>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</si>
  <si>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</si>
  <si>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</si>
  <si>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</si>
  <si>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</si>
  <si>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</si>
  <si>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</si>
  <si>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</si>
  <si>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</si>
  <si>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</si>
  <si>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</si>
  <si>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</si>
  <si>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</si>
  <si>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</si>
  <si>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</si>
  <si>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</si>
  <si>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</si>
  <si>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</si>
  <si>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</si>
  <si>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</si>
  <si>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</si>
  <si>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</si>
  <si>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</si>
  <si>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</si>
  <si>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</si>
  <si>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</si>
  <si>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</si>
  <si>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</si>
  <si>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</si>
  <si>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</si>
  <si>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</si>
  <si>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</si>
  <si>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</si>
  <si>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</si>
  <si>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</si>
  <si>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</si>
  <si>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</si>
  <si>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</si>
  <si>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</si>
  <si>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</si>
  <si>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</si>
  <si>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</si>
  <si>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</si>
  <si>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</si>
  <si>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</si>
  <si>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</si>
  <si>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</si>
  <si>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</si>
  <si>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</si>
  <si>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</si>
  <si>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</si>
  <si>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</si>
  <si>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</si>
  <si>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</si>
  <si>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</si>
  <si>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</si>
  <si>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</si>
  <si>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</si>
  <si>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</si>
  <si>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</si>
  <si>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</si>
  <si>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</si>
  <si>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</si>
  <si>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</si>
  <si>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</si>
  <si>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</si>
  <si>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</si>
  <si>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</si>
  <si>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</si>
  <si>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</si>
  <si>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</si>
  <si>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</si>
  <si>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</si>
  <si>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</si>
  <si>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</si>
  <si>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</si>
  <si>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</si>
  <si>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</si>
  <si>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</si>
  <si>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</si>
  <si>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</si>
  <si>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</si>
  <si>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</si>
  <si>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</si>
  <si>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</si>
  <si>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</si>
  <si>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</si>
  <si>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</si>
  <si>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</si>
  <si>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</si>
  <si>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</si>
  <si>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</si>
  <si>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</si>
  <si>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</si>
  <si>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</si>
  <si>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</si>
  <si>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</si>
  <si>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</si>
  <si>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</si>
  <si>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</si>
  <si>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</si>
  <si>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</si>
  <si>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</si>
  <si>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</si>
  <si>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</si>
  <si>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</si>
  <si>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</si>
  <si>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</si>
  <si>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</si>
  <si>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</si>
  <si>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</si>
  <si>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</si>
  <si>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</si>
  <si>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</si>
  <si>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</si>
  <si>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</si>
  <si>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</si>
  <si>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</si>
  <si>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</si>
  <si>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</si>
  <si>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</si>
  <si>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</si>
  <si>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</si>
  <si>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</si>
  <si>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</si>
  <si>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</si>
  <si>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</si>
  <si>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</si>
  <si>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</si>
  <si>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</si>
  <si>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</si>
  <si>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</si>
  <si>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</si>
  <si>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</si>
  <si>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</si>
  <si>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</si>
  <si>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</si>
  <si>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</si>
  <si>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</si>
  <si>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</si>
  <si>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</si>
  <si>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</si>
  <si>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</si>
  <si>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</si>
  <si>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</si>
  <si>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</si>
  <si>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</si>
  <si>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</si>
  <si>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</si>
  <si>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</si>
  <si>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</si>
  <si>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</si>
  <si>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</si>
  <si>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</si>
  <si>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</si>
  <si>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</si>
  <si>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</si>
  <si>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</si>
  <si>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</si>
  <si>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</si>
  <si>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</si>
  <si>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</si>
  <si>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</si>
  <si>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</si>
  <si>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</si>
  <si>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</si>
  <si>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</si>
  <si>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</si>
  <si>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</si>
  <si>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</si>
  <si>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</si>
  <si>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</si>
  <si>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</si>
  <si>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</si>
  <si>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</si>
  <si>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</si>
  <si>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</si>
  <si>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</si>
  <si>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</si>
  <si>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</si>
  <si>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</si>
  <si>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</si>
  <si>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</si>
  <si>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</si>
  <si>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</si>
  <si>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</si>
  <si>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</si>
  <si>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</si>
  <si>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</si>
  <si>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</si>
  <si>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</si>
  <si>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</si>
  <si>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</si>
  <si>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</si>
  <si>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</si>
  <si>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</si>
  <si>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</si>
  <si>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</si>
  <si>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</si>
  <si>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</si>
  <si>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</si>
  <si>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</si>
  <si>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</si>
  <si>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</si>
  <si>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</si>
  <si>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</si>
  <si>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</si>
  <si>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</si>
  <si>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</si>
  <si>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</si>
  <si>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</si>
  <si>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</si>
  <si>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</si>
  <si>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</si>
  <si>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</si>
  <si>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</si>
  <si>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</si>
  <si>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</si>
  <si>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</si>
  <si>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</si>
  <si>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</si>
  <si>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</si>
  <si>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</si>
  <si>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</si>
  <si>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</si>
  <si>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</si>
  <si>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</si>
  <si>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</si>
  <si>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</si>
  <si>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</si>
  <si>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</si>
  <si>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</si>
  <si>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</si>
  <si>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</si>
  <si>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</si>
  <si>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</si>
  <si>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</si>
  <si>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</si>
  <si>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</si>
  <si>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</si>
  <si>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</si>
  <si>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</si>
  <si>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</si>
  <si>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</si>
  <si>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</si>
  <si>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</si>
  <si>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</si>
  <si>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</si>
  <si>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</si>
  <si>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</si>
  <si>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</si>
  <si>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</si>
  <si>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</si>
  <si>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</si>
  <si>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</si>
  <si>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</si>
  <si>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</si>
  <si>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</si>
  <si>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</si>
  <si>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</si>
  <si>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</si>
  <si>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</si>
  <si>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</si>
  <si>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</si>
  <si>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</si>
  <si>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</si>
  <si>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</si>
  <si>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</si>
  <si>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</si>
  <si>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</si>
  <si>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</si>
  <si>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</si>
  <si>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</si>
  <si>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</si>
  <si>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</si>
  <si>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</si>
  <si>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</si>
  <si>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</si>
  <si>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</si>
  <si>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</si>
  <si>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</si>
  <si>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</si>
  <si>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</si>
  <si>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</si>
  <si>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</si>
  <si>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</si>
  <si>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</si>
  <si>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</si>
  <si>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</si>
  <si>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</si>
  <si>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</si>
  <si>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</si>
  <si>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</si>
  <si>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</si>
  <si>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</si>
  <si>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</si>
  <si>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</si>
  <si>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</si>
  <si>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</si>
  <si>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</si>
  <si>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</si>
  <si>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</si>
  <si>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</si>
  <si>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</si>
  <si>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</si>
  <si>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</si>
  <si>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</si>
  <si>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</si>
  <si>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</si>
  <si>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</si>
  <si>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</si>
  <si>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</si>
  <si>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</si>
  <si>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</si>
  <si>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</si>
  <si>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</si>
  <si>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</si>
  <si>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</si>
  <si>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</si>
  <si>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</si>
  <si>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</si>
  <si>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</si>
  <si>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</si>
  <si>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</si>
  <si>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</si>
  <si>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</si>
  <si>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</si>
  <si>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</si>
  <si>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</si>
  <si>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</si>
  <si>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</si>
  <si>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</si>
  <si>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</si>
  <si>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</si>
  <si>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</si>
  <si>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</si>
  <si>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</si>
  <si>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</si>
  <si>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</si>
  <si>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</si>
  <si>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</si>
  <si>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</si>
  <si>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</si>
  <si>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</si>
  <si>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</si>
  <si>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</si>
  <si>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</si>
  <si>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</si>
  <si>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</si>
  <si>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</si>
  <si>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</si>
  <si>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</si>
  <si>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</si>
  <si>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</si>
  <si>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</si>
  <si>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</si>
  <si>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</si>
  <si>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</si>
  <si>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</si>
  <si>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</si>
  <si>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</si>
  <si>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</si>
  <si>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</si>
  <si>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</si>
  <si>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</si>
  <si>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</si>
  <si>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</si>
  <si>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</si>
  <si>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</si>
  <si>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</si>
  <si>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</si>
  <si>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</si>
  <si>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</si>
  <si>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</si>
  <si>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</si>
  <si>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</si>
  <si>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</si>
  <si>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</si>
  <si>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</si>
  <si>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</si>
  <si>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</si>
  <si>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</si>
  <si>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</si>
  <si>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</si>
  <si>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</si>
  <si>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</si>
  <si>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</si>
  <si>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</si>
  <si>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</si>
  <si>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</si>
  <si>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</si>
  <si>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</si>
  <si>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</si>
  <si>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</si>
  <si>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</si>
  <si>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</si>
  <si>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</si>
  <si>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</si>
  <si>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</si>
  <si>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</si>
  <si>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</si>
  <si>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</si>
  <si>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</si>
  <si>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</si>
  <si>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</si>
  <si>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</si>
  <si>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</si>
  <si>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</si>
  <si>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</si>
  <si>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</si>
  <si>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</si>
  <si>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</si>
  <si>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</si>
  <si>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</si>
  <si>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</si>
  <si>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</si>
  <si>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</si>
  <si>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</si>
  <si>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</si>
  <si>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</si>
  <si>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</si>
  <si>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</si>
  <si>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</si>
  <si>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</si>
  <si>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</si>
  <si>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</si>
  <si>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</si>
  <si>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</si>
  <si>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</si>
  <si>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</si>
  <si>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</si>
  <si>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</si>
  <si>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</si>
  <si>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</si>
  <si>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</si>
  <si>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</si>
  <si>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</si>
  <si>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</si>
  <si>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</si>
  <si>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</si>
  <si>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</si>
  <si>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</si>
  <si>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</si>
  <si>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</si>
  <si>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</si>
  <si>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</si>
  <si>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</si>
  <si>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</si>
  <si>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</si>
  <si>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</si>
  <si>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</si>
  <si>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</si>
  <si>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</si>
  <si>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</si>
  <si>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</si>
  <si>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</si>
  <si>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</si>
  <si>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</si>
  <si>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</si>
  <si>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</si>
  <si>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</si>
  <si>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</si>
  <si>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</si>
  <si>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</si>
  <si>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</si>
  <si>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</si>
  <si>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</si>
  <si>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</si>
  <si>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</si>
  <si>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</si>
  <si>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</si>
  <si>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</si>
  <si>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</si>
  <si>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</si>
  <si>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</si>
  <si>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</si>
  <si>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</si>
  <si>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</si>
  <si>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</si>
  <si>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</si>
  <si>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</si>
  <si>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</si>
  <si>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</si>
  <si>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</si>
  <si>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</si>
  <si>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</si>
  <si>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</si>
  <si>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</si>
  <si>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</si>
  <si>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</si>
  <si>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</si>
  <si>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</si>
  <si>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</si>
  <si>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</si>
  <si>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</si>
  <si>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</si>
  <si>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</si>
  <si>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</si>
  <si>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</si>
  <si>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</si>
  <si>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</si>
  <si>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</si>
  <si>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</si>
  <si>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</si>
  <si>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</si>
  <si>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</si>
  <si>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</si>
  <si>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</si>
  <si>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</si>
  <si>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</si>
  <si>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</si>
  <si>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</si>
  <si>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</si>
  <si>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</si>
  <si>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</si>
  <si>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</si>
  <si>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</si>
  <si>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</si>
  <si>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</si>
  <si>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</si>
  <si>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</si>
  <si>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</si>
  <si>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</si>
  <si>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</si>
  <si>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</si>
  <si>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</si>
  <si>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</si>
  <si>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</si>
  <si>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</si>
  <si>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</si>
  <si>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</si>
  <si>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</si>
  <si>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</si>
  <si>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</si>
  <si>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</si>
  <si>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</si>
  <si>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</si>
  <si>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</si>
  <si>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</si>
  <si>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</si>
  <si>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</si>
  <si>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</si>
  <si>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</si>
  <si>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</si>
  <si>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</si>
  <si>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</si>
  <si>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</si>
  <si>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</si>
  <si>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</si>
  <si>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</si>
  <si>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</si>
  <si>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</si>
  <si>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</si>
  <si>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</si>
  <si>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</si>
  <si>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</si>
  <si>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</si>
  <si>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</si>
  <si>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</si>
  <si>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</si>
  <si>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</si>
  <si>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</si>
  <si>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</si>
  <si>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</si>
  <si>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</si>
  <si>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</si>
  <si>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</si>
  <si>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</si>
  <si>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</si>
  <si>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</si>
  <si>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</si>
  <si>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</si>
  <si>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</si>
  <si>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</si>
  <si>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</si>
  <si>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</si>
  <si>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</si>
  <si>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</si>
  <si>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</si>
  <si>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</si>
  <si>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</si>
  <si>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</si>
  <si>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</si>
  <si>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</si>
  <si>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</si>
  <si>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</si>
  <si>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</si>
  <si>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</si>
  <si>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</si>
  <si>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</si>
  <si>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</si>
  <si>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</si>
  <si>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</si>
  <si>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</si>
  <si>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</si>
  <si>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</si>
  <si>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</si>
  <si>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</si>
  <si>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</si>
  <si>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</si>
  <si>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</si>
  <si>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</si>
  <si>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</si>
  <si>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</si>
  <si>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</si>
  <si>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</si>
  <si>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</si>
  <si>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</si>
  <si>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</si>
  <si>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</si>
  <si>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</si>
  <si>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</si>
  <si>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</si>
  <si>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</si>
  <si>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</si>
  <si>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</si>
  <si>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</si>
  <si>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</si>
  <si>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</si>
  <si>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</si>
  <si>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</si>
  <si>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</si>
  <si>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</si>
  <si>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</si>
  <si>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</si>
  <si>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</si>
  <si>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</si>
  <si>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</si>
  <si>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</si>
  <si>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</si>
  <si>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</si>
  <si>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</si>
  <si>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</si>
  <si>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</si>
  <si>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</si>
  <si>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</si>
  <si>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</si>
  <si>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</si>
  <si>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</si>
  <si>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</si>
  <si>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</si>
  <si>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</si>
  <si>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</si>
  <si>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</si>
  <si>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</si>
  <si>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</si>
  <si>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</si>
  <si>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</si>
  <si>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</si>
  <si>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</si>
  <si>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</si>
  <si>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</si>
  <si>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</si>
  <si>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</si>
  <si>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</si>
  <si>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</si>
  <si>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</si>
  <si>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</si>
  <si>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</si>
  <si>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</si>
  <si>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</si>
  <si>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</si>
  <si>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</si>
  <si>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</si>
  <si>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</si>
  <si>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</si>
  <si>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</si>
  <si>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</si>
  <si>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</si>
  <si>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</si>
  <si>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</si>
  <si>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</si>
  <si>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</si>
  <si>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</si>
  <si>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</si>
  <si>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</si>
  <si>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</si>
  <si>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</si>
  <si>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</si>
  <si>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</si>
  <si>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</si>
  <si>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</si>
  <si>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</si>
  <si>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</si>
  <si>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</si>
  <si>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</si>
  <si>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</si>
  <si>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</si>
  <si>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</si>
  <si>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</si>
  <si>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</si>
  <si>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</si>
  <si>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</si>
  <si>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</si>
  <si>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</si>
  <si>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</si>
  <si>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</si>
  <si>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</si>
  <si>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</si>
  <si>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</si>
  <si>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</si>
  <si>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</si>
  <si>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</si>
  <si>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</si>
  <si>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</si>
  <si>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</si>
  <si>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</si>
  <si>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</si>
  <si>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</si>
  <si>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</si>
  <si>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</si>
  <si>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</si>
  <si>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</si>
  <si>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</si>
  <si>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</si>
  <si>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</si>
  <si>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</si>
  <si>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</si>
  <si>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</si>
  <si>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</si>
  <si>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</si>
  <si>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</si>
  <si>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</si>
  <si>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</si>
  <si>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</si>
  <si>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</si>
  <si>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</si>
  <si>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</si>
  <si>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</si>
  <si>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</si>
  <si>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</si>
  <si>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</si>
  <si>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</si>
  <si>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</si>
  <si>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</si>
  <si>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</si>
  <si>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</si>
  <si>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</si>
  <si>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</si>
  <si>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</si>
  <si>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</si>
  <si>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</si>
  <si>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</si>
  <si>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</si>
  <si>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</si>
  <si>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</si>
  <si>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</si>
  <si>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</si>
  <si>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</si>
  <si>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</si>
  <si>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</si>
  <si>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</si>
  <si>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</si>
  <si>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</si>
  <si>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</si>
  <si>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</si>
  <si>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</si>
  <si>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</si>
  <si>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</si>
  <si>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</si>
  <si>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</si>
  <si>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</si>
  <si>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</si>
  <si>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</si>
  <si>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</si>
  <si>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</si>
  <si>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</si>
  <si>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</si>
  <si>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</si>
  <si>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</si>
  <si>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</si>
  <si>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</si>
  <si>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</si>
  <si>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</si>
  <si>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</si>
  <si>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</si>
  <si>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</si>
  <si>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</si>
  <si>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</si>
  <si>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</si>
  <si>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</si>
  <si>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</si>
  <si>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</si>
  <si>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</si>
  <si>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</si>
  <si>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</si>
  <si>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</si>
  <si>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</si>
  <si>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</si>
  <si>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</si>
  <si>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</si>
  <si>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</si>
  <si>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</si>
  <si>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</si>
  <si>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</si>
  <si>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</si>
  <si>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</si>
  <si>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</si>
  <si>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</si>
  <si>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</si>
  <si>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</si>
  <si>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</si>
  <si>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</si>
  <si>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</si>
  <si>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</si>
  <si>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</si>
  <si>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</si>
  <si>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</si>
  <si>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</si>
  <si>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</si>
  <si>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</si>
  <si>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</si>
  <si>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</si>
  <si>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</si>
  <si>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</si>
  <si>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</si>
  <si>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</si>
  <si>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</si>
  <si>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</si>
  <si>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</si>
  <si>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</si>
  <si>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</si>
  <si>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</si>
  <si>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</si>
  <si>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</si>
  <si>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</si>
  <si>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</si>
  <si>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</si>
  <si>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</si>
  <si>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</si>
  <si>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</si>
  <si>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</si>
  <si>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</si>
  <si>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</si>
  <si>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</si>
  <si>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</si>
  <si>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</si>
  <si>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</si>
  <si>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</si>
  <si>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</si>
  <si>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</si>
  <si>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</si>
  <si>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</si>
  <si>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</si>
  <si>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</si>
  <si>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</si>
  <si>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</si>
  <si>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</si>
  <si>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</si>
  <si>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</si>
  <si>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</si>
  <si>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</si>
  <si>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</si>
  <si>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</si>
  <si>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</si>
  <si>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</si>
  <si>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</si>
  <si>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</si>
  <si>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</si>
  <si>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</si>
  <si>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</si>
  <si>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</si>
  <si>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</si>
  <si>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</si>
  <si>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</si>
  <si>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</si>
  <si>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</si>
  <si>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</si>
  <si>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</si>
  <si>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</si>
  <si>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</si>
  <si>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</si>
  <si>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</si>
  <si>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</si>
  <si>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</si>
  <si>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</si>
  <si>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</si>
  <si>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</si>
  <si>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</si>
  <si>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</si>
  <si>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</si>
  <si>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</si>
  <si>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</si>
  <si>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</si>
  <si>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</si>
  <si>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</si>
  <si>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</si>
  <si>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</si>
  <si>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</si>
  <si>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</si>
  <si>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</si>
  <si>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</si>
  <si>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</si>
  <si>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</si>
  <si>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</si>
  <si>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</si>
  <si>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</si>
  <si>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</si>
  <si>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</si>
  <si>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</si>
  <si>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</si>
  <si>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</si>
  <si>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</si>
  <si>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</si>
  <si>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</si>
  <si>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</si>
  <si>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</si>
  <si>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</si>
  <si>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</si>
  <si>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</si>
  <si>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</si>
  <si>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</si>
  <si>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</si>
  <si>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</si>
  <si>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</si>
  <si>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</si>
  <si>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</si>
  <si>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</si>
  <si>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</si>
  <si>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</si>
  <si>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</si>
  <si>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</si>
  <si>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</si>
  <si>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</si>
  <si>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</si>
  <si>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</si>
  <si>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</si>
  <si>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</si>
  <si>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</si>
  <si>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</si>
  <si>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</si>
  <si>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</si>
  <si>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</si>
  <si>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</si>
  <si>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</si>
  <si>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</si>
  <si>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</si>
  <si>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</si>
  <si>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</si>
  <si>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</si>
  <si>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</si>
  <si>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</si>
  <si>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</si>
  <si>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</si>
  <si>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</si>
  <si>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</si>
  <si>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</si>
  <si>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</si>
  <si>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</si>
  <si>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</si>
  <si>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</si>
  <si>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</si>
  <si>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</si>
  <si>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</si>
  <si>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</si>
  <si>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</si>
  <si>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</si>
  <si>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</si>
  <si>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</si>
  <si>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</si>
  <si>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</si>
  <si>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</si>
  <si>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</si>
  <si>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</si>
  <si>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</si>
  <si>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</si>
  <si>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</si>
  <si>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</si>
  <si>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</si>
  <si>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</si>
  <si>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</si>
  <si>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</si>
  <si>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</si>
  <si>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</si>
  <si>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</si>
  <si>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</si>
  <si>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</si>
  <si>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</si>
  <si>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</si>
  <si>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</si>
  <si>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</si>
  <si>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</si>
  <si>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</si>
  <si>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</si>
  <si>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</si>
  <si>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</si>
  <si>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</si>
  <si>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</si>
  <si>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</si>
  <si>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</si>
  <si>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</si>
  <si>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</si>
  <si>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</si>
  <si>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</si>
  <si>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</si>
  <si>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</si>
  <si>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</si>
  <si>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</si>
  <si>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</si>
  <si>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</si>
  <si>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</si>
  <si>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</si>
  <si>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</si>
  <si>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</si>
  <si>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</si>
  <si>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</si>
  <si>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</si>
  <si>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</si>
  <si>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</si>
  <si>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</si>
  <si>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</si>
  <si>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</si>
  <si>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</si>
  <si>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</si>
  <si>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</si>
  <si>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</si>
  <si>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</si>
  <si>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</si>
  <si>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</si>
  <si>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</si>
  <si>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</si>
  <si>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</si>
  <si>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</si>
  <si>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</si>
  <si>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</si>
  <si>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</si>
  <si>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</si>
  <si>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</si>
  <si>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</si>
  <si>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</si>
  <si>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</si>
  <si>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</si>
  <si>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</si>
  <si>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</si>
  <si>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</si>
  <si>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</si>
  <si>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</si>
  <si>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</si>
  <si>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</si>
  <si>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</si>
  <si>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</si>
  <si>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</si>
  <si>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</si>
  <si>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</si>
  <si>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</si>
  <si>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</si>
  <si>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</si>
  <si>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</si>
  <si>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</si>
  <si>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</si>
  <si>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</si>
  <si>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</si>
  <si>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</si>
  <si>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</si>
  <si>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</si>
  <si>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</si>
  <si>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</si>
  <si>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</si>
  <si>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</si>
  <si>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</si>
  <si>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</si>
  <si>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</si>
  <si>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</si>
  <si>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</si>
  <si>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</si>
  <si>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</si>
  <si>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</si>
  <si>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</si>
  <si>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</si>
  <si>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</si>
  <si>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</si>
  <si>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</si>
  <si>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</si>
  <si>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</si>
  <si>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</si>
  <si>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</si>
  <si>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</si>
  <si>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</si>
  <si>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</si>
  <si>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</si>
  <si>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</si>
  <si>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</si>
  <si>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</si>
  <si>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</si>
  <si>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</si>
  <si>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</si>
  <si>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</si>
  <si>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</si>
  <si>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</si>
  <si>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</si>
  <si>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</si>
  <si>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</si>
  <si>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</si>
  <si>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</si>
  <si>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</si>
  <si>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</si>
  <si>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</si>
  <si>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</si>
  <si>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</si>
  <si>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</si>
  <si>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</si>
  <si>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</si>
  <si>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</si>
  <si>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</si>
  <si>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</si>
  <si>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</si>
  <si>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</si>
  <si>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</si>
  <si>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</si>
  <si>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</si>
  <si>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</si>
  <si>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</si>
  <si>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</si>
  <si>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</si>
  <si>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</si>
  <si>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</si>
  <si>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</si>
  <si>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</si>
  <si>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</si>
  <si>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</si>
  <si>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</si>
  <si>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</si>
  <si>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</si>
  <si>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</si>
  <si>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</si>
  <si>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</si>
  <si>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</si>
  <si>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</si>
  <si>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</si>
  <si>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</si>
  <si>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</si>
  <si>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</si>
  <si>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</si>
  <si>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</si>
  <si>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</si>
  <si>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</si>
  <si>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</si>
  <si>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</si>
  <si>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</si>
  <si>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</si>
  <si>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</si>
  <si>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</si>
  <si>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</si>
  <si>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</si>
  <si>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</si>
  <si>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</si>
  <si>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</si>
  <si>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</si>
  <si>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</si>
  <si>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</si>
  <si>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</si>
  <si>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</si>
  <si>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</si>
  <si>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</si>
  <si>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</si>
  <si>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</si>
  <si>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</si>
  <si>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</si>
  <si>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</si>
  <si>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</si>
  <si>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</si>
  <si>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</si>
  <si>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</si>
  <si>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</si>
  <si>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</si>
  <si>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</si>
  <si>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</si>
  <si>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</si>
  <si>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</si>
  <si>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</si>
  <si>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</si>
  <si>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</si>
  <si>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</si>
  <si>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</si>
  <si>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</si>
  <si>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</si>
  <si>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</si>
  <si>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</si>
  <si>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</si>
  <si>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</si>
  <si>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</si>
  <si>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</si>
  <si>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</si>
  <si>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</si>
  <si>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</si>
  <si>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</si>
  <si>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</si>
  <si>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</si>
  <si>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</si>
  <si>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</si>
  <si>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</si>
  <si>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</si>
  <si>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</si>
  <si>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</si>
  <si>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</si>
  <si>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</si>
  <si>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</si>
  <si>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</si>
  <si>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</si>
  <si>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</si>
  <si>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</si>
  <si>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</si>
  <si>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</si>
  <si>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</si>
  <si>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</si>
  <si>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</si>
  <si>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</si>
  <si>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</si>
  <si>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</si>
  <si>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</si>
  <si>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</si>
  <si>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</si>
  <si>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</si>
  <si>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</si>
  <si>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</si>
  <si>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</si>
  <si>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</si>
  <si>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</si>
  <si>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</si>
  <si>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</si>
  <si>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</si>
  <si>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</si>
  <si>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</si>
  <si>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</si>
  <si>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</si>
  <si>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</si>
  <si>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</si>
  <si>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</si>
  <si>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</si>
  <si>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</si>
  <si>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</si>
  <si>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</si>
  <si>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</si>
  <si>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</si>
  <si>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</si>
  <si>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</si>
  <si>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</si>
  <si>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</si>
  <si>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</si>
  <si>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</si>
  <si>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</si>
  <si>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</si>
  <si>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</si>
  <si>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</si>
  <si>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</si>
  <si>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</si>
  <si>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</si>
  <si>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</si>
  <si>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</si>
  <si>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</si>
  <si>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</si>
  <si>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</si>
  <si>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</si>
  <si>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</si>
  <si>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</si>
  <si>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</si>
  <si>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</si>
  <si>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</si>
  <si>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</si>
  <si>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</si>
  <si>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</si>
  <si>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</si>
  <si>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</si>
  <si>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</si>
  <si>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</si>
  <si>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</si>
  <si>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</si>
  <si>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</si>
  <si>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</si>
  <si>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</si>
  <si>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</si>
  <si>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</si>
  <si>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</si>
  <si>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</si>
  <si>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</si>
  <si>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</si>
  <si>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</si>
  <si>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</si>
  <si>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</si>
  <si>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</si>
  <si>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</si>
  <si>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</si>
  <si>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</si>
  <si>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</si>
  <si>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</si>
  <si>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</si>
  <si>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</si>
  <si>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</si>
  <si>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</si>
  <si>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</si>
  <si>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</si>
  <si>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</si>
  <si>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</si>
  <si>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</si>
  <si>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</si>
  <si>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</si>
  <si>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</si>
  <si>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</si>
  <si>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</si>
  <si>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</si>
  <si>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</si>
  <si>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</si>
  <si>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</si>
  <si>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</si>
  <si>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</si>
  <si>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</si>
  <si>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</si>
  <si>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</si>
  <si>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</si>
  <si>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</si>
  <si>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</si>
  <si>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</si>
  <si>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</si>
  <si>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</si>
  <si>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</si>
  <si>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</si>
  <si>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</si>
  <si>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</si>
  <si>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</si>
  <si>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</si>
  <si>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</si>
  <si>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</si>
  <si>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</si>
  <si>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</si>
  <si>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</si>
  <si>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</si>
  <si>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</si>
  <si>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</si>
  <si>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</si>
  <si>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</si>
  <si>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</si>
  <si>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</si>
  <si>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</si>
  <si>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</si>
  <si>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</si>
  <si>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</si>
  <si>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</si>
  <si>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</si>
  <si>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</si>
  <si>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</si>
  <si>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</si>
  <si>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</si>
  <si>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</si>
  <si>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</si>
  <si>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</si>
  <si>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</si>
  <si>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</si>
  <si>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</si>
  <si>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</si>
  <si>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</si>
  <si>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</si>
  <si>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</si>
  <si>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</si>
  <si>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</si>
  <si>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</si>
  <si>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</si>
  <si>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</si>
  <si>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</si>
  <si>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</si>
  <si>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</si>
  <si>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</si>
  <si>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</si>
  <si>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</si>
  <si>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</si>
  <si>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</si>
  <si>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</si>
  <si>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</si>
  <si>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</si>
  <si>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</si>
  <si>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</si>
  <si>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</si>
  <si>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</si>
  <si>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</si>
  <si>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</si>
  <si>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</si>
  <si>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</si>
  <si>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</si>
  <si>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</si>
  <si>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</si>
  <si>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</si>
  <si>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</si>
  <si>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</si>
  <si>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</si>
  <si>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</si>
  <si>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</si>
  <si>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</si>
  <si>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</si>
  <si>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</si>
  <si>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</si>
  <si>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</si>
  <si>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</si>
  <si>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</si>
  <si>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</si>
  <si>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</si>
  <si>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</si>
  <si>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</si>
  <si>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</si>
  <si>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</si>
  <si>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</si>
  <si>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</si>
  <si>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</si>
  <si>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</si>
  <si>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</si>
  <si>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</si>
  <si>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</si>
  <si>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</si>
  <si>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</si>
  <si>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</si>
  <si>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</si>
  <si>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</si>
  <si>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</si>
  <si>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</si>
  <si>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</si>
  <si>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</si>
  <si>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</si>
  <si>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</si>
  <si>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</si>
  <si>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</si>
  <si>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</si>
  <si>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</si>
  <si>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</si>
  <si>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</si>
  <si>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</si>
  <si>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</si>
  <si>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</si>
  <si>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</si>
  <si>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</si>
  <si>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</si>
  <si>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</si>
  <si>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</si>
  <si>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</si>
  <si>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</si>
  <si>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</si>
  <si>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</si>
  <si>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</si>
  <si>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</si>
  <si>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</si>
  <si>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</si>
  <si>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</si>
  <si>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</si>
  <si>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</si>
  <si>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</si>
  <si>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</si>
  <si>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</si>
  <si>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</si>
  <si>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</si>
  <si>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</si>
  <si>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</si>
  <si>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</si>
  <si>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</si>
  <si>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</si>
  <si>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</si>
  <si>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</si>
  <si>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</si>
  <si>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</si>
  <si>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</si>
  <si>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</si>
  <si>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</si>
  <si>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</si>
  <si>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</si>
  <si>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</si>
  <si>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</si>
  <si>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</si>
  <si>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</si>
  <si>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</si>
  <si>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</si>
  <si>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</si>
  <si>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</si>
  <si>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</si>
  <si>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</si>
  <si>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</si>
  <si>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</si>
  <si>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</si>
  <si>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</si>
  <si>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</si>
  <si>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</si>
  <si>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</si>
  <si>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</si>
  <si>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</si>
  <si>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</si>
  <si>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</si>
  <si>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</si>
  <si>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</si>
  <si>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</si>
  <si>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</si>
  <si>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</si>
  <si>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</si>
  <si>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</si>
  <si>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</si>
  <si>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</si>
  <si>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</si>
  <si>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</si>
  <si>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</si>
  <si>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</si>
  <si>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</si>
  <si>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</si>
  <si>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</si>
  <si>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</si>
  <si>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</si>
  <si>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</si>
  <si>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</si>
  <si>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</si>
  <si>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</si>
  <si>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</si>
  <si>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</si>
  <si>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</si>
  <si>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</si>
  <si>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</si>
  <si>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</si>
  <si>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</si>
  <si>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</si>
  <si>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</si>
  <si>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</si>
  <si>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</si>
  <si>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</si>
  <si>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</si>
  <si>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</si>
  <si>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</si>
  <si>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</si>
  <si>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</si>
  <si>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</si>
  <si>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</si>
  <si>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</si>
  <si>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</si>
  <si>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</si>
  <si>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</si>
  <si>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</si>
  <si>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</si>
  <si>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</si>
  <si>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</si>
  <si>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</si>
  <si>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</si>
  <si>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</si>
  <si>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</si>
  <si>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</si>
  <si>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</si>
  <si>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</si>
  <si>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</si>
  <si>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</si>
  <si>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</si>
  <si>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</si>
  <si>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</si>
  <si>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</si>
  <si>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</si>
  <si>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</si>
  <si>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</si>
  <si>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</si>
  <si>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</si>
  <si>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</si>
  <si>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</si>
  <si>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</si>
  <si>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</si>
  <si>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</si>
  <si>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</si>
  <si>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</si>
  <si>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</si>
  <si>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</si>
  <si>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</si>
  <si>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</si>
  <si>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</si>
  <si>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</si>
  <si>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</si>
  <si>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</si>
  <si>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</si>
  <si>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</si>
  <si>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</si>
  <si>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</si>
  <si>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</si>
  <si>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</si>
  <si>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</si>
  <si>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</si>
  <si>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</si>
  <si>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</si>
  <si>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</si>
  <si>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</si>
  <si>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</si>
  <si>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</si>
  <si>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</si>
  <si>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</si>
  <si>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</si>
  <si>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</si>
  <si>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</si>
  <si>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</si>
  <si>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</si>
  <si>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</si>
  <si>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</si>
  <si>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</si>
  <si>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</si>
  <si>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</si>
  <si>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</si>
  <si>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</si>
  <si>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</si>
  <si>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</si>
  <si>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</si>
  <si>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</si>
  <si>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</si>
  <si>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</si>
  <si>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</si>
  <si>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</si>
  <si>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</si>
  <si>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</si>
  <si>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</si>
  <si>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</si>
  <si>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</si>
  <si>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</si>
  <si>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</si>
  <si>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</si>
  <si>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</si>
  <si>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</si>
  <si>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</si>
  <si>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</si>
  <si>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</si>
  <si>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</si>
  <si>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</si>
  <si>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</si>
  <si>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</si>
  <si>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</si>
  <si>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</si>
  <si>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</si>
  <si>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</si>
  <si>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</si>
  <si>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</si>
  <si>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</si>
  <si>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</si>
  <si>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</si>
  <si>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</si>
  <si>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</si>
  <si>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</si>
  <si>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</si>
  <si>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</si>
  <si>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</si>
  <si>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</si>
  <si>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</si>
  <si>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</si>
  <si>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</si>
  <si>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</si>
  <si>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</si>
  <si>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</si>
  <si>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</si>
  <si>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</si>
  <si>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</si>
  <si>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</si>
  <si>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</si>
  <si>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</si>
  <si>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</si>
  <si>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</si>
  <si>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</si>
  <si>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</si>
  <si>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</si>
  <si>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</si>
  <si>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</si>
  <si>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</si>
  <si>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</si>
  <si>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</si>
  <si>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</si>
  <si>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</si>
  <si>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</si>
  <si>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</si>
  <si>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</si>
  <si>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</si>
  <si>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</si>
  <si>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</si>
  <si>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</si>
  <si>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</si>
  <si>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</si>
  <si>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</si>
  <si>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</si>
  <si>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</si>
  <si>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</si>
  <si>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</si>
  <si>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</si>
  <si>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</si>
  <si>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</si>
  <si>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</si>
  <si>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</si>
  <si>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</si>
  <si>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</si>
  <si>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</si>
  <si>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</si>
  <si>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</si>
  <si>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</si>
  <si>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</si>
  <si>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</si>
  <si>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</si>
  <si>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</si>
  <si>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</si>
  <si>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</si>
  <si>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</si>
  <si>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</si>
  <si>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</si>
  <si>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</si>
  <si>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</si>
  <si>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</si>
  <si>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</si>
  <si>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</si>
  <si>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</si>
  <si>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</si>
  <si>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</si>
  <si>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</si>
  <si>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</si>
  <si>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</si>
  <si>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</si>
  <si>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</si>
  <si>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</si>
  <si>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</si>
  <si>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</si>
  <si>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</si>
  <si>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</si>
  <si>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</si>
  <si>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</si>
  <si>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</si>
  <si>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</si>
  <si>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</si>
  <si>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</si>
  <si>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</si>
  <si>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</si>
  <si>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</si>
  <si>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</si>
  <si>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</si>
  <si>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</si>
  <si>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</si>
  <si>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</si>
  <si>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</si>
  <si>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</si>
  <si>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</si>
  <si>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</si>
  <si>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</si>
  <si>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</si>
  <si>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</si>
  <si>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</si>
  <si>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</si>
  <si>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</si>
  <si>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</si>
  <si>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</si>
  <si>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</si>
  <si>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</si>
  <si>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</si>
  <si>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</si>
  <si>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</si>
  <si>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</si>
  <si>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</si>
  <si>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</si>
  <si>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</si>
  <si>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</si>
  <si>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</si>
  <si>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</si>
  <si>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</si>
  <si>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</si>
  <si>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</si>
  <si>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</si>
  <si>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</si>
  <si>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</si>
  <si>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</si>
  <si>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</si>
  <si>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</si>
  <si>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</si>
  <si>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</si>
  <si>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</si>
  <si>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</si>
  <si>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</si>
  <si>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</si>
  <si>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</si>
  <si>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</si>
  <si>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</si>
  <si>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</si>
  <si>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</si>
  <si>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</si>
  <si>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</si>
  <si>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</si>
  <si>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</si>
  <si>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</si>
  <si>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</si>
  <si>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</si>
  <si>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</si>
  <si>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</si>
  <si>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</si>
  <si>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</si>
  <si>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</si>
  <si>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</si>
  <si>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</si>
  <si>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</si>
  <si>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</si>
  <si>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</si>
  <si>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</si>
  <si>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</si>
  <si>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</si>
  <si>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</si>
  <si>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</si>
  <si>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</si>
  <si>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</si>
  <si>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</si>
  <si>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</si>
  <si>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</si>
  <si>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</si>
  <si>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</si>
  <si>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</si>
  <si>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</si>
  <si>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</si>
  <si>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</si>
  <si>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</si>
  <si>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</si>
  <si>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</si>
  <si>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</si>
  <si>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</si>
  <si>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</si>
  <si>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</si>
  <si>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</si>
  <si>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</si>
  <si>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</si>
  <si>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</si>
  <si>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</si>
  <si>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</si>
  <si>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</si>
  <si>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</si>
  <si>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</si>
  <si>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</si>
  <si>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</si>
  <si>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</si>
  <si>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</si>
  <si>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</si>
  <si>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</si>
  <si>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</si>
  <si>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</si>
  <si>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</si>
  <si>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</si>
  <si>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</si>
  <si>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</si>
  <si>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</si>
  <si>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</si>
  <si>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</si>
  <si>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</si>
  <si>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</si>
  <si>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</si>
  <si>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</si>
  <si>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</si>
  <si>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</si>
  <si>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</si>
  <si>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</si>
  <si>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</si>
  <si>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</si>
  <si>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</si>
  <si>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</si>
  <si>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</si>
  <si>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</si>
  <si>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</si>
  <si>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</si>
  <si>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</si>
  <si>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</si>
  <si>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</si>
  <si>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</si>
  <si>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</si>
  <si>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</si>
  <si>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</si>
  <si>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</si>
  <si>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</si>
  <si>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</si>
  <si>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</si>
  <si>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</si>
  <si>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</si>
  <si>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</si>
  <si>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</si>
  <si>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</si>
  <si>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</si>
  <si>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</si>
  <si>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</si>
  <si>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</si>
  <si>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</si>
  <si>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</si>
  <si>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</si>
  <si>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</si>
  <si>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</si>
  <si>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</si>
  <si>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</si>
  <si>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</si>
  <si>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</si>
  <si>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</si>
  <si>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</si>
  <si>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</si>
  <si>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</si>
  <si>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</si>
  <si>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</si>
  <si>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</si>
  <si>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</si>
  <si>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</si>
  <si>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</si>
  <si>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</si>
  <si>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</si>
  <si>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</si>
  <si>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</si>
  <si>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</si>
  <si>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</si>
  <si>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</si>
  <si>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</si>
  <si>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</si>
  <si>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</si>
  <si>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</si>
  <si>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</si>
  <si>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</si>
  <si>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</si>
  <si>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</si>
  <si>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</si>
  <si>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</si>
  <si>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</si>
  <si>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</si>
  <si>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</si>
  <si>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</si>
  <si>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</si>
  <si>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</si>
  <si>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</si>
  <si>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</si>
  <si>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</si>
  <si>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</si>
  <si>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</si>
  <si>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</si>
  <si>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</si>
  <si>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</si>
  <si>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</si>
  <si>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</si>
  <si>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</si>
  <si>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</si>
  <si>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</si>
  <si>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</si>
  <si>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</si>
  <si>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</si>
  <si>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</si>
  <si>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</si>
  <si>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</si>
  <si>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</si>
  <si>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</si>
  <si>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</si>
  <si>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</si>
  <si>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</si>
  <si>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</si>
  <si>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</si>
  <si>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</si>
  <si>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</si>
  <si>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</si>
  <si>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</si>
  <si>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</si>
  <si>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</si>
  <si>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</si>
  <si>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</si>
  <si>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</si>
  <si>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</si>
  <si>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</si>
  <si>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</si>
  <si>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</si>
  <si>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</si>
  <si>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</si>
  <si>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</si>
  <si>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</si>
  <si>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</si>
  <si>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</si>
  <si>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</si>
  <si>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</si>
  <si>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</si>
  <si>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</si>
  <si>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</si>
  <si>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</si>
  <si>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</si>
  <si>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</si>
  <si>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</si>
  <si>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</si>
  <si>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</si>
  <si>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</si>
  <si>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</si>
  <si>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</si>
  <si>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</si>
  <si>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</si>
  <si>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</si>
  <si>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</si>
  <si>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</si>
  <si>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</si>
  <si>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</si>
  <si>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</si>
  <si>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</si>
  <si>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</si>
  <si>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</si>
  <si>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</si>
  <si>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</si>
  <si>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</si>
  <si>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</si>
  <si>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</si>
  <si>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</si>
  <si>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</si>
  <si>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</si>
  <si>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</si>
  <si>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</si>
  <si>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</si>
  <si>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</si>
  <si>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</si>
  <si>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</si>
  <si>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</si>
  <si>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</si>
  <si>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</si>
  <si>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</si>
  <si>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</si>
  <si>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</si>
  <si>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</si>
  <si>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</si>
  <si>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</si>
  <si>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</si>
  <si>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</si>
  <si>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</si>
  <si>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</si>
  <si>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</si>
  <si>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</si>
  <si>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</si>
  <si>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</si>
  <si>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</si>
  <si>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</si>
  <si>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</si>
  <si>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</si>
  <si>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</si>
  <si>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</si>
  <si>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</si>
  <si>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</si>
  <si>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</si>
  <si>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</si>
  <si>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</si>
  <si>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</si>
  <si>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</si>
  <si>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</si>
  <si>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</si>
  <si>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</si>
  <si>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</si>
  <si>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</si>
  <si>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</si>
  <si>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</si>
  <si>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</si>
  <si>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</si>
  <si>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</si>
  <si>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</si>
  <si>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</si>
  <si>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</si>
  <si>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</si>
  <si>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</si>
  <si>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</si>
  <si>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</si>
  <si>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</si>
  <si>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</si>
  <si>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</si>
  <si>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</si>
  <si>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</si>
  <si>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</si>
  <si>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</si>
  <si>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</si>
  <si>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</si>
  <si>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</si>
  <si>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</si>
  <si>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</si>
  <si>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</si>
  <si>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</si>
  <si>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</si>
  <si>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</si>
  <si>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</si>
  <si>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</si>
  <si>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</si>
  <si>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</si>
  <si>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</si>
  <si>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</si>
  <si>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</si>
  <si>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</si>
  <si>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</si>
  <si>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</si>
  <si>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</si>
  <si>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</si>
  <si>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</si>
  <si>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</si>
  <si>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</si>
  <si>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</si>
  <si>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</si>
  <si>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</si>
  <si>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</si>
  <si>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</si>
  <si>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</si>
  <si>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</si>
  <si>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</si>
  <si>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</si>
  <si>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</si>
  <si>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</si>
  <si>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</si>
  <si>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</si>
  <si>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</si>
  <si>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</si>
  <si>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</si>
  <si>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</si>
  <si>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</si>
  <si>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</si>
  <si>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</si>
  <si>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</si>
  <si>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</si>
  <si>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</si>
  <si>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</si>
  <si>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</si>
  <si>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</si>
  <si>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</si>
  <si>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</si>
  <si>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</si>
  <si>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</si>
  <si>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</si>
  <si>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</si>
  <si>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</si>
  <si>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</si>
  <si>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</si>
  <si>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</si>
  <si>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</si>
  <si>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</si>
  <si>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</si>
  <si>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</si>
  <si>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</si>
  <si>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</si>
  <si>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</si>
  <si>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</si>
  <si>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</si>
  <si>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</si>
  <si>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</si>
  <si>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</si>
  <si>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</si>
  <si>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</si>
  <si>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</si>
  <si>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</si>
  <si>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</si>
  <si>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</si>
  <si>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</si>
  <si>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</si>
  <si>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</si>
  <si>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</si>
  <si>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</si>
  <si>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</si>
  <si>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</si>
  <si>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</si>
  <si>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</si>
  <si>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</si>
  <si>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</si>
  <si>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</si>
  <si>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</si>
  <si>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</si>
  <si>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</si>
  <si>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</si>
  <si>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</si>
  <si>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</si>
  <si>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</si>
  <si>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</si>
  <si>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</si>
  <si>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</si>
  <si>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</si>
  <si>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</si>
  <si>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</si>
  <si>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</si>
  <si>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</si>
  <si>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</si>
  <si>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</si>
  <si>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</si>
  <si>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</si>
  <si>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</si>
  <si>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</si>
  <si>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</si>
  <si>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</si>
  <si>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</si>
  <si>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</si>
  <si>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</si>
  <si>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</si>
  <si>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</si>
  <si>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</si>
  <si>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</si>
  <si>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</si>
  <si>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</si>
  <si>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</si>
  <si>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</si>
  <si>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</si>
  <si>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</si>
  <si>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</si>
  <si>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</si>
  <si>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</si>
  <si>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</si>
  <si>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</si>
  <si>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</si>
  <si>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</si>
  <si>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</si>
  <si>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</si>
  <si>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</si>
  <si>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</si>
  <si>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</si>
  <si>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</si>
  <si>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</si>
  <si>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</si>
  <si>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</si>
  <si>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</si>
  <si>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</si>
  <si>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</si>
  <si>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</si>
  <si>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</si>
  <si>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</si>
  <si>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</si>
  <si>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</si>
  <si>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</si>
  <si>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</si>
  <si>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</si>
  <si>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</si>
  <si>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</si>
  <si>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</si>
  <si>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</si>
  <si>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</si>
  <si>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</si>
  <si>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</si>
  <si>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</si>
  <si>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</si>
  <si>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</si>
  <si>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</si>
  <si>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</si>
  <si>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</si>
  <si>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</si>
  <si>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</si>
  <si>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</si>
  <si>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</si>
  <si>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</si>
  <si>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</si>
  <si>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</si>
  <si>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</si>
  <si>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</si>
  <si>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</si>
  <si>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</si>
  <si>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</si>
  <si>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</si>
  <si>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</si>
  <si>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</si>
  <si>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</si>
  <si>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</si>
  <si>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</si>
  <si>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</si>
  <si>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</si>
  <si>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</si>
  <si>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</si>
  <si>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</si>
  <si>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</si>
  <si>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</si>
  <si>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</si>
  <si>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</si>
  <si>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</si>
  <si>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</si>
  <si>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</si>
  <si>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</si>
  <si>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</si>
  <si>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</si>
  <si>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</si>
  <si>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</si>
  <si>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</si>
  <si>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</si>
  <si>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</si>
  <si>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</si>
  <si>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</si>
  <si>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</si>
  <si>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</si>
  <si>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</si>
  <si>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</si>
  <si>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</si>
  <si>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</si>
  <si>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</si>
  <si>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</si>
  <si>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</si>
  <si>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</si>
  <si>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</si>
  <si>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</si>
  <si>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</si>
  <si>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</si>
  <si>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</si>
  <si>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</si>
  <si>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</si>
  <si>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</si>
  <si>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</si>
  <si>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</si>
  <si>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</si>
  <si>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</si>
  <si>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</si>
  <si>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</si>
  <si>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</si>
  <si>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</si>
  <si>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</si>
  <si>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</si>
  <si>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</si>
  <si>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</si>
  <si>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</si>
  <si>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</si>
  <si>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</si>
  <si>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</si>
  <si>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</si>
  <si>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</si>
  <si>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</si>
  <si>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</si>
  <si>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</si>
  <si>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</si>
  <si>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</si>
  <si>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</si>
  <si>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</si>
  <si>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</si>
  <si>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</si>
  <si>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</si>
  <si>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</si>
  <si>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</si>
  <si>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</si>
  <si>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</si>
  <si>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</si>
  <si>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</si>
  <si>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</si>
  <si>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</si>
  <si>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</si>
  <si>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</si>
  <si>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</si>
  <si>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</si>
  <si>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</si>
  <si>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</si>
  <si>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</si>
  <si>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</si>
  <si>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</si>
  <si>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</si>
  <si>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</si>
  <si>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</si>
  <si>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</si>
  <si>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</si>
  <si>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</si>
  <si>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</si>
  <si>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</si>
  <si>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</si>
  <si>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</si>
  <si>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</si>
  <si>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</si>
  <si>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</si>
  <si>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</si>
  <si>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</si>
  <si>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</si>
  <si>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</si>
  <si>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</si>
  <si>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</si>
  <si>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</si>
  <si>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</si>
  <si>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</si>
  <si>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</si>
  <si>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</si>
  <si>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</si>
  <si>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</si>
  <si>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</si>
  <si>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</si>
  <si>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</si>
  <si>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</si>
  <si>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</si>
  <si>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</si>
  <si>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</si>
  <si>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</si>
  <si>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</si>
  <si>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</si>
  <si>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</si>
  <si>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</si>
  <si>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</si>
  <si>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</si>
  <si>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</si>
  <si>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</si>
  <si>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</si>
  <si>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</si>
  <si>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</si>
  <si>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</si>
  <si>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</si>
  <si>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</si>
  <si>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</si>
  <si>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</si>
  <si>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</si>
  <si>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</si>
  <si>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</si>
  <si>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</si>
  <si>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</si>
  <si>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</si>
  <si>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</si>
  <si>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</si>
  <si>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</si>
  <si>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</si>
  <si>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</si>
  <si>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</si>
  <si>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</si>
  <si>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</si>
  <si>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</si>
  <si>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</si>
  <si>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</si>
  <si>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</si>
  <si>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</si>
  <si>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</si>
  <si>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</si>
  <si>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</si>
  <si>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</si>
  <si>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</si>
  <si>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</si>
  <si>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</si>
  <si>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</si>
  <si>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</si>
  <si>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</si>
  <si>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</si>
  <si>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</si>
  <si>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</si>
  <si>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</si>
  <si>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</si>
  <si>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</si>
  <si>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</si>
  <si>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</si>
  <si>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</si>
  <si>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</si>
  <si>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</si>
  <si>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</si>
  <si>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</si>
  <si>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</si>
  <si>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</si>
  <si>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</si>
  <si>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</si>
  <si>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</si>
  <si>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</si>
  <si>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</si>
  <si>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</si>
  <si>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</si>
  <si>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</si>
  <si>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</si>
  <si>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</si>
  <si>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</si>
  <si>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</si>
  <si>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</si>
  <si>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</si>
  <si>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</si>
  <si>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</si>
  <si>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</si>
  <si>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</si>
  <si>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</si>
  <si>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</si>
  <si>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</si>
  <si>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</si>
  <si>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</si>
  <si>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</si>
  <si>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</si>
  <si>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</si>
  <si>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</si>
  <si>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</si>
  <si>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</si>
  <si>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</si>
  <si>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</si>
  <si>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</si>
  <si>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</si>
  <si>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</si>
  <si>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</si>
  <si>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</si>
  <si>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</si>
  <si>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</si>
  <si>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</si>
  <si>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</si>
  <si>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</si>
  <si>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</si>
  <si>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</si>
  <si>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</si>
  <si>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</si>
  <si>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</si>
  <si>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</si>
  <si>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</si>
  <si>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</si>
  <si>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</si>
  <si>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</si>
  <si>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</si>
  <si>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</si>
  <si>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</si>
  <si>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</si>
  <si>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</si>
  <si>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</si>
  <si>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</si>
  <si>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</si>
  <si>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</si>
  <si>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</si>
  <si>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</si>
  <si>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</si>
  <si>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</si>
  <si>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</si>
  <si>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</si>
  <si>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</si>
  <si>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</si>
  <si>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</si>
  <si>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</si>
  <si>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</si>
  <si>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</si>
  <si>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</si>
  <si>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</si>
  <si>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</si>
  <si>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</si>
  <si>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</si>
  <si>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</si>
  <si>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</si>
  <si>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</si>
  <si>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</si>
  <si>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</si>
  <si>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</si>
  <si>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</si>
  <si>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</si>
  <si>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</si>
  <si>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</si>
  <si>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</si>
  <si>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</si>
  <si>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</si>
  <si>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</si>
  <si>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</si>
  <si>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</si>
  <si>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</si>
  <si>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</si>
  <si>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</si>
  <si>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</si>
  <si>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</si>
  <si>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</si>
  <si>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</si>
  <si>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</si>
  <si>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</si>
  <si>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</si>
  <si>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</si>
  <si>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</si>
  <si>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</si>
  <si>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</si>
  <si>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</si>
  <si>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</si>
  <si>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</si>
  <si>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</si>
  <si>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</si>
  <si>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</si>
  <si>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</si>
  <si>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</si>
  <si>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</si>
  <si>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</si>
  <si>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</si>
  <si>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</si>
  <si>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</si>
  <si>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</si>
  <si>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</si>
  <si>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</si>
  <si>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</si>
  <si>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</si>
  <si>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</si>
  <si>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</si>
  <si>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</si>
  <si>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</si>
  <si>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</si>
  <si>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</si>
  <si>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</si>
  <si>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</si>
  <si>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</si>
  <si>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</si>
  <si>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</si>
  <si>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</si>
  <si>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</si>
  <si>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</si>
  <si>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</si>
  <si>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</si>
  <si>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</si>
  <si>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</si>
  <si>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</si>
  <si>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</si>
  <si>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</si>
  <si>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</si>
  <si>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</si>
  <si>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</si>
  <si>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</si>
  <si>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</si>
  <si>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</si>
  <si>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</si>
  <si>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</si>
  <si>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</si>
  <si>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</si>
  <si>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</si>
  <si>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</si>
  <si>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</si>
  <si>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</si>
  <si>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</si>
  <si>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</si>
  <si>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</si>
  <si>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</si>
  <si>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</si>
  <si>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</si>
  <si>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</si>
  <si>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</si>
  <si>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</si>
  <si>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</si>
  <si>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</si>
  <si>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</si>
  <si>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</si>
  <si>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</si>
  <si>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</si>
  <si>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</si>
  <si>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</si>
  <si>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</si>
  <si>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</si>
  <si>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</si>
  <si>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</si>
  <si>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</si>
  <si>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</si>
  <si>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</si>
  <si>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</si>
  <si>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</si>
  <si>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</si>
  <si>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</si>
  <si>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</si>
  <si>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</si>
  <si>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</si>
  <si>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</si>
  <si>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</si>
  <si>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</si>
  <si>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</si>
  <si>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</si>
  <si>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</si>
  <si>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</si>
  <si>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</si>
  <si>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</si>
  <si>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</si>
  <si>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</si>
  <si>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</si>
  <si>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</si>
  <si>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</si>
  <si>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</si>
  <si>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</si>
  <si>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</si>
  <si>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</si>
  <si>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</si>
  <si>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</si>
  <si>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</si>
  <si>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</si>
  <si>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</si>
  <si>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</si>
  <si>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</si>
  <si>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</si>
  <si>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</si>
  <si>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</si>
  <si>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</si>
  <si>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</si>
  <si>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</si>
  <si>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</si>
  <si>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</si>
  <si>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</si>
  <si>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</si>
  <si>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</si>
  <si>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</si>
  <si>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</si>
  <si>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</si>
  <si>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</si>
  <si>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</si>
  <si>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</si>
  <si>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</si>
  <si>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</si>
  <si>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</si>
  <si>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</si>
  <si>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</si>
  <si>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</si>
  <si>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</si>
  <si>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</si>
  <si>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</si>
  <si>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</si>
  <si>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</si>
  <si>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</si>
  <si>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</si>
  <si>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</si>
  <si>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</si>
  <si>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</si>
  <si>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</si>
  <si>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</si>
  <si>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</si>
  <si>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</si>
  <si>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</si>
  <si>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</si>
  <si>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</si>
  <si>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</si>
  <si>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</si>
  <si>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</si>
  <si>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</si>
  <si>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</si>
  <si>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</si>
  <si>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</si>
  <si>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</si>
  <si>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</si>
  <si>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</si>
  <si>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</si>
  <si>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</si>
  <si>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</si>
  <si>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</si>
  <si>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</si>
  <si>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</si>
  <si>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</si>
  <si>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</si>
  <si>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</si>
  <si>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</si>
  <si>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</si>
  <si>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</si>
  <si>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</si>
  <si>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</si>
  <si>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</si>
  <si>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</si>
  <si>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</si>
  <si>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</si>
  <si>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</si>
  <si>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</si>
  <si>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</si>
  <si>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</si>
  <si>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</si>
  <si>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</si>
  <si>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</si>
  <si>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</si>
  <si>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</si>
  <si>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</si>
  <si>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</si>
  <si>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</si>
  <si>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</si>
  <si>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</si>
  <si>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</si>
  <si>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</si>
  <si>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</si>
  <si>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</si>
  <si>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</si>
  <si>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</si>
  <si>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</si>
  <si>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</si>
  <si>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</si>
  <si>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</si>
  <si>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</si>
  <si>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</si>
  <si>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</si>
  <si>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</si>
  <si>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</si>
  <si>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</si>
  <si>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</si>
  <si>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</si>
  <si>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</si>
  <si>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</si>
  <si>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</si>
  <si>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</si>
  <si>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</si>
  <si>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</si>
  <si>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</si>
  <si>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</si>
  <si>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</si>
  <si>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</si>
  <si>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</si>
  <si>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</si>
  <si>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</si>
  <si>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</si>
  <si>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</si>
  <si>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</si>
  <si>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</si>
  <si>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</si>
  <si>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</si>
  <si>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</si>
  <si>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</si>
  <si>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</si>
  <si>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</si>
  <si>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</si>
  <si>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</si>
  <si>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</si>
  <si>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</si>
  <si>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</si>
  <si>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</si>
  <si>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</si>
  <si>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</si>
  <si>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</si>
  <si>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</si>
  <si>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</si>
  <si>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</si>
  <si>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</si>
  <si>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</si>
  <si>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</si>
  <si>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</si>
  <si>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</si>
  <si>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</si>
  <si>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</si>
  <si>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</si>
  <si>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</si>
  <si>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</si>
  <si>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</si>
  <si>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</si>
  <si>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</si>
  <si>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</si>
  <si>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</si>
  <si>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</si>
  <si>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</si>
  <si>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</si>
  <si>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</si>
  <si>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</si>
  <si>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</si>
  <si>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</si>
  <si>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</si>
  <si>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</si>
  <si>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</si>
  <si>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</si>
  <si>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</si>
  <si>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</si>
  <si>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</si>
  <si>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</si>
  <si>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</si>
  <si>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</si>
  <si>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</si>
  <si>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</si>
  <si>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</si>
  <si>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</si>
  <si>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</si>
  <si>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</si>
  <si>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</si>
  <si>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</si>
  <si>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</si>
  <si>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</si>
  <si>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</si>
  <si>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</si>
  <si>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</si>
  <si>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</si>
  <si>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</si>
  <si>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</si>
  <si>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</si>
  <si>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</si>
  <si>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</si>
  <si>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</si>
  <si>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</si>
  <si>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</si>
  <si>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</si>
  <si>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</si>
  <si>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</si>
  <si>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</si>
  <si>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</si>
  <si>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</si>
  <si>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</si>
  <si>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</si>
  <si>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</si>
  <si>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</si>
  <si>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</si>
  <si>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</si>
  <si>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</si>
  <si>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</si>
  <si>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</si>
  <si>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</si>
  <si>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</si>
  <si>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</si>
  <si>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</si>
  <si>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</si>
  <si>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</si>
  <si>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</si>
  <si>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</si>
  <si>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</si>
  <si>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</si>
  <si>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</si>
  <si>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</si>
  <si>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</si>
  <si>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</si>
  <si>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</si>
  <si>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</si>
  <si>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</si>
  <si>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</si>
  <si>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</si>
  <si>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</si>
  <si>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</si>
  <si>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</si>
  <si>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</si>
  <si>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</si>
  <si>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</si>
  <si>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</si>
  <si>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</si>
  <si>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</si>
  <si>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</si>
  <si>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</si>
  <si>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</si>
  <si>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</si>
  <si>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</si>
  <si>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</si>
  <si>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</si>
  <si>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</si>
  <si>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</si>
  <si>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</si>
  <si>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</si>
  <si>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</si>
  <si>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</si>
  <si>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</si>
  <si>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</si>
  <si>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</si>
  <si>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</si>
  <si>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</si>
  <si>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</si>
  <si>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</si>
  <si>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</si>
  <si>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</si>
  <si>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</si>
  <si>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</si>
  <si>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</si>
  <si>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</si>
  <si>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</si>
  <si>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</si>
  <si>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</si>
  <si>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</si>
  <si>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</si>
  <si>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</si>
  <si>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</si>
  <si>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</si>
  <si>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</si>
  <si>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</si>
  <si>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</si>
  <si>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</si>
  <si>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</si>
  <si>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</si>
  <si>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</si>
  <si>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</si>
  <si>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</si>
  <si>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</si>
  <si>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</si>
  <si>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</si>
  <si>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</si>
  <si>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</si>
  <si>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</si>
  <si>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</si>
  <si>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</si>
  <si>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</si>
  <si>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</si>
  <si>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</si>
  <si>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</si>
  <si>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</si>
  <si>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</si>
  <si>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</si>
  <si>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</si>
  <si>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</si>
  <si>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</si>
  <si>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</si>
  <si>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</si>
  <si>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</si>
  <si>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</si>
  <si>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</si>
  <si>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</si>
  <si>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</si>
  <si>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</si>
  <si>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</si>
  <si>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</si>
  <si>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</si>
  <si>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</si>
  <si>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</si>
  <si>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</si>
  <si>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</si>
  <si>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</si>
  <si>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</si>
  <si>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</si>
  <si>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</si>
  <si>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</si>
  <si>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</si>
  <si>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</si>
  <si>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</si>
  <si>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</si>
  <si>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</si>
  <si>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</si>
  <si>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</si>
  <si>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</si>
  <si>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</si>
  <si>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</si>
  <si>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</si>
  <si>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</si>
  <si>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</si>
  <si>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</si>
  <si>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</si>
  <si>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</si>
  <si>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</si>
  <si>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</si>
  <si>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</si>
  <si>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</si>
  <si>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</si>
  <si>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</si>
  <si>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</si>
  <si>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</si>
  <si>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</si>
  <si>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</si>
  <si>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</si>
  <si>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</si>
  <si>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</si>
  <si>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</si>
  <si>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</si>
  <si>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</si>
  <si>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</si>
  <si>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</si>
  <si>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</si>
  <si>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</si>
  <si>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</si>
  <si>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</si>
  <si>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</si>
  <si>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</si>
  <si>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</si>
  <si>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</si>
  <si>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</si>
  <si>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</si>
  <si>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</si>
  <si>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</si>
  <si>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</si>
  <si>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</si>
  <si>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</si>
  <si>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</si>
  <si>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</si>
  <si>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</si>
  <si>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</si>
  <si>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</si>
  <si>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</si>
  <si>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</si>
  <si>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</si>
  <si>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</si>
  <si>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</si>
  <si>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</si>
  <si>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</si>
  <si>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</si>
  <si>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</si>
  <si>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</si>
  <si>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</si>
  <si>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</si>
  <si>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</si>
  <si>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</si>
  <si>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</si>
  <si>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</si>
  <si>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</si>
  <si>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</si>
  <si>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</si>
  <si>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</si>
  <si>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</si>
  <si>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</si>
  <si>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</si>
  <si>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</si>
  <si>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</si>
  <si>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</si>
  <si>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</si>
  <si>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</si>
  <si>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</si>
  <si>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</si>
  <si>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</si>
  <si>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</si>
  <si>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</si>
  <si>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</si>
  <si>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</si>
  <si>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</si>
  <si>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</si>
  <si>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</si>
  <si>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</si>
  <si>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</si>
  <si>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</si>
  <si>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</si>
  <si>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</si>
  <si>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</si>
  <si>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</si>
  <si>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</si>
  <si>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</si>
  <si>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</si>
  <si>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</si>
  <si>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</si>
  <si>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</si>
  <si>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</si>
  <si>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</si>
  <si>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</si>
  <si>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</si>
  <si>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</si>
  <si>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</si>
  <si>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</si>
  <si>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</si>
  <si>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</si>
  <si>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</si>
  <si>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</si>
  <si>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</si>
  <si>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</si>
  <si>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</si>
  <si>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</si>
  <si>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</si>
  <si>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</si>
  <si>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</si>
  <si>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</si>
  <si>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</si>
  <si>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</si>
  <si>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</si>
  <si>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</si>
  <si>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</si>
  <si>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</si>
  <si>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</si>
  <si>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</si>
  <si>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</si>
  <si>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</si>
  <si>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</si>
  <si>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</si>
  <si>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</si>
  <si>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</si>
  <si>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</si>
  <si>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</si>
  <si>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</si>
  <si>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</si>
  <si>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</si>
  <si>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</si>
  <si>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</si>
  <si>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</si>
  <si>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</si>
  <si>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</si>
  <si>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</si>
  <si>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</si>
  <si>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</si>
  <si>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</si>
  <si>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</si>
  <si>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</si>
  <si>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</si>
  <si>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</si>
  <si>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</si>
  <si>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</si>
  <si>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</si>
  <si>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</si>
  <si>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</si>
  <si>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</si>
  <si>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</si>
  <si>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</si>
  <si>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</si>
  <si>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</si>
  <si>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</si>
  <si>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</si>
  <si>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</si>
  <si>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</si>
  <si>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</si>
  <si>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</si>
  <si>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</si>
  <si>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</si>
  <si>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</si>
  <si>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</si>
  <si>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</si>
  <si>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</si>
  <si>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</si>
  <si>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</si>
  <si>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</si>
  <si>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</si>
  <si>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</si>
  <si>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</si>
  <si>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</si>
  <si>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</si>
  <si>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</si>
  <si>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</si>
  <si>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</si>
  <si>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</si>
  <si>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</si>
  <si>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</si>
  <si>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</si>
  <si>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</si>
  <si>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</si>
  <si>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</si>
  <si>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</si>
  <si>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</si>
  <si>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</si>
  <si>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</si>
  <si>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</si>
  <si>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</si>
  <si>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</si>
  <si>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</si>
  <si>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</si>
  <si>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</si>
  <si>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</si>
  <si>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</si>
  <si>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</si>
  <si>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</si>
  <si>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</si>
  <si>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</si>
  <si>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</si>
  <si>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</si>
  <si>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</si>
  <si>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</si>
  <si>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</si>
  <si>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</si>
  <si>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</si>
  <si>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</si>
  <si>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</si>
  <si>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</si>
  <si>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</si>
  <si>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</si>
  <si>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</si>
  <si>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</si>
  <si>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</si>
  <si>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</si>
  <si>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</si>
  <si>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</si>
  <si>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</si>
  <si>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</si>
  <si>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</si>
  <si>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</si>
  <si>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</si>
  <si>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</si>
  <si>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</si>
  <si>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</si>
  <si>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</si>
  <si>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</si>
  <si>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</si>
  <si>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</si>
  <si>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</si>
  <si>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</si>
  <si>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</si>
  <si>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</si>
  <si>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</si>
  <si>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</si>
  <si>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</si>
  <si>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</si>
  <si>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</si>
  <si>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</si>
  <si>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</si>
  <si>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</si>
  <si>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</si>
  <si>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</si>
  <si>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</si>
  <si>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</si>
  <si>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</si>
  <si>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</si>
  <si>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</si>
  <si>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</si>
  <si>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</si>
  <si>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</si>
  <si>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</si>
  <si>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</si>
  <si>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</si>
  <si>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</si>
  <si>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</si>
  <si>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</si>
  <si>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</si>
  <si>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</si>
  <si>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</si>
  <si>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</si>
  <si>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</si>
  <si>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</si>
  <si>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</si>
  <si>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</si>
  <si>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</si>
  <si>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</si>
  <si>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</si>
  <si>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</si>
  <si>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</si>
  <si>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</si>
  <si>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</si>
  <si>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</si>
  <si>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</si>
  <si>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</si>
  <si>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</si>
  <si>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</si>
  <si>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</si>
  <si>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</si>
  <si>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</si>
  <si>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</si>
  <si>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</si>
  <si>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</si>
  <si>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</si>
  <si>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</si>
  <si>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</si>
  <si>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</si>
  <si>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</si>
  <si>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</si>
  <si>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</si>
  <si>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</si>
  <si>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</si>
  <si>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</si>
  <si>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</si>
  <si>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</si>
  <si>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</si>
  <si>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</si>
  <si>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</si>
  <si>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</si>
  <si>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</si>
  <si>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</si>
  <si>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</si>
  <si>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</si>
  <si>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</si>
  <si>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</si>
  <si>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</si>
  <si>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</si>
  <si>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</si>
  <si>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</si>
  <si>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</si>
  <si>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</si>
  <si>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</si>
  <si>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</si>
  <si>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</si>
  <si>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</si>
  <si>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</si>
  <si>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</si>
  <si>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</si>
  <si>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</si>
  <si>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</si>
  <si>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</si>
  <si>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</si>
  <si>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</si>
  <si>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</si>
  <si>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</si>
  <si>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</si>
  <si>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</si>
  <si>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</si>
  <si>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</si>
  <si>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</si>
  <si>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</si>
  <si>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</si>
  <si>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</si>
  <si>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</si>
  <si>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</si>
  <si>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</si>
  <si>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</si>
  <si>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</si>
  <si>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</si>
  <si>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</si>
  <si>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</si>
  <si>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</si>
  <si>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</si>
  <si>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</si>
  <si>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</si>
  <si>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</si>
  <si>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</si>
  <si>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</si>
  <si>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</si>
  <si>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</si>
  <si>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</si>
  <si>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</si>
  <si>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</si>
  <si>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</si>
  <si>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</si>
  <si>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</si>
  <si>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</si>
  <si>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</si>
  <si>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</si>
  <si>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</si>
  <si>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</si>
  <si>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</si>
  <si>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</si>
  <si>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</si>
  <si>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</si>
  <si>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</si>
  <si>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</si>
  <si>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</si>
  <si>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</si>
  <si>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</si>
  <si>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</si>
  <si>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</si>
  <si>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</si>
  <si>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</si>
  <si>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</si>
  <si>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</si>
  <si>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</si>
  <si>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</si>
  <si>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</si>
  <si>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</si>
  <si>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</si>
  <si>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</si>
  <si>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</si>
  <si>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</si>
  <si>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</si>
  <si>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</si>
  <si>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</si>
  <si>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</si>
  <si>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</si>
  <si>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</si>
  <si>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</si>
  <si>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</si>
  <si>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</si>
  <si>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</si>
  <si>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</si>
  <si>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</si>
  <si>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</si>
  <si>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</si>
  <si>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</si>
  <si>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</si>
  <si>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</si>
  <si>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</si>
  <si>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</si>
  <si>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</si>
  <si>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</si>
  <si>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</si>
  <si>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</si>
  <si>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</si>
  <si>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</si>
  <si>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</si>
  <si>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</si>
  <si>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</si>
  <si>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</si>
  <si>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</si>
  <si>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</si>
  <si>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</si>
  <si>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</si>
  <si>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</si>
  <si>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</si>
  <si>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</si>
  <si>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</si>
  <si>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</si>
  <si>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</si>
  <si>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</si>
  <si>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</si>
  <si>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</si>
  <si>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</si>
  <si>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</si>
  <si>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</si>
  <si>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</si>
  <si>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</si>
  <si>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</si>
  <si>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</si>
  <si>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</si>
  <si>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</si>
  <si>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</si>
  <si>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</si>
  <si>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</si>
  <si>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</si>
  <si>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</si>
  <si>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</si>
  <si>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</si>
  <si>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</si>
  <si>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</si>
  <si>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</si>
  <si>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</si>
  <si>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</si>
  <si>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</si>
  <si>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</si>
  <si>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</si>
  <si>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</si>
  <si>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</si>
  <si>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</si>
  <si>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</si>
  <si>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</si>
  <si>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</si>
  <si>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</si>
  <si>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</si>
  <si>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</si>
  <si>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</si>
  <si>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</si>
  <si>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</si>
  <si>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</si>
  <si>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</si>
  <si>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</si>
  <si>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</si>
  <si>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</si>
  <si>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</si>
  <si>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</si>
  <si>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</si>
  <si>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</si>
  <si>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</si>
  <si>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</si>
  <si>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</si>
  <si>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</si>
  <si>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</si>
  <si>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</si>
  <si>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</si>
  <si>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</si>
  <si>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</si>
  <si>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</si>
  <si>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</si>
  <si>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</si>
  <si>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</si>
  <si>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</si>
  <si>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</si>
  <si>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</si>
  <si>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</si>
  <si>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</si>
  <si>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</si>
  <si>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</si>
  <si>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</si>
  <si>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</si>
  <si>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</si>
  <si>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</si>
  <si>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</si>
  <si>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</si>
  <si>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</si>
  <si>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</si>
  <si>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</si>
  <si>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</si>
  <si>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</si>
  <si>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</si>
  <si>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</si>
  <si>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</si>
  <si>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</si>
  <si>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</si>
  <si>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</si>
  <si>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</si>
  <si>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</si>
  <si>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</si>
  <si>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</si>
  <si>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</si>
  <si>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</si>
  <si>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</si>
  <si>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</si>
  <si>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</si>
  <si>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</si>
  <si>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</si>
  <si>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</si>
  <si>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</si>
  <si>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</si>
  <si>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</si>
  <si>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</si>
  <si>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</si>
  <si>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</si>
  <si>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</si>
  <si>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</si>
  <si>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</si>
  <si>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</si>
  <si>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</si>
  <si>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</si>
  <si>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</si>
  <si>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</si>
  <si>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</si>
  <si>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</si>
  <si>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</si>
  <si>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</si>
  <si>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</si>
  <si>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</si>
  <si>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</si>
  <si>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</si>
  <si>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</si>
  <si>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</si>
  <si>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</si>
  <si>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</si>
  <si>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</si>
  <si>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</si>
  <si>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</si>
  <si>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</si>
  <si>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</si>
  <si>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</si>
  <si>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</si>
  <si>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</si>
  <si>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</si>
  <si>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</si>
  <si>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</si>
  <si>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</si>
  <si>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</si>
  <si>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</si>
  <si>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</si>
  <si>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</si>
  <si>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</si>
  <si>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</si>
  <si>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</si>
  <si>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</si>
  <si>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</si>
  <si>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</si>
  <si>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</si>
  <si>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</si>
  <si>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</si>
  <si>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</si>
  <si>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</si>
  <si>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</si>
  <si>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</si>
  <si>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</si>
  <si>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</si>
  <si>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</si>
  <si>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</si>
  <si>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</si>
  <si>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</si>
  <si>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</si>
  <si>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</si>
  <si>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</si>
  <si>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</si>
  <si>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</si>
  <si>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</si>
  <si>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</si>
  <si>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</si>
  <si>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</si>
  <si>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</si>
  <si>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</si>
  <si>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</si>
  <si>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</si>
  <si>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</si>
  <si>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</si>
  <si>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</si>
  <si>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</si>
  <si>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</si>
  <si>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</si>
  <si>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</si>
  <si>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</si>
  <si>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</si>
  <si>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</si>
  <si>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</si>
  <si>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</si>
  <si>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</si>
  <si>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</si>
  <si>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</si>
  <si>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</si>
  <si>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</si>
  <si>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</si>
  <si>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</si>
  <si>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</si>
  <si>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</si>
  <si>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</si>
  <si>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</si>
  <si>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</si>
  <si>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</si>
  <si>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</si>
  <si>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</si>
  <si>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</si>
  <si>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</si>
  <si>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</si>
  <si>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</si>
  <si>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</si>
  <si>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</si>
  <si>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</si>
  <si>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</si>
  <si>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</si>
  <si>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</si>
  <si>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</si>
  <si>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</si>
  <si>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</si>
  <si>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</si>
  <si>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</si>
  <si>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</si>
  <si>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</si>
  <si>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</si>
  <si>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</si>
  <si>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</si>
  <si>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</si>
  <si>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</si>
  <si>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</si>
  <si>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</si>
  <si>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</si>
  <si>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</si>
  <si>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</si>
  <si>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</si>
  <si>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</si>
  <si>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</si>
  <si>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</si>
  <si>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</si>
  <si>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</si>
  <si>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</si>
  <si>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</si>
  <si>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</si>
  <si>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</si>
  <si>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</si>
  <si>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</si>
  <si>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</si>
  <si>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</si>
  <si>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</si>
  <si>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</si>
  <si>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</si>
  <si>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</si>
  <si>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</si>
  <si>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</si>
  <si>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</si>
  <si>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</si>
  <si>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</si>
  <si>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</si>
  <si>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</si>
  <si>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</si>
  <si>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</si>
  <si>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</si>
  <si>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</si>
  <si>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</si>
  <si>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</si>
  <si>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</si>
  <si>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</si>
  <si>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</si>
  <si>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</si>
  <si>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</si>
  <si>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</si>
  <si>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</si>
  <si>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</si>
  <si>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</si>
  <si>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</si>
  <si>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</si>
  <si>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</si>
  <si>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</si>
  <si>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</si>
  <si>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</si>
  <si>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</si>
  <si>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</si>
  <si>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</si>
  <si>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</si>
  <si>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</si>
  <si>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</si>
  <si>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</si>
  <si>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</si>
  <si>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</si>
  <si>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</si>
  <si>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</si>
  <si>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</si>
  <si>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</si>
  <si>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</si>
  <si>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</si>
  <si>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</si>
  <si>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</si>
  <si>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</si>
  <si>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</si>
  <si>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</si>
  <si>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</si>
  <si>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</si>
  <si>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</si>
  <si>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</si>
  <si>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</si>
  <si>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</si>
  <si>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</si>
  <si>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</si>
  <si>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</si>
  <si>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</si>
  <si>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</si>
  <si>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</si>
  <si>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</si>
  <si>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</si>
  <si>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</si>
  <si>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</si>
  <si>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</si>
  <si>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</si>
  <si>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</si>
  <si>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</si>
  <si>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</si>
  <si>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</si>
  <si>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</si>
  <si>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</si>
  <si>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</si>
  <si>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</si>
  <si>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</si>
  <si>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</si>
  <si>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</si>
  <si>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</si>
  <si>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</si>
  <si>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</si>
  <si>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</si>
  <si>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</si>
  <si>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</si>
  <si>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</si>
  <si>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</si>
  <si>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</si>
  <si>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</si>
  <si>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</si>
  <si>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</si>
  <si>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</si>
  <si>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</si>
  <si>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</si>
  <si>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</si>
  <si>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</si>
  <si>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</si>
  <si>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</si>
  <si>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</si>
  <si>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</si>
  <si>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</si>
  <si>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</si>
  <si>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</si>
  <si>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</si>
  <si>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</si>
  <si>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</si>
  <si>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</si>
  <si>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</si>
  <si>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</si>
  <si>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</si>
  <si>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</si>
  <si>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</si>
  <si>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</si>
  <si>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</si>
  <si>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</si>
  <si>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</si>
  <si>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</si>
  <si>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</si>
  <si>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</si>
  <si>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</si>
  <si>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</si>
  <si>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</si>
  <si>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</si>
  <si>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</si>
  <si>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</si>
  <si>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</si>
  <si>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</si>
  <si>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</si>
  <si>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</si>
  <si>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</si>
  <si>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</si>
  <si>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</si>
  <si>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</si>
  <si>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</si>
  <si>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</si>
  <si>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</si>
  <si>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</si>
  <si>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</si>
  <si>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</si>
  <si>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</si>
  <si>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</si>
  <si>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</si>
  <si>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</si>
  <si>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</si>
  <si>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</si>
  <si>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</si>
  <si>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</si>
  <si>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</si>
  <si>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</si>
  <si>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</si>
  <si>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</si>
  <si>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</si>
  <si>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</si>
  <si>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</si>
  <si>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</si>
  <si>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</si>
  <si>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</si>
  <si>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</si>
  <si>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</si>
  <si>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</si>
  <si>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</si>
  <si>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</si>
  <si>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</si>
  <si>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</si>
  <si>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</si>
  <si>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</si>
  <si>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</si>
  <si>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</si>
  <si>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</si>
  <si>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</si>
  <si>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</si>
  <si>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</si>
  <si>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</si>
  <si>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</si>
  <si>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</si>
  <si>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</si>
  <si>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</si>
  <si>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</si>
  <si>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</si>
  <si>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</si>
  <si>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</si>
  <si>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</si>
  <si>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</si>
  <si>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</si>
  <si>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</si>
  <si>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</si>
  <si>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</si>
  <si>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</si>
  <si>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</si>
  <si>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</si>
  <si>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</si>
  <si>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</si>
  <si>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</si>
  <si>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</si>
  <si>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</si>
  <si>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</si>
  <si>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</si>
  <si>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</si>
  <si>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</si>
  <si>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</si>
  <si>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</si>
  <si>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</si>
  <si>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</si>
  <si>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</si>
  <si>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</si>
  <si>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</si>
  <si>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</si>
  <si>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</si>
  <si>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</si>
  <si>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</si>
  <si>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</si>
  <si>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</si>
  <si>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</si>
  <si>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</si>
  <si>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</si>
  <si>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</si>
  <si>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</si>
  <si>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</si>
  <si>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</si>
  <si>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</si>
  <si>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</si>
  <si>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</si>
  <si>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</si>
  <si>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</si>
  <si>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</si>
  <si>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</si>
  <si>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</si>
  <si>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</si>
  <si>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</si>
  <si>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</si>
  <si>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</si>
  <si>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</si>
  <si>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</si>
  <si>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</si>
  <si>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</si>
  <si>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</si>
  <si>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</si>
  <si>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</si>
  <si>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</si>
  <si>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</si>
  <si>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</si>
  <si>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</si>
  <si>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</si>
  <si>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</si>
  <si>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</si>
  <si>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</si>
  <si>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</si>
  <si>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</si>
  <si>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</si>
  <si>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</si>
  <si>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</si>
  <si>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</si>
  <si>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</si>
  <si>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</si>
  <si>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</si>
  <si>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</si>
  <si>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</si>
  <si>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</si>
  <si>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</si>
  <si>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</si>
  <si>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</si>
  <si>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</si>
  <si>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</si>
  <si>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</si>
  <si>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</si>
  <si>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</si>
  <si>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</si>
  <si>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</si>
  <si>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</si>
  <si>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</si>
  <si>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</si>
  <si>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</si>
  <si>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</si>
  <si>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</si>
  <si>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</si>
  <si>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</si>
  <si>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</si>
  <si>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</si>
  <si>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</si>
  <si>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</si>
  <si>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</si>
  <si>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</si>
  <si>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</si>
  <si>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</si>
  <si>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</si>
  <si>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</si>
  <si>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</si>
  <si>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</si>
  <si>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</si>
  <si>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</si>
  <si>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</si>
  <si>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</si>
  <si>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</si>
  <si>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</si>
  <si>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</si>
  <si>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</si>
  <si>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</si>
  <si>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</si>
  <si>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</si>
  <si>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</si>
  <si>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</si>
  <si>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</si>
  <si>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</si>
  <si>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</si>
  <si>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</si>
  <si>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</si>
  <si>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</si>
  <si>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</si>
  <si>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</si>
  <si>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</si>
  <si>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</si>
  <si>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</si>
  <si>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</si>
  <si>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</si>
  <si>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</si>
  <si>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</si>
  <si>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</si>
  <si>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</si>
  <si>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</si>
  <si>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</si>
  <si>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</si>
  <si>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</si>
  <si>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</si>
  <si>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</si>
  <si>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</si>
  <si>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</si>
  <si>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</si>
  <si>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</si>
  <si>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</si>
  <si>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</si>
  <si>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</si>
  <si>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</si>
  <si>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</si>
  <si>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</si>
  <si>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</si>
  <si>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</si>
  <si>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</si>
  <si>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</si>
  <si>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</si>
  <si>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</si>
  <si>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</si>
  <si>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</si>
  <si>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</si>
  <si>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</si>
  <si>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</si>
  <si>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</si>
  <si>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</si>
  <si>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</si>
  <si>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</si>
  <si>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</si>
  <si>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</si>
  <si>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</si>
  <si>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</si>
  <si>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</si>
  <si>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</si>
  <si>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</si>
  <si>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</si>
  <si>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</si>
  <si>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</si>
  <si>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</si>
  <si>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</si>
  <si>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</si>
  <si>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</si>
  <si>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</si>
  <si>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</si>
  <si>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</si>
  <si>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</si>
  <si>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</si>
  <si>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</si>
  <si>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</si>
  <si>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</si>
  <si>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</si>
  <si>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</si>
  <si>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</si>
  <si>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</si>
  <si>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</si>
  <si>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</si>
  <si>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</si>
  <si>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</si>
  <si>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</si>
  <si>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</si>
  <si>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</si>
  <si>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</si>
  <si>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</si>
  <si>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</si>
  <si>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</si>
  <si>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</si>
  <si>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</si>
  <si>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</si>
  <si>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</si>
  <si>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</si>
  <si>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</si>
  <si>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</si>
  <si>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</si>
  <si>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</si>
  <si>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</si>
  <si>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</si>
  <si>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</si>
  <si>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</si>
  <si>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</si>
  <si>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</si>
  <si>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</si>
  <si>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</si>
  <si>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</si>
  <si>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</si>
  <si>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</si>
  <si>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</si>
  <si>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</si>
  <si>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</si>
  <si>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</si>
  <si>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</si>
  <si>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</si>
  <si>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</si>
  <si>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</si>
  <si>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</si>
  <si>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</si>
  <si>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</si>
  <si>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</si>
  <si>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</si>
  <si>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</si>
  <si>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</si>
  <si>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</si>
  <si>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</si>
  <si>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</si>
  <si>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</si>
  <si>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</si>
  <si>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</si>
  <si>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</si>
  <si>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</si>
  <si>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</si>
  <si>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</si>
  <si>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</si>
  <si>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</si>
  <si>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</si>
  <si>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</si>
  <si>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</si>
  <si>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</si>
  <si>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</si>
  <si>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</si>
  <si>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</si>
  <si>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</si>
  <si>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</si>
  <si>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</si>
  <si>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</si>
  <si>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</si>
  <si>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</si>
  <si>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</si>
  <si>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</si>
  <si>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</si>
  <si>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</si>
  <si>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</si>
  <si>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</si>
  <si>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</si>
  <si>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</si>
  <si>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</si>
  <si>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</si>
  <si>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</si>
  <si>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</si>
  <si>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</si>
  <si>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</si>
  <si>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</si>
  <si>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</si>
  <si>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</si>
  <si>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</si>
  <si>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</si>
  <si>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</si>
  <si>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</si>
  <si>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</si>
  <si>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</si>
  <si>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</si>
  <si>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</si>
  <si>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</si>
  <si>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</si>
  <si>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</si>
  <si>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</si>
  <si>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</si>
  <si>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</si>
  <si>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</si>
  <si>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</si>
  <si>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</si>
  <si>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</si>
  <si>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</si>
  <si>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</si>
  <si>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</si>
  <si>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</si>
  <si>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</si>
  <si>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</si>
  <si>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</si>
  <si>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</si>
  <si>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</si>
  <si>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</si>
  <si>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</si>
  <si>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</si>
  <si>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</si>
  <si>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</si>
  <si>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</si>
  <si>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</si>
  <si>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</si>
  <si>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</si>
  <si>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</si>
  <si>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</si>
  <si>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</si>
  <si>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</si>
  <si>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</si>
  <si>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</si>
  <si>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</si>
  <si>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</si>
  <si>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</si>
  <si>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</si>
  <si>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</si>
  <si>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</si>
  <si>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</si>
  <si>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</si>
  <si>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</si>
  <si>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</si>
  <si>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</si>
  <si>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</si>
  <si>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</si>
  <si>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</si>
  <si>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</si>
  <si>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</si>
  <si>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</si>
  <si>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</si>
  <si>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</si>
  <si>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</si>
  <si>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</si>
  <si>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</si>
  <si>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</si>
  <si>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</si>
  <si>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</si>
  <si>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</si>
  <si>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</si>
  <si>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</si>
  <si>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</si>
  <si>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</si>
  <si>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</si>
  <si>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</si>
  <si>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</si>
  <si>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</si>
  <si>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</si>
  <si>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</si>
  <si>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</si>
  <si>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</si>
  <si>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</si>
  <si>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</si>
  <si>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</si>
  <si>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</si>
  <si>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</si>
  <si>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</si>
  <si>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</si>
  <si>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</si>
  <si>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</si>
  <si>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</si>
  <si>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</si>
  <si>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</si>
  <si>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</si>
  <si>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</si>
  <si>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</si>
  <si>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</si>
  <si>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</si>
  <si>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</si>
  <si>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</si>
  <si>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</si>
  <si>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</si>
  <si>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</si>
  <si>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</si>
  <si>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</si>
  <si>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</si>
  <si>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</si>
  <si>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</si>
  <si>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</si>
  <si>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</si>
  <si>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</si>
  <si>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</si>
  <si>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</si>
  <si>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</si>
  <si>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</si>
  <si>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</si>
  <si>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</si>
  <si>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</si>
  <si>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</si>
  <si>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</si>
  <si>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</si>
  <si>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</si>
  <si>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</si>
  <si>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</si>
  <si>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</si>
  <si>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</si>
  <si>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</si>
  <si>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</si>
  <si>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</si>
  <si>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</si>
  <si>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</si>
  <si>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</si>
  <si>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</si>
  <si>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</si>
  <si>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</si>
  <si>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</si>
  <si>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</si>
  <si>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</si>
  <si>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</si>
  <si>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</si>
  <si>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</si>
  <si>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</si>
  <si>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</si>
  <si>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</si>
  <si>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</si>
  <si>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</si>
  <si>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</si>
  <si>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</si>
  <si>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</si>
  <si>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</si>
  <si>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</si>
  <si>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</si>
  <si>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</si>
  <si>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</si>
  <si>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</si>
  <si>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</si>
  <si>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</si>
  <si>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</si>
  <si>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</si>
  <si>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</si>
  <si>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</si>
  <si>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</si>
  <si>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</si>
  <si>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</si>
  <si>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</si>
  <si>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</si>
  <si>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</si>
  <si>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</si>
  <si>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</si>
  <si>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</si>
  <si>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</si>
  <si>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</si>
  <si>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</si>
  <si>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</si>
  <si>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</si>
  <si>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</si>
  <si>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</si>
  <si>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</si>
  <si>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</si>
  <si>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</si>
  <si>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</si>
  <si>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</si>
  <si>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</si>
  <si>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</si>
  <si>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</si>
  <si>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</si>
  <si>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</si>
  <si>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</si>
  <si>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</si>
  <si>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</si>
  <si>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</si>
  <si>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</si>
  <si>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</si>
  <si>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</si>
  <si>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</si>
  <si>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</si>
  <si>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</si>
  <si>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</si>
  <si>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</si>
  <si>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</si>
  <si>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</si>
  <si>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</si>
  <si>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</si>
  <si>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</si>
  <si>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</si>
  <si>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</si>
  <si>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</si>
  <si>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</si>
  <si>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</si>
  <si>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</si>
  <si>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</si>
  <si>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</si>
  <si>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</si>
  <si>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</si>
  <si>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</si>
  <si>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</si>
  <si>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</si>
  <si>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</si>
  <si>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</si>
  <si>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</si>
  <si>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</si>
  <si>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</si>
  <si>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</si>
  <si>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</si>
  <si>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</si>
  <si>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</si>
  <si>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</si>
  <si>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</si>
  <si>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</si>
  <si>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</si>
  <si>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</si>
  <si>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</si>
  <si>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</si>
  <si>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</si>
  <si>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</si>
  <si>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</si>
  <si>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</si>
  <si>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</si>
  <si>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</si>
  <si>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</si>
  <si>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</si>
  <si>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</si>
  <si>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</si>
  <si>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</si>
  <si>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</si>
  <si>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</si>
  <si>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</si>
  <si>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</si>
  <si>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</si>
  <si>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</si>
  <si>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</si>
  <si>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</si>
  <si>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</si>
  <si>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</si>
  <si>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</si>
  <si>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</si>
  <si>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</si>
  <si>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</si>
  <si>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</si>
  <si>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</si>
  <si>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</si>
  <si>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</si>
  <si>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</si>
  <si>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</si>
  <si>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</si>
  <si>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</si>
  <si>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</si>
  <si>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</si>
  <si>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</si>
  <si>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</si>
  <si>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</si>
  <si>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</si>
  <si>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</si>
  <si>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</si>
  <si>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</si>
  <si>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</si>
  <si>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</si>
  <si>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</si>
  <si>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</si>
  <si>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</si>
  <si>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</si>
  <si>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</si>
  <si>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</si>
  <si>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</si>
  <si>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</si>
  <si>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</si>
  <si>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</si>
  <si>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</si>
  <si>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</si>
  <si>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</si>
  <si>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</si>
  <si>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</si>
  <si>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</si>
  <si>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</si>
  <si>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</si>
  <si>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</si>
  <si>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</si>
  <si>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</si>
  <si>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</si>
  <si>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</si>
  <si>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</si>
  <si>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</si>
  <si>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</si>
  <si>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</si>
  <si>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</si>
  <si>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</si>
  <si>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</si>
  <si>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</si>
  <si>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</si>
  <si>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</si>
  <si>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</si>
  <si>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</si>
  <si>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</si>
  <si>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</si>
  <si>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</si>
  <si>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</si>
  <si>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</si>
  <si>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</si>
  <si>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</si>
  <si>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</si>
  <si>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</si>
  <si>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</si>
  <si>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</si>
  <si>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</si>
  <si>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</si>
  <si>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</si>
  <si>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</si>
  <si>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</si>
  <si>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</si>
  <si>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</si>
  <si>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</si>
  <si>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</si>
  <si>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</si>
  <si>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</si>
  <si>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</si>
  <si>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</si>
  <si>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</si>
  <si>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</si>
  <si>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</si>
  <si>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</si>
  <si>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</si>
  <si>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</si>
  <si>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</si>
  <si>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</si>
  <si>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</si>
  <si>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</si>
  <si>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</si>
  <si>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</si>
  <si>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</si>
  <si>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</si>
  <si>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</si>
  <si>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</si>
  <si>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</si>
  <si>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</si>
  <si>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</si>
  <si>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</si>
  <si>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</si>
  <si>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</si>
  <si>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</si>
  <si>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</si>
  <si>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</si>
  <si>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</si>
  <si>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</si>
  <si>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</si>
  <si>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</si>
  <si>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</si>
  <si>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</si>
  <si>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</si>
  <si>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</si>
  <si>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</si>
  <si>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</si>
  <si>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</si>
  <si>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</si>
  <si>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</si>
  <si>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</si>
  <si>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</si>
  <si>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</si>
  <si>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</si>
  <si>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</si>
  <si>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</si>
  <si>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</si>
  <si>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</si>
  <si>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</si>
  <si>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</si>
  <si>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</si>
  <si>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</si>
  <si>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</si>
  <si>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</si>
  <si>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</si>
  <si>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</si>
  <si>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</si>
  <si>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</si>
  <si>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</si>
  <si>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</si>
  <si>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</si>
  <si>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</si>
  <si>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</si>
  <si>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</si>
  <si>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</si>
  <si>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</si>
  <si>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</si>
  <si>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</si>
  <si>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</si>
  <si>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</si>
  <si>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</si>
  <si>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</si>
  <si>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</si>
  <si>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</si>
  <si>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</si>
  <si>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</si>
  <si>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</si>
  <si>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</si>
  <si>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</si>
  <si>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</si>
  <si>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</si>
  <si>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</si>
  <si>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</si>
  <si>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</si>
  <si>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</si>
  <si>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</si>
  <si>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</si>
  <si>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</si>
  <si>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</si>
  <si>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</si>
  <si>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</si>
  <si>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</si>
  <si>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</si>
  <si>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</si>
  <si>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</si>
  <si>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</si>
  <si>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</si>
  <si>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</si>
  <si>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</si>
  <si>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</si>
  <si>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</si>
  <si>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</si>
  <si>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</si>
  <si>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</si>
  <si>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</si>
  <si>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</si>
  <si>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</si>
  <si>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</si>
  <si>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</si>
  <si>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</si>
  <si>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</si>
  <si>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</si>
  <si>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</si>
  <si>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</si>
  <si>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</si>
  <si>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</si>
  <si>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</si>
  <si>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</si>
  <si>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</si>
  <si>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</si>
  <si>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</si>
  <si>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</si>
  <si>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</si>
  <si>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</si>
  <si>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</si>
  <si>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</si>
  <si>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</si>
  <si>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</si>
  <si>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</si>
  <si>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</si>
  <si>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</si>
  <si>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</si>
  <si>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</si>
  <si>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</si>
  <si>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</si>
  <si>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</si>
  <si>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</si>
  <si>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</si>
  <si>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</si>
  <si>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</si>
  <si>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</si>
  <si>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</si>
  <si>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</si>
  <si>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</si>
  <si>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</si>
  <si>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</si>
  <si>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</si>
  <si>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</si>
  <si>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</si>
  <si>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</si>
  <si>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</si>
  <si>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</si>
  <si>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</si>
  <si>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</si>
  <si>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</si>
  <si>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</si>
  <si>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</si>
  <si>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</si>
  <si>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</si>
  <si>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</si>
  <si>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</si>
  <si>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</si>
  <si>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</si>
  <si>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</si>
  <si>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</si>
  <si>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</si>
  <si>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</si>
  <si>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</si>
  <si>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</si>
  <si>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</si>
  <si>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</si>
  <si>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</si>
  <si>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</si>
  <si>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</si>
  <si>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</si>
  <si>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</si>
  <si>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</si>
  <si>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</si>
  <si>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</si>
  <si>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</si>
  <si>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</si>
  <si>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</si>
  <si>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</si>
  <si>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</si>
  <si>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</si>
  <si>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</si>
  <si>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</si>
  <si>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</si>
  <si>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</si>
  <si>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</si>
  <si>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</si>
  <si>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</si>
  <si>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</si>
  <si>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</si>
  <si>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</si>
  <si>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</si>
  <si>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</si>
  <si>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</si>
  <si>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</si>
  <si>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</si>
  <si>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</si>
  <si>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</si>
  <si>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</si>
  <si>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</si>
  <si>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</si>
  <si>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</si>
  <si>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</si>
  <si>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</si>
  <si>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</si>
  <si>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</si>
  <si>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</si>
  <si>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</si>
  <si>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</si>
  <si>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</si>
  <si>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</si>
  <si>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</si>
  <si>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</si>
  <si>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</si>
  <si>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</si>
  <si>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</si>
  <si>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</si>
  <si>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</si>
  <si>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</si>
  <si>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</si>
  <si>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</si>
  <si>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</si>
  <si>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</si>
  <si>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</si>
  <si>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</si>
  <si>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</si>
  <si>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</si>
  <si>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</si>
  <si>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</si>
  <si>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</si>
  <si>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</si>
  <si>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</si>
  <si>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</si>
  <si>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</si>
  <si>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</si>
  <si>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</si>
  <si>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</si>
  <si>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</si>
  <si>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</si>
  <si>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</si>
  <si>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</si>
  <si>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</si>
  <si>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</si>
  <si>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</si>
  <si>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</si>
  <si>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</si>
  <si>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</si>
  <si>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</si>
  <si>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</si>
  <si>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</si>
  <si>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</si>
  <si>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</si>
  <si>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</si>
  <si>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</si>
  <si>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</si>
  <si>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</si>
  <si>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</si>
  <si>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</si>
  <si>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</si>
  <si>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</si>
  <si>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</si>
  <si>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</si>
  <si>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</si>
  <si>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</si>
  <si>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</si>
  <si>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</si>
  <si>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</si>
  <si>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</si>
  <si>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</si>
  <si>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</si>
  <si>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</si>
  <si>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</si>
  <si>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</si>
  <si>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</si>
  <si>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</si>
  <si>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</si>
  <si>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</si>
  <si>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</si>
  <si>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</si>
  <si>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</si>
  <si>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</si>
  <si>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</si>
  <si>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</si>
  <si>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</si>
  <si>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</si>
  <si>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</si>
  <si>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</si>
  <si>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</si>
  <si>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</si>
  <si>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</si>
  <si>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</si>
  <si>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</si>
  <si>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</si>
  <si>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</si>
  <si>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</si>
  <si>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</si>
  <si>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</si>
  <si>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</si>
  <si>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</si>
  <si>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</si>
  <si>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</si>
  <si>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</si>
  <si>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</si>
  <si>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</si>
  <si>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</si>
  <si>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</si>
  <si>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</si>
  <si>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</si>
  <si>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</si>
  <si>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</si>
  <si>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</si>
  <si>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</si>
  <si>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</si>
  <si>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</si>
  <si>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</si>
  <si>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</si>
  <si>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</si>
  <si>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</si>
  <si>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</si>
  <si>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</si>
  <si>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</si>
  <si>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</si>
  <si>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</si>
  <si>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</si>
  <si>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</si>
  <si>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</si>
  <si>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</si>
  <si>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</si>
  <si>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</si>
  <si>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</si>
  <si>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</si>
  <si>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</si>
  <si>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</si>
  <si>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</si>
  <si>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</si>
  <si>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</si>
  <si>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</si>
  <si>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</si>
  <si>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</si>
  <si>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</si>
  <si>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</si>
  <si>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</si>
  <si>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</si>
  <si>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</si>
  <si>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</si>
  <si>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</si>
  <si>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</si>
  <si>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</si>
  <si>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</si>
  <si>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</si>
  <si>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</si>
  <si>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</si>
  <si>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</si>
  <si>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</si>
  <si>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</si>
  <si>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</si>
  <si>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</si>
  <si>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</si>
  <si>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</si>
  <si>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</si>
  <si>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</si>
  <si>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</si>
  <si>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</si>
  <si>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</si>
  <si>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</si>
  <si>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</si>
  <si>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</si>
  <si>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</si>
  <si>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</si>
  <si>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</si>
  <si>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</si>
  <si>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</si>
  <si>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</si>
  <si>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</si>
  <si>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</si>
  <si>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</si>
  <si>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</si>
  <si>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</si>
  <si>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</si>
  <si>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</si>
  <si>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</si>
  <si>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</si>
  <si>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</si>
  <si>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</si>
  <si>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</si>
  <si>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</si>
  <si>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</si>
  <si>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</si>
  <si>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</si>
  <si>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</si>
  <si>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</si>
  <si>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</si>
  <si>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</si>
  <si>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</si>
  <si>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</si>
  <si>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</si>
  <si>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</si>
  <si>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</si>
  <si>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</si>
  <si>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</si>
  <si>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</si>
  <si>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</si>
  <si>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</si>
  <si>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</si>
  <si>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</si>
  <si>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</si>
  <si>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</si>
  <si>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</si>
  <si>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</si>
  <si>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</si>
  <si>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</si>
  <si>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</si>
  <si>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</si>
  <si>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</si>
  <si>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</si>
  <si>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</si>
  <si>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</si>
  <si>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</si>
  <si>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</si>
  <si>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</si>
  <si>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</si>
  <si>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</si>
  <si>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</si>
  <si>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</si>
  <si>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</si>
  <si>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</si>
  <si>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</si>
  <si>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</si>
  <si>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</si>
  <si>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</si>
  <si>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</si>
  <si>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</si>
  <si>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</si>
  <si>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</si>
  <si>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</si>
  <si>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</si>
  <si>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</si>
  <si>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</si>
  <si>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</si>
  <si>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</si>
  <si>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</si>
  <si>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</si>
  <si>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</si>
  <si>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</si>
  <si>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</si>
  <si>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</si>
  <si>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</si>
  <si>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</si>
  <si>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</si>
  <si>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</si>
  <si>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</si>
  <si>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</si>
  <si>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</si>
  <si>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</si>
  <si>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</si>
  <si>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</si>
  <si>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</si>
  <si>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</si>
  <si>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</si>
  <si>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</si>
  <si>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</si>
  <si>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</si>
  <si>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</si>
  <si>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</si>
  <si>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</si>
  <si>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</si>
  <si>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</si>
  <si>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</si>
  <si>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</si>
  <si>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</si>
  <si>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</si>
  <si>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</si>
  <si>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</si>
  <si>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</si>
  <si>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</si>
  <si>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</si>
  <si>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</si>
  <si>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</si>
  <si>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</si>
  <si>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</si>
  <si>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</si>
  <si>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</si>
  <si>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</si>
  <si>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</si>
  <si>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</si>
  <si>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</si>
  <si>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</si>
  <si>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</si>
  <si>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</si>
  <si>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</si>
  <si>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</si>
  <si>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</si>
  <si>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</si>
  <si>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</si>
  <si>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</si>
  <si>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</si>
  <si>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</si>
  <si>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</si>
  <si>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</si>
  <si>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</si>
  <si>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</si>
  <si>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</si>
  <si>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</si>
  <si>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</si>
  <si>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</si>
  <si>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</si>
  <si>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</si>
  <si>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</si>
  <si>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</si>
  <si>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</si>
  <si>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</si>
  <si>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</si>
  <si>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</si>
  <si>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</si>
  <si>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</si>
  <si>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</si>
  <si>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</si>
  <si>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</si>
  <si>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</si>
  <si>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</si>
  <si>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</si>
  <si>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</si>
  <si>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</si>
  <si>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</si>
  <si>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</si>
  <si>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</si>
  <si>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</si>
  <si>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</si>
  <si>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</si>
  <si>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</si>
  <si>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</si>
  <si>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</si>
  <si>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</si>
  <si>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</si>
  <si>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</si>
  <si>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</si>
  <si>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</si>
  <si>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</si>
  <si>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</si>
  <si>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</si>
  <si>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</si>
  <si>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</si>
  <si>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</si>
  <si>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</si>
  <si>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</si>
  <si>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</si>
  <si>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</si>
  <si>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</si>
  <si>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</si>
  <si>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</si>
  <si>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</si>
  <si>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</si>
  <si>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</si>
  <si>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</si>
  <si>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</si>
  <si>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</si>
  <si>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</si>
  <si>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</si>
  <si>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</si>
  <si>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</si>
  <si>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</si>
  <si>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</si>
  <si>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</si>
  <si>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</si>
  <si>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</si>
  <si>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</si>
  <si>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</si>
  <si>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</si>
  <si>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</si>
  <si>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</si>
  <si>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</si>
  <si>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</si>
  <si>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</si>
  <si>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</si>
  <si>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</si>
  <si>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</si>
  <si>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</si>
  <si>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</si>
  <si>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</si>
  <si>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</si>
  <si>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</si>
  <si>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</si>
  <si>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</si>
  <si>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</si>
  <si>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</si>
  <si>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</si>
  <si>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</si>
  <si>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</si>
  <si>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</si>
  <si>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</si>
  <si>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</si>
  <si>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</si>
  <si>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</si>
  <si>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</si>
  <si>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</si>
  <si>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</si>
  <si>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</si>
  <si>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</si>
  <si>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</si>
  <si>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</si>
  <si>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</si>
  <si>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</si>
  <si>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</si>
  <si>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</si>
  <si>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</si>
  <si>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</si>
  <si>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</si>
  <si>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</si>
  <si>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</si>
  <si>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</si>
  <si>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</si>
  <si>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</si>
  <si>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</si>
  <si>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</si>
  <si>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</si>
  <si>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</si>
  <si>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</si>
  <si>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</si>
  <si>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</si>
  <si>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</si>
  <si>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</si>
  <si>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</si>
  <si>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</si>
  <si>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</si>
  <si>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</si>
  <si>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</si>
  <si>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</si>
  <si>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</si>
  <si>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</si>
  <si>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</si>
  <si>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</si>
  <si>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</si>
  <si>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</si>
  <si>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</si>
  <si>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</si>
  <si>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</si>
  <si>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</si>
  <si>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</si>
  <si>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</si>
  <si>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</si>
  <si>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</si>
  <si>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</si>
  <si>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</si>
  <si>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</si>
  <si>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</si>
  <si>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</si>
  <si>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</si>
  <si>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</si>
  <si>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</si>
  <si>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</si>
  <si>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</si>
  <si>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</si>
  <si>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</si>
  <si>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</si>
  <si>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</si>
  <si>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</si>
  <si>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</si>
  <si>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</si>
  <si>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</si>
  <si>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</si>
  <si>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</si>
  <si>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</si>
  <si>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</si>
  <si>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</si>
  <si>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</si>
  <si>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</si>
  <si>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</si>
  <si>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</si>
  <si>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</si>
  <si>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</si>
  <si>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</si>
  <si>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</si>
  <si>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</si>
  <si>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</si>
  <si>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</si>
  <si>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</si>
  <si>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</si>
  <si>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</si>
  <si>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</si>
  <si>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</si>
  <si>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</si>
  <si>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</si>
  <si>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</si>
  <si>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</si>
  <si>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</si>
  <si>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</si>
  <si>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</si>
  <si>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</si>
  <si>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</si>
  <si>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</si>
  <si>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</si>
  <si>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</si>
  <si>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</si>
  <si>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</si>
  <si>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</si>
  <si>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</si>
  <si>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</si>
  <si>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</si>
  <si>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</si>
  <si>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</si>
  <si>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</si>
  <si>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</si>
  <si>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</si>
  <si>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</si>
  <si>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</si>
  <si>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</si>
  <si>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</si>
  <si>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</si>
  <si>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</si>
  <si>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</si>
  <si>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</si>
  <si>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</si>
  <si>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</si>
  <si>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</si>
  <si>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</si>
  <si>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</si>
  <si>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</si>
  <si>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</si>
  <si>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</si>
  <si>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</si>
  <si>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</si>
  <si>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</si>
  <si>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</si>
  <si>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</si>
  <si>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</si>
  <si>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</si>
  <si>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</si>
  <si>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</si>
  <si>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</si>
  <si>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</si>
  <si>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</si>
  <si>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</si>
  <si>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</si>
  <si>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</si>
  <si>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</si>
  <si>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</si>
  <si>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</si>
  <si>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</si>
  <si>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</si>
  <si>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</si>
  <si>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</si>
  <si>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</si>
  <si>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</si>
  <si>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</si>
  <si>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</si>
  <si>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</si>
  <si>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</si>
  <si>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</si>
  <si>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</si>
  <si>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</si>
  <si>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</si>
  <si>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</si>
  <si>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</si>
  <si>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</si>
  <si>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</si>
  <si>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</si>
  <si>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</si>
  <si>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</si>
  <si>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</si>
  <si>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</si>
  <si>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</si>
  <si>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</si>
  <si>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</si>
  <si>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</si>
  <si>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</si>
  <si>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</si>
  <si>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</si>
  <si>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</si>
  <si>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</si>
  <si>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</si>
  <si>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</si>
  <si>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</si>
  <si>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</si>
  <si>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</si>
  <si>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</si>
  <si>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</si>
  <si>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</si>
  <si>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</si>
  <si>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</si>
  <si>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</si>
  <si>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</si>
  <si>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</si>
  <si>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</si>
  <si>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</si>
  <si>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</si>
  <si>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</si>
  <si>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</si>
  <si>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</si>
  <si>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</si>
  <si>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</si>
  <si>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</si>
  <si>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</si>
  <si>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</si>
  <si>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</si>
  <si>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</si>
  <si>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</si>
  <si>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</si>
  <si>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</si>
  <si>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</si>
  <si>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</si>
  <si>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</si>
  <si>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</si>
  <si>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</si>
  <si>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</si>
  <si>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</si>
  <si>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</si>
  <si>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</si>
  <si>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</si>
  <si>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</si>
  <si>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</si>
  <si>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</si>
  <si>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</si>
  <si>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</si>
  <si>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</si>
  <si>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</si>
  <si>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</si>
  <si>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</si>
  <si>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</si>
  <si>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</si>
  <si>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</si>
  <si>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</si>
  <si>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</si>
  <si>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</si>
  <si>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</si>
  <si>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</si>
  <si>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</si>
  <si>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</si>
  <si>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</si>
  <si>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</si>
  <si>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</si>
  <si>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</si>
  <si>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</si>
  <si>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</si>
  <si>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</si>
  <si>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</si>
  <si>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</si>
  <si>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</si>
  <si>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</si>
  <si>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</si>
  <si>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</si>
  <si>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</si>
  <si>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</si>
  <si>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</si>
  <si>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</si>
  <si>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</si>
  <si>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</si>
  <si>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</si>
  <si>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</si>
  <si>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</si>
  <si>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</si>
  <si>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</si>
  <si>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</si>
  <si>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</si>
  <si>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</si>
  <si>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</si>
  <si>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</si>
  <si>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</si>
  <si>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</si>
  <si>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</si>
  <si>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</si>
  <si>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</si>
  <si>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</si>
  <si>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</si>
  <si>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</si>
  <si>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</si>
  <si>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</si>
  <si>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</si>
  <si>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</si>
  <si>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</si>
  <si>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</si>
  <si>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</si>
  <si>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</si>
  <si>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</si>
  <si>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</si>
  <si>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</si>
  <si>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</si>
  <si>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</si>
  <si>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</si>
  <si>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</si>
  <si>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</si>
  <si>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</si>
  <si>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</si>
  <si>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</si>
  <si>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</si>
  <si>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</si>
  <si>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</si>
  <si>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</si>
  <si>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</si>
  <si>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</si>
  <si>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</si>
  <si>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</si>
  <si>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</si>
  <si>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</si>
  <si>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</si>
  <si>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</si>
  <si>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</si>
  <si>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</si>
  <si>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</si>
  <si>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</si>
  <si>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</si>
  <si>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</si>
  <si>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</si>
  <si>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</si>
  <si>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</si>
  <si>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</si>
  <si>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</si>
  <si>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</si>
  <si>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</si>
  <si>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</si>
  <si>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</si>
  <si>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</si>
  <si>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</si>
  <si>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</si>
  <si>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</si>
  <si>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</si>
  <si>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</si>
  <si>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</si>
  <si>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</si>
  <si>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</si>
  <si>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</si>
  <si>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</si>
  <si>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</si>
  <si>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</si>
  <si>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</si>
  <si>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</si>
  <si>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</si>
  <si>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</si>
  <si>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</si>
  <si>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</si>
  <si>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</si>
  <si>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</si>
  <si>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</si>
  <si>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</si>
  <si>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</si>
  <si>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</si>
  <si>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</si>
  <si>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</si>
  <si>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</si>
  <si>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</si>
  <si>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</si>
  <si>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</si>
  <si>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</si>
  <si>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</si>
  <si>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</si>
  <si>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</si>
  <si>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</si>
  <si>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</si>
  <si>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</si>
  <si>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</si>
  <si>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</si>
  <si>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</si>
  <si>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</si>
  <si>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</si>
  <si>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</si>
  <si>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</si>
  <si>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</si>
  <si>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</si>
  <si>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</si>
  <si>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</si>
  <si>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</si>
  <si>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</si>
  <si>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</si>
  <si>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</si>
  <si>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</si>
  <si>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</si>
  <si>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</si>
  <si>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</si>
  <si>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</si>
  <si>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</si>
  <si>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</si>
  <si>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</si>
  <si>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</si>
  <si>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</si>
  <si>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</si>
  <si>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</si>
  <si>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</si>
  <si>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</si>
  <si>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</si>
  <si>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</si>
  <si>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</si>
  <si>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</si>
  <si>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</si>
  <si>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</si>
  <si>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</si>
  <si>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</si>
  <si>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</si>
  <si>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</si>
  <si>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</si>
  <si>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</si>
  <si>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</si>
  <si>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</si>
  <si>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</si>
  <si>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</si>
  <si>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</si>
  <si>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</si>
  <si>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</si>
  <si>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</si>
  <si>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</si>
  <si>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</si>
  <si>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</si>
  <si>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</si>
  <si>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</si>
  <si>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</si>
  <si>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</si>
  <si>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</si>
  <si>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</si>
  <si>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</si>
  <si>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</si>
  <si>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</si>
  <si>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</si>
  <si>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</si>
  <si>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</si>
  <si>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</si>
  <si>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</si>
  <si>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</si>
  <si>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</si>
  <si>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</si>
  <si>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</si>
  <si>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</si>
  <si>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</si>
  <si>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</si>
  <si>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</si>
  <si>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</si>
  <si>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</si>
  <si>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</si>
  <si>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</si>
  <si>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</si>
  <si>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</si>
  <si>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</si>
  <si>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</si>
  <si>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</si>
  <si>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</si>
  <si>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</si>
  <si>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</si>
  <si>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</si>
  <si>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</si>
  <si>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</si>
  <si>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</si>
  <si>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</si>
  <si>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</si>
  <si>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</si>
  <si>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</si>
  <si>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</si>
  <si>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</si>
  <si>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</si>
  <si>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</si>
  <si>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</si>
  <si>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</si>
  <si>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</si>
  <si>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</si>
  <si>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</si>
  <si>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</si>
  <si>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</si>
  <si>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</si>
  <si>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</si>
  <si>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</si>
  <si>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</si>
  <si>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</si>
  <si>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</si>
  <si>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</si>
  <si>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</si>
  <si>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</si>
  <si>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</si>
  <si>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</si>
  <si>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</si>
  <si>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</si>
  <si>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</si>
  <si>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</si>
  <si>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</si>
  <si>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</si>
  <si>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</si>
  <si>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</si>
  <si>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</si>
  <si>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</si>
  <si>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</si>
  <si>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</si>
  <si>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</si>
  <si>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</si>
  <si>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</si>
  <si>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</si>
  <si>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</si>
  <si>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</si>
  <si>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</si>
  <si>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</si>
  <si>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</si>
  <si>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</si>
  <si>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</si>
  <si>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</si>
  <si>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</si>
  <si>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</si>
  <si>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</si>
  <si>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</si>
  <si>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</si>
  <si>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</si>
  <si>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</si>
  <si>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</si>
  <si>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</si>
  <si>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</si>
  <si>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</si>
  <si>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</si>
  <si>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</si>
  <si>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</si>
  <si>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</si>
  <si>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</si>
  <si>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</si>
  <si>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</si>
  <si>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</si>
  <si>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</si>
  <si>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</si>
  <si>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</si>
  <si>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</si>
  <si>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</si>
  <si>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</si>
  <si>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</si>
  <si>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</si>
  <si>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</si>
  <si>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</si>
  <si>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</si>
  <si>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</si>
  <si>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</si>
  <si>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</si>
  <si>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</si>
  <si>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</si>
  <si>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</si>
  <si>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</si>
  <si>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</si>
  <si>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</si>
  <si>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</si>
  <si>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</si>
  <si>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</si>
  <si>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</si>
  <si>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</si>
  <si>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</si>
  <si>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</si>
  <si>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</si>
  <si>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</si>
  <si>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</si>
  <si>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</si>
  <si>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</si>
  <si>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</si>
  <si>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</si>
  <si>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</si>
  <si>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</si>
  <si>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</si>
  <si>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</si>
  <si>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</si>
  <si>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</si>
  <si>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</si>
  <si>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</si>
  <si>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</si>
  <si>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</si>
  <si>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</si>
  <si>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</si>
  <si>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</si>
  <si>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</si>
  <si>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</si>
  <si>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</si>
  <si>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</si>
  <si>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</si>
  <si>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</si>
  <si>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</si>
  <si>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</si>
  <si>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</si>
  <si>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</si>
  <si>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</si>
  <si>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</si>
  <si>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</si>
  <si>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</si>
  <si>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</si>
  <si>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</si>
  <si>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</si>
  <si>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</si>
  <si>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</si>
  <si>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</si>
  <si>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</si>
  <si>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</si>
  <si>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</si>
  <si>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</si>
  <si>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</si>
  <si>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</si>
  <si>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</si>
  <si>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</si>
  <si>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</si>
  <si>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</si>
  <si>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</si>
  <si>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</si>
  <si>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</si>
  <si>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</si>
  <si>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</si>
  <si>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</si>
  <si>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</si>
  <si>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</si>
  <si>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</si>
  <si>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</si>
  <si>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</si>
  <si>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</si>
  <si>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</si>
  <si>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</si>
  <si>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</si>
  <si>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</si>
  <si>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</si>
  <si>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</si>
  <si>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</si>
  <si>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</si>
  <si>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</si>
  <si>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</si>
  <si>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</si>
  <si>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</si>
  <si>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</si>
  <si>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</si>
  <si>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</si>
  <si>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</si>
  <si>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</si>
  <si>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</si>
  <si>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</si>
  <si>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</si>
  <si>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</si>
  <si>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</si>
  <si>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</si>
  <si>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</si>
  <si>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</si>
  <si>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</si>
  <si>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</si>
  <si>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</si>
  <si>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</si>
  <si>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</si>
  <si>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</si>
  <si>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</si>
  <si>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</si>
  <si>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</si>
  <si>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</si>
  <si>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</si>
  <si>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</si>
  <si>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</si>
  <si>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</si>
  <si>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</si>
  <si>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</si>
  <si>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</si>
  <si>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</si>
  <si>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</si>
  <si>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</si>
  <si>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</si>
  <si>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</si>
  <si>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</si>
  <si>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</si>
  <si>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</si>
  <si>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</si>
  <si>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</si>
  <si>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</si>
  <si>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</si>
  <si>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</si>
  <si>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</si>
  <si>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</si>
  <si>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</si>
  <si>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</si>
  <si>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</si>
  <si>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</si>
  <si>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</si>
  <si>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</si>
  <si>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</si>
  <si>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</si>
  <si>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</si>
  <si>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</si>
  <si>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</si>
  <si>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</si>
  <si>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</si>
  <si>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</si>
  <si>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</si>
  <si>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</si>
  <si>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</si>
  <si>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</si>
  <si>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</si>
  <si>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</si>
  <si>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</si>
  <si>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</si>
  <si>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</si>
  <si>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</si>
  <si>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</si>
  <si>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</si>
  <si>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</si>
  <si>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</si>
  <si>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</si>
  <si>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</si>
  <si>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</si>
  <si>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</si>
  <si>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</si>
  <si>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</si>
  <si>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</si>
  <si>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</si>
  <si>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</si>
  <si>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</si>
  <si>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</si>
  <si>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</si>
  <si>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</si>
  <si>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</si>
  <si>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</si>
  <si>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</si>
  <si>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</si>
  <si>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</si>
  <si>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</si>
  <si>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</si>
  <si>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</si>
  <si>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</si>
  <si>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</si>
  <si>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</si>
  <si>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</si>
  <si>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</si>
  <si>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</si>
  <si>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</si>
  <si>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</si>
  <si>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</si>
  <si>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</si>
  <si>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</si>
  <si>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</si>
  <si>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</si>
  <si>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</si>
  <si>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</si>
  <si>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</si>
  <si>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</si>
  <si>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</si>
  <si>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</si>
  <si>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</si>
  <si>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</si>
  <si>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</si>
  <si>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</si>
  <si>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</si>
  <si>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</si>
  <si>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</si>
  <si>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</si>
  <si>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</si>
  <si>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</si>
  <si>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</si>
  <si>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</si>
  <si>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</si>
  <si>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</si>
  <si>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</si>
  <si>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</si>
  <si>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</si>
  <si>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</si>
  <si>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</si>
  <si>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</si>
  <si>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</si>
  <si>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</si>
  <si>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</si>
  <si>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</si>
  <si>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</si>
  <si>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</si>
  <si>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</si>
  <si>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</si>
  <si>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</si>
  <si>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</si>
  <si>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</si>
  <si>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</si>
  <si>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</si>
  <si>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</si>
  <si>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</si>
  <si>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</si>
  <si>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</si>
  <si>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</si>
  <si>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</si>
  <si>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</si>
  <si>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</si>
  <si>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</si>
  <si>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</si>
  <si>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</si>
  <si>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</si>
  <si>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</si>
  <si>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</si>
  <si>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</si>
  <si>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</si>
  <si>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</si>
  <si>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</si>
  <si>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</si>
  <si>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</si>
  <si>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</si>
  <si>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</si>
  <si>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</si>
  <si>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</si>
  <si>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</si>
  <si>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</si>
  <si>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</si>
  <si>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</si>
  <si>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</si>
  <si>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</si>
  <si>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</si>
  <si>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</si>
  <si>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</si>
  <si>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</si>
  <si>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</si>
  <si>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</si>
  <si>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</si>
  <si>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</si>
  <si>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</si>
  <si>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</si>
  <si>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</si>
  <si>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</si>
  <si>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</si>
  <si>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</si>
  <si>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</si>
  <si>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</si>
  <si>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</si>
  <si>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</si>
  <si>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</si>
  <si>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</si>
  <si>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</si>
  <si>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</si>
  <si>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</si>
  <si>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</si>
  <si>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</si>
  <si>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</si>
  <si>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</si>
  <si>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</si>
  <si>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</si>
  <si>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</si>
  <si>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</si>
  <si>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</si>
  <si>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</si>
  <si>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</si>
  <si>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</si>
  <si>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</si>
  <si>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</si>
  <si>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</si>
  <si>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</si>
  <si>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</si>
  <si>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</si>
  <si>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</si>
  <si>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</si>
  <si>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</si>
  <si>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</si>
  <si>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</si>
  <si>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</si>
  <si>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</si>
  <si>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</si>
  <si>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</si>
  <si>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</si>
  <si>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</si>
  <si>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</si>
  <si>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</si>
  <si>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</si>
  <si>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</si>
  <si>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</si>
  <si>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</si>
  <si>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</si>
  <si>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</si>
  <si>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</si>
  <si>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</si>
  <si>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</si>
  <si>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</si>
  <si>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</si>
  <si>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</si>
  <si>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</si>
  <si>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</si>
  <si>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</si>
  <si>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</si>
  <si>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</si>
  <si>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</si>
  <si>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</si>
  <si>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</si>
  <si>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</si>
  <si>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</si>
  <si>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</si>
  <si>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</si>
  <si>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</si>
  <si>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</si>
  <si>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</si>
  <si>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</si>
  <si>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</si>
  <si>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</si>
  <si>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</si>
  <si>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</si>
  <si>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</si>
  <si>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</si>
  <si>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</si>
  <si>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</si>
  <si>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</si>
  <si>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</si>
  <si>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</si>
  <si>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</si>
  <si>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</si>
  <si>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</si>
  <si>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</si>
  <si>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</si>
  <si>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</si>
  <si>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</si>
  <si>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</si>
  <si>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</si>
  <si>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</si>
  <si>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</si>
  <si>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</si>
  <si>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</si>
  <si>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</si>
  <si>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</si>
  <si>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</si>
  <si>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</si>
  <si>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</si>
  <si>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</si>
  <si>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</si>
  <si>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</si>
  <si>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</si>
  <si>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</si>
  <si>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</si>
  <si>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</si>
  <si>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</si>
  <si>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</si>
  <si>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</si>
  <si>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</si>
  <si>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</si>
  <si>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</si>
  <si>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</si>
  <si>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</si>
  <si>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</si>
  <si>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</si>
  <si>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</si>
  <si>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</si>
  <si>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</si>
  <si>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</si>
  <si>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</si>
  <si>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</si>
  <si>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</si>
  <si>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</si>
  <si>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</si>
  <si>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</si>
  <si>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</si>
  <si>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</si>
  <si>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</si>
  <si>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</si>
  <si>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</si>
  <si>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</si>
  <si>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</si>
  <si>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</si>
  <si>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</si>
  <si>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</si>
  <si>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</si>
  <si>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</si>
  <si>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</si>
  <si>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</si>
  <si>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</si>
  <si>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</si>
  <si>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</si>
  <si>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</si>
  <si>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</si>
  <si>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</si>
  <si>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</si>
  <si>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</si>
  <si>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</si>
  <si>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</si>
  <si>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</si>
  <si>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</si>
  <si>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</si>
  <si>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</si>
  <si>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</si>
  <si>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</si>
  <si>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</si>
  <si>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</si>
  <si>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</si>
  <si>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</si>
  <si>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</si>
  <si>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</si>
  <si>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</si>
  <si>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</si>
  <si>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</si>
  <si>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</si>
  <si>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</si>
  <si>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</si>
  <si>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</si>
  <si>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</si>
  <si>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</si>
  <si>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</si>
  <si>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</si>
  <si>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</si>
  <si>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</si>
  <si>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</si>
  <si>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</si>
  <si>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</si>
  <si>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</si>
  <si>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</si>
  <si>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</si>
  <si>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</si>
  <si>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</si>
  <si>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</si>
  <si>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</si>
  <si>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</si>
  <si>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</si>
  <si>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</si>
  <si>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</si>
  <si>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</si>
  <si>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</si>
  <si>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</si>
  <si>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</si>
  <si>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</si>
  <si>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</si>
  <si>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</si>
  <si>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</si>
  <si>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</si>
  <si>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</si>
  <si>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</si>
  <si>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</si>
  <si>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</si>
  <si>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</si>
  <si>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</si>
  <si>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</si>
  <si>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</si>
  <si>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</si>
  <si>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</si>
  <si>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</si>
  <si>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</si>
  <si>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</si>
  <si>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</si>
  <si>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</si>
  <si>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</si>
  <si>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</si>
  <si>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</si>
  <si>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</si>
  <si>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</si>
  <si>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</si>
  <si>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</si>
  <si>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</si>
  <si>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</si>
  <si>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</si>
  <si>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</si>
  <si>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</si>
  <si>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</si>
  <si>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</si>
  <si>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</si>
  <si>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</si>
  <si>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</si>
  <si>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</si>
  <si>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</si>
  <si>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</si>
  <si>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</si>
  <si>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</si>
  <si>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</si>
  <si>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</si>
  <si>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</si>
  <si>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</si>
  <si>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</si>
  <si>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</si>
  <si>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</si>
  <si>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</si>
  <si>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</si>
  <si>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</si>
  <si>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</si>
  <si>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</si>
  <si>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</si>
  <si>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</si>
  <si>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</si>
  <si>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</si>
  <si>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</si>
  <si>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</si>
  <si>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</si>
  <si>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</si>
  <si>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</si>
  <si>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</si>
  <si>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</si>
  <si>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</si>
  <si>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</si>
  <si>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</si>
  <si>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</si>
  <si>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</si>
  <si>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</si>
  <si>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</si>
  <si>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</si>
  <si>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</si>
  <si>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</si>
  <si>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</si>
  <si>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</si>
  <si>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</si>
  <si>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</si>
  <si>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</si>
  <si>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</si>
  <si>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</si>
  <si>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</si>
  <si>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</si>
  <si>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</si>
  <si>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</si>
  <si>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</si>
  <si>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</si>
  <si>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</si>
  <si>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</si>
  <si>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</si>
  <si>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</si>
  <si>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</si>
  <si>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</si>
  <si>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</si>
  <si>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</si>
  <si>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</si>
  <si>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</si>
  <si>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</si>
  <si>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</si>
  <si>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</si>
  <si>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</si>
  <si>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</si>
  <si>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</si>
  <si>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</si>
  <si>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</si>
  <si>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</si>
  <si>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</si>
  <si>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</si>
  <si>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</si>
  <si>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</si>
  <si>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</si>
  <si>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</si>
  <si>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</si>
  <si>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</si>
  <si>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</si>
  <si>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</si>
  <si>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</si>
  <si>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</si>
  <si>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</si>
  <si>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</si>
  <si>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</si>
  <si>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</si>
  <si>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</si>
  <si>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</si>
  <si>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</si>
  <si>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</si>
  <si>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</si>
  <si>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</si>
  <si>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</si>
  <si>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</si>
  <si>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</si>
  <si>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</si>
  <si>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</si>
  <si>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</si>
  <si>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</si>
  <si>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</si>
  <si>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</si>
  <si>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</si>
  <si>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</si>
  <si>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</si>
  <si>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</si>
  <si>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</si>
  <si>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</si>
  <si>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</si>
  <si>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</si>
  <si>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</si>
  <si>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</si>
  <si>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</si>
  <si>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</si>
  <si>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</si>
  <si>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</si>
  <si>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</si>
  <si>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</si>
  <si>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</si>
  <si>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</si>
  <si>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</si>
  <si>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</si>
  <si>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</si>
  <si>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</si>
  <si>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</si>
  <si>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</si>
  <si>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</si>
  <si>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</si>
  <si>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</si>
  <si>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</si>
  <si>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</si>
  <si>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</si>
  <si>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</si>
  <si>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</si>
  <si>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</si>
  <si>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</si>
  <si>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</si>
  <si>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</si>
  <si>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</si>
  <si>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</si>
  <si>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</si>
  <si>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</si>
  <si>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</si>
  <si>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</si>
  <si>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</si>
  <si>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</si>
  <si>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</si>
  <si>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</si>
  <si>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</si>
  <si>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</si>
  <si>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</si>
  <si>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</si>
  <si>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</si>
  <si>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</si>
  <si>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</si>
  <si>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</si>
  <si>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</si>
  <si>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</si>
  <si>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</si>
  <si>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</si>
  <si>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</si>
  <si>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</si>
  <si>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</si>
  <si>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</si>
  <si>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</si>
  <si>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</si>
  <si>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</si>
  <si>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</si>
  <si>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</si>
  <si>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</si>
  <si>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</si>
  <si>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</si>
  <si>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</si>
  <si>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</si>
  <si>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</si>
  <si>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</si>
  <si>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</si>
  <si>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</si>
  <si>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</si>
  <si>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</si>
  <si>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</si>
  <si>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</si>
  <si>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</si>
  <si>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</si>
  <si>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</si>
  <si>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</si>
  <si>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</si>
  <si>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</si>
  <si>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</si>
  <si>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</si>
  <si>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</si>
  <si>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</si>
  <si>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</si>
  <si>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</si>
  <si>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</si>
  <si>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</si>
  <si>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</si>
  <si>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</si>
  <si>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</si>
  <si>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</si>
  <si>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</si>
  <si>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</si>
  <si>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</si>
  <si>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</si>
  <si>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</si>
  <si>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</si>
  <si>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</si>
  <si>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</si>
  <si>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</si>
  <si>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</si>
  <si>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</si>
  <si>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</si>
  <si>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</si>
  <si>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</si>
  <si>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</si>
  <si>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</si>
  <si>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</si>
  <si>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</si>
  <si>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</si>
  <si>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</si>
  <si>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</si>
  <si>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</si>
  <si>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</si>
  <si>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</si>
  <si>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</si>
  <si>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</si>
  <si>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</si>
  <si>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</si>
  <si>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</si>
  <si>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</si>
  <si>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</si>
  <si>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</si>
  <si>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</si>
  <si>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</si>
  <si>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</si>
  <si>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</si>
  <si>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</si>
  <si>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</si>
  <si>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</si>
  <si>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</si>
  <si>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</si>
  <si>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</si>
  <si>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</si>
  <si>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</si>
  <si>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</si>
  <si>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</si>
  <si>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</si>
  <si>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</si>
  <si>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</si>
  <si>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</si>
  <si>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</si>
  <si>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</si>
  <si>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</si>
  <si>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</si>
  <si>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</si>
  <si>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</si>
  <si>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</si>
  <si>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</si>
  <si>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</si>
  <si>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</si>
  <si>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</si>
  <si>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</si>
  <si>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</si>
  <si>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</si>
  <si>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</si>
  <si>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</si>
  <si>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</si>
  <si>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</si>
  <si>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</si>
  <si>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</si>
  <si>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</si>
  <si>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</si>
  <si>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</si>
  <si>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</si>
  <si>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</si>
  <si>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</si>
  <si>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</si>
  <si>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</si>
  <si>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</si>
  <si>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</si>
  <si>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</si>
  <si>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</si>
  <si>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</si>
  <si>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</si>
  <si>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</si>
  <si>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</si>
  <si>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</si>
  <si>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</si>
  <si>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</si>
  <si>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</si>
  <si>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</si>
  <si>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</si>
  <si>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</si>
  <si>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</si>
  <si>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</si>
  <si>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</si>
  <si>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</si>
  <si>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</si>
  <si>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</si>
  <si>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</si>
  <si>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</si>
  <si>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</si>
  <si>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</si>
  <si>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</si>
  <si>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</si>
  <si>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</si>
  <si>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</si>
  <si>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</si>
  <si>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</si>
  <si>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</si>
  <si>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</si>
  <si>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</si>
  <si>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</si>
  <si>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</si>
  <si>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</si>
  <si>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</si>
  <si>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</si>
  <si>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</si>
  <si>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</si>
  <si>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</si>
  <si>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</si>
  <si>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</si>
  <si>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</si>
  <si>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</si>
  <si>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</si>
  <si>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</si>
  <si>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</si>
  <si>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</si>
  <si>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</si>
  <si>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</si>
  <si>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</si>
  <si>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</si>
  <si>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</si>
  <si>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</si>
  <si>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</si>
  <si>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</si>
  <si>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</si>
  <si>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</si>
  <si>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</si>
  <si>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</si>
  <si>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</si>
  <si>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</si>
  <si>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</si>
  <si>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</si>
  <si>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</si>
  <si>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</si>
  <si>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</si>
  <si>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</si>
  <si>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</si>
  <si>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</si>
  <si>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</si>
  <si>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</si>
  <si>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</si>
  <si>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</si>
  <si>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</si>
  <si>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</si>
  <si>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</si>
  <si>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</si>
  <si>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</si>
  <si>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</si>
  <si>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</si>
  <si>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</si>
  <si>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</si>
  <si>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</si>
  <si>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</si>
  <si>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</si>
  <si>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</si>
  <si>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</si>
  <si>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</si>
  <si>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</si>
  <si>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</si>
  <si>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</si>
  <si>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</si>
  <si>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</si>
  <si>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</si>
  <si>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</si>
  <si>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</si>
  <si>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</si>
  <si>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</si>
  <si>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</si>
  <si>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</si>
  <si>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</si>
  <si>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</si>
  <si>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</si>
  <si>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</si>
  <si>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</si>
  <si>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</si>
  <si>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</si>
  <si>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</si>
  <si>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</si>
  <si>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</si>
  <si>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</si>
  <si>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</si>
  <si>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</si>
  <si>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</si>
  <si>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</si>
  <si>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</si>
  <si>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</si>
  <si>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</si>
  <si>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</si>
  <si>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</si>
  <si>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</si>
  <si>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</si>
  <si>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</si>
  <si>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</si>
  <si>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</si>
  <si>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</si>
  <si>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</si>
  <si>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</si>
  <si>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</si>
  <si>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</si>
  <si>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</si>
  <si>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</si>
  <si>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</si>
  <si>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</si>
  <si>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</si>
  <si>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</si>
  <si>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</si>
  <si>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</si>
  <si>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</si>
  <si>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</si>
  <si>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</si>
  <si>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</si>
  <si>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</si>
  <si>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</si>
  <si>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</si>
  <si>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</si>
  <si>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</si>
  <si>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</si>
  <si>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</si>
  <si>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</si>
  <si>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</si>
  <si>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</si>
  <si>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</si>
  <si>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</si>
  <si>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</si>
  <si>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</si>
  <si>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</si>
  <si>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</si>
  <si>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</si>
  <si>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</si>
  <si>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</si>
  <si>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</si>
  <si>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</si>
  <si>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</si>
  <si>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</si>
  <si>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</si>
  <si>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</si>
  <si>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</si>
  <si>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</si>
  <si>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</si>
  <si>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</si>
  <si>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</si>
  <si>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</si>
  <si>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</si>
  <si>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</si>
  <si>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</si>
  <si>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</si>
  <si>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</si>
  <si>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</si>
  <si>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</si>
  <si>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</si>
  <si>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</si>
  <si>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</si>
  <si>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</si>
  <si>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</si>
  <si>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</si>
  <si>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</si>
  <si>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</si>
  <si>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</si>
  <si>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</si>
  <si>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</si>
  <si>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</si>
  <si>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</si>
  <si>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</si>
  <si>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</si>
  <si>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</si>
  <si>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</si>
  <si>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</si>
  <si>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</si>
  <si>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</si>
  <si>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</si>
  <si>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</si>
  <si>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</si>
  <si>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</si>
  <si>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</si>
  <si>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</si>
  <si>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</si>
  <si>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</si>
  <si>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</si>
  <si>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</si>
  <si>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</si>
  <si>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</si>
  <si>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</si>
  <si>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</si>
  <si>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</si>
  <si>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</si>
  <si>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</si>
  <si>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</si>
  <si>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</si>
  <si>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</si>
  <si>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</si>
  <si>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</si>
  <si>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</si>
  <si>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</si>
  <si>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</si>
  <si>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</si>
  <si>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</si>
  <si>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</si>
  <si>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</si>
  <si>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</si>
  <si>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</si>
  <si>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</si>
  <si>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</si>
  <si>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</si>
  <si>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</si>
  <si>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</si>
  <si>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</si>
  <si>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</si>
  <si>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</si>
  <si>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</si>
  <si>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</si>
  <si>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</si>
  <si>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</si>
  <si>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</si>
  <si>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</si>
  <si>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</si>
  <si>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</si>
  <si>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</si>
  <si>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</si>
  <si>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</si>
  <si>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</si>
  <si>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</si>
  <si>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</si>
  <si>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</si>
  <si>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</si>
  <si>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</si>
  <si>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</si>
  <si>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</si>
  <si>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</si>
  <si>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</si>
  <si>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</si>
  <si>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</si>
  <si>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</si>
  <si>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</si>
  <si>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</si>
  <si>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</si>
  <si>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</si>
  <si>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</si>
  <si>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</si>
  <si>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</si>
  <si>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</si>
  <si>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</si>
  <si>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</si>
  <si>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</si>
  <si>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</si>
  <si>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</si>
  <si>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</si>
  <si>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</si>
  <si>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</si>
  <si>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</si>
  <si>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</si>
  <si>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</si>
  <si>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</si>
  <si>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</si>
  <si>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</si>
  <si>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</si>
  <si>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</si>
  <si>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</si>
  <si>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</si>
  <si>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</si>
  <si>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</si>
  <si>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</si>
  <si>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</si>
  <si>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</si>
  <si>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</si>
  <si>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</si>
  <si>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</si>
  <si>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</si>
  <si>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</si>
  <si>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</si>
  <si>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</si>
  <si>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</si>
  <si>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</si>
  <si>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</si>
  <si>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</si>
  <si>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</si>
  <si>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</si>
  <si>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</si>
  <si>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</si>
  <si>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</si>
  <si>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</si>
  <si>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</si>
  <si>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</si>
  <si>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</si>
  <si>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</si>
  <si>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</si>
  <si>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</si>
  <si>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</si>
  <si>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</si>
  <si>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</si>
  <si>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</si>
  <si>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</si>
  <si>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</si>
  <si>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</si>
  <si>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</si>
  <si>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</si>
  <si>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</si>
  <si>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</si>
  <si>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</si>
  <si>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</si>
  <si>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</si>
  <si>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</si>
  <si>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</si>
  <si>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</si>
  <si>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</si>
  <si>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</si>
  <si>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</si>
  <si>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</si>
  <si>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</si>
  <si>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</si>
  <si>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</si>
  <si>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</si>
  <si>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</si>
  <si>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</si>
  <si>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</si>
  <si>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</si>
  <si>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</si>
  <si>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</si>
  <si>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</si>
  <si>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</si>
  <si>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</si>
  <si>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</si>
  <si>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</si>
  <si>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</si>
  <si>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</si>
  <si>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</si>
  <si>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</si>
  <si>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</si>
  <si>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</si>
  <si>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</si>
  <si>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</si>
  <si>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</si>
  <si>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</si>
  <si>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</si>
  <si>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</si>
  <si>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</si>
  <si>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</si>
  <si>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</si>
  <si>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</si>
  <si>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</si>
  <si>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</si>
  <si>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</si>
  <si>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</si>
  <si>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</si>
  <si>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</si>
  <si>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</si>
  <si>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</si>
  <si>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</si>
  <si>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</si>
  <si>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</si>
  <si>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</si>
  <si>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</si>
  <si>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</si>
  <si>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</si>
  <si>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</si>
  <si>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</si>
  <si>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</si>
  <si>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</si>
  <si>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</si>
  <si>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</si>
  <si>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</si>
  <si>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</si>
  <si>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</si>
  <si>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</si>
  <si>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</si>
  <si>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</si>
  <si>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</si>
  <si>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</si>
  <si>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</si>
  <si>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</si>
  <si>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</si>
  <si>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</si>
  <si>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</si>
  <si>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</si>
  <si>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</si>
  <si>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</si>
  <si>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</si>
  <si>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</si>
  <si>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</si>
  <si>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</si>
  <si>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</si>
  <si>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</si>
  <si>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</si>
  <si>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</si>
  <si>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</si>
  <si>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</si>
  <si>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</si>
  <si>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</si>
  <si>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</si>
  <si>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</si>
  <si>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</si>
  <si>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</si>
  <si>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</si>
  <si>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</si>
  <si>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</si>
  <si>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</si>
  <si>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</si>
  <si>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</si>
  <si>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</si>
  <si>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</si>
  <si>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</si>
  <si>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</si>
  <si>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</si>
  <si>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</si>
  <si>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</si>
  <si>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</si>
  <si>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</si>
  <si>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</si>
  <si>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</si>
  <si>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</si>
  <si>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</si>
  <si>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</si>
  <si>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</si>
  <si>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</si>
  <si>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</si>
  <si>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</si>
  <si>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</si>
  <si>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</si>
  <si>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</si>
  <si>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</si>
  <si>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</si>
  <si>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</si>
  <si>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</si>
  <si>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</si>
  <si>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</si>
  <si>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</si>
  <si>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</si>
  <si>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</si>
  <si>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</si>
  <si>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</si>
  <si>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</si>
  <si>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</si>
  <si>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</si>
  <si>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</si>
  <si>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</si>
  <si>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</si>
  <si>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</si>
  <si>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</si>
  <si>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</si>
  <si>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</si>
  <si>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</si>
  <si>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</si>
  <si>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</si>
  <si>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</si>
  <si>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</si>
  <si>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</si>
  <si>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</si>
  <si>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</si>
  <si>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</si>
  <si>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</si>
  <si>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</si>
  <si>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</si>
  <si>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</si>
  <si>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</si>
  <si>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</si>
  <si>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</si>
  <si>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</si>
  <si>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</si>
  <si>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</si>
  <si>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</si>
  <si>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</si>
  <si>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</si>
  <si>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</si>
  <si>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</si>
  <si>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</si>
  <si>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</si>
  <si>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</si>
  <si>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</si>
  <si>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</si>
  <si>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</si>
  <si>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</si>
  <si>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</si>
  <si>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</si>
  <si>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</si>
  <si>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</si>
  <si>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</si>
  <si>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</si>
  <si>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</si>
  <si>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</si>
  <si>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</si>
  <si>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</si>
  <si>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</si>
  <si>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</si>
  <si>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</si>
  <si>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</si>
  <si>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</si>
  <si>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</si>
  <si>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</si>
  <si>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</si>
  <si>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</si>
  <si>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</si>
  <si>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</si>
  <si>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</si>
  <si>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</si>
  <si>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</si>
  <si>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</si>
  <si>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</si>
  <si>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</si>
  <si>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</si>
  <si>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</si>
  <si>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</si>
  <si>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</si>
  <si>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</si>
  <si>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</si>
  <si>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</si>
  <si>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</si>
  <si>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</si>
  <si>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</si>
  <si>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</si>
  <si>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</si>
  <si>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</si>
  <si>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</si>
  <si>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</si>
  <si>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</si>
  <si>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</si>
  <si>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</si>
  <si>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</si>
  <si>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</si>
  <si>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</si>
  <si>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</si>
  <si>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</si>
  <si>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</si>
  <si>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</si>
  <si>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</si>
  <si>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</si>
  <si>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</si>
  <si>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</si>
  <si>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</si>
  <si>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</si>
  <si>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</si>
  <si>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</si>
  <si>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</si>
  <si>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</si>
  <si>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</si>
  <si>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</si>
  <si>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</si>
  <si>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</si>
  <si>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</si>
  <si>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</si>
  <si>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</si>
  <si>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</si>
  <si>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</si>
  <si>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</si>
  <si>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</si>
  <si>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</si>
  <si>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</si>
  <si>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</si>
  <si>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</si>
  <si>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</si>
  <si>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</si>
  <si>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</si>
  <si>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</si>
  <si>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</si>
  <si>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</si>
  <si>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</si>
  <si>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</si>
  <si>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</si>
  <si>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</si>
  <si>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</si>
  <si>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</si>
  <si>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</si>
  <si>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</si>
  <si>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</si>
  <si>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</si>
  <si>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</si>
  <si>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</si>
  <si>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</si>
  <si>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</si>
  <si>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</si>
  <si>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</si>
  <si>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</si>
  <si>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</si>
  <si>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</si>
  <si>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</si>
  <si>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</si>
  <si>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</si>
  <si>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</si>
  <si>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</si>
  <si>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</si>
  <si>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</si>
  <si>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</si>
  <si>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</si>
  <si>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</si>
  <si>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</si>
  <si>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</si>
  <si>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</si>
  <si>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</si>
  <si>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</si>
  <si>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</si>
  <si>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</si>
  <si>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</si>
  <si>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</si>
  <si>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</si>
  <si>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</si>
  <si>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</si>
  <si>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</si>
  <si>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</si>
  <si>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</si>
  <si>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</si>
  <si>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</si>
  <si>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</si>
  <si>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</si>
  <si>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</si>
  <si>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</si>
  <si>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</si>
  <si>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</si>
  <si>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</si>
  <si>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</si>
  <si>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</si>
  <si>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</si>
  <si>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</si>
  <si>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</si>
  <si>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</si>
  <si>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</si>
  <si>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</si>
  <si>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</si>
  <si>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</si>
  <si>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</si>
  <si>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</si>
  <si>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</si>
  <si>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</si>
  <si>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</si>
  <si>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</si>
  <si>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</si>
  <si>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</si>
  <si>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</si>
  <si>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</si>
  <si>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</si>
  <si>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</si>
  <si>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</si>
  <si>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</si>
  <si>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</si>
  <si>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</si>
  <si>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</si>
  <si>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</si>
  <si>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</si>
  <si>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</si>
  <si>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</si>
  <si>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</si>
  <si>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</si>
  <si>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</si>
  <si>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</si>
  <si>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</si>
  <si>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</si>
  <si>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</si>
  <si>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</si>
  <si>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</si>
  <si>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</si>
  <si>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</si>
  <si>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</si>
  <si>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</si>
  <si>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</si>
  <si>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</si>
  <si>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</si>
  <si>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</si>
  <si>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</si>
  <si>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</si>
  <si>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</si>
  <si>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</si>
  <si>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</si>
  <si>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</si>
  <si>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</si>
  <si>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</si>
  <si>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</si>
  <si>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</si>
  <si>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</si>
  <si>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</si>
  <si>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</si>
  <si>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</si>
  <si>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</si>
  <si>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</si>
  <si>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</si>
  <si>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</si>
  <si>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</si>
  <si>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</si>
  <si>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</si>
  <si>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</si>
  <si>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</si>
  <si>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</si>
  <si>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</si>
  <si>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</si>
  <si>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</si>
  <si>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</si>
  <si>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</si>
  <si>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</si>
  <si>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</si>
  <si>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</si>
  <si>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</si>
  <si>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</si>
  <si>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</si>
  <si>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</si>
  <si>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</si>
  <si>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</si>
  <si>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</si>
  <si>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</si>
  <si>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</si>
  <si>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</si>
  <si>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</si>
  <si>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</si>
  <si>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</si>
  <si>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</si>
  <si>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</si>
  <si>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</si>
  <si>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</si>
  <si>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</si>
  <si>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</si>
  <si>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</si>
  <si>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</si>
  <si>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</si>
  <si>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</si>
  <si>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</si>
  <si>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</si>
  <si>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</si>
  <si>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</si>
  <si>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</si>
  <si>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</si>
  <si>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</si>
  <si>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</si>
  <si>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</si>
  <si>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</si>
  <si>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</si>
  <si>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</si>
  <si>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</si>
  <si>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</si>
  <si>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</si>
  <si>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</si>
  <si>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</si>
  <si>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</si>
  <si>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</si>
  <si>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</si>
  <si>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</si>
  <si>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</si>
  <si>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</si>
  <si>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</si>
  <si>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</si>
  <si>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</si>
  <si>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</si>
  <si>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</si>
  <si>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</si>
  <si>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</si>
  <si>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</si>
  <si>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</si>
  <si>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</si>
  <si>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</si>
  <si>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</si>
  <si>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</si>
  <si>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</si>
  <si>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</si>
  <si>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</si>
  <si>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</si>
  <si>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</si>
  <si>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</si>
  <si>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</si>
  <si>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</si>
  <si>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</si>
  <si>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</si>
  <si>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</si>
  <si>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</si>
  <si>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</si>
  <si>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</si>
  <si>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</si>
  <si>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</si>
  <si>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</si>
  <si>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</si>
  <si>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</si>
  <si>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</si>
  <si>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</si>
  <si>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</si>
  <si>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</si>
  <si>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</si>
  <si>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</si>
  <si>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</si>
  <si>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</si>
  <si>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</si>
  <si>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</si>
  <si>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</si>
  <si>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</si>
  <si>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</si>
  <si>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</si>
  <si>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</si>
  <si>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</si>
  <si>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</si>
  <si>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</si>
  <si>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</si>
  <si>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</si>
  <si>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</si>
  <si>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</si>
  <si>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</si>
  <si>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</si>
  <si>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</si>
  <si>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</si>
  <si>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</si>
  <si>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</si>
  <si>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</si>
  <si>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</si>
  <si>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</si>
  <si>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</si>
  <si>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</si>
  <si>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</si>
  <si>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</si>
  <si>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</si>
  <si>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</si>
  <si>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</si>
  <si>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</si>
  <si>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</si>
  <si>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</si>
  <si>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</si>
  <si>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</si>
  <si>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</si>
  <si>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</si>
  <si>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</si>
  <si>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</si>
  <si>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</si>
  <si>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</si>
  <si>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</si>
  <si>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</si>
  <si>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</si>
  <si>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</si>
  <si>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</si>
  <si>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</si>
  <si>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</si>
  <si>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</si>
  <si>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</si>
  <si>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</si>
  <si>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</si>
  <si>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</si>
  <si>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</si>
  <si>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</si>
  <si>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</si>
  <si>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</si>
  <si>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</si>
  <si>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</si>
  <si>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</si>
  <si>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</si>
  <si>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</si>
  <si>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</si>
  <si>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</si>
  <si>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</si>
  <si>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</si>
  <si>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</si>
  <si>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</si>
  <si>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</si>
  <si>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</si>
  <si>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</si>
  <si>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</si>
  <si>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</si>
  <si>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</si>
  <si>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</si>
  <si>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</si>
  <si>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</si>
  <si>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</si>
  <si>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</si>
  <si>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</si>
  <si>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</si>
  <si>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</si>
  <si>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</si>
  <si>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</si>
  <si>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</si>
  <si>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</si>
  <si>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</si>
  <si>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</si>
  <si>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</si>
  <si>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</si>
  <si>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</si>
  <si>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</si>
  <si>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</si>
  <si>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</si>
  <si>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</si>
  <si>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</si>
  <si>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</si>
  <si>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</si>
  <si>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</si>
  <si>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</si>
  <si>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</si>
  <si>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</si>
  <si>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</si>
  <si>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</si>
  <si>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</si>
  <si>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</si>
  <si>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</si>
  <si>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</si>
  <si>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</si>
  <si>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</si>
  <si>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</si>
  <si>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</si>
  <si>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</si>
  <si>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</si>
  <si>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</si>
  <si>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</si>
  <si>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</si>
  <si>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</si>
  <si>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</si>
  <si>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</si>
  <si>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</si>
  <si>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</si>
  <si>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</si>
  <si>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</si>
  <si>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</si>
  <si>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</si>
  <si>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</si>
  <si>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</si>
  <si>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</si>
  <si>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</si>
  <si>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</si>
  <si>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</si>
  <si>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</si>
  <si>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</si>
  <si>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</si>
  <si>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</si>
  <si>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</si>
  <si>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</si>
  <si>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</si>
  <si>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</si>
  <si>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</si>
  <si>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</si>
  <si>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</si>
  <si>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</si>
  <si>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</si>
  <si>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</si>
  <si>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</si>
  <si>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</si>
  <si>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</si>
  <si>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</si>
  <si>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</si>
  <si>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</si>
  <si>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</si>
  <si>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</si>
  <si>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</si>
  <si>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</si>
  <si>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</si>
  <si>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</si>
  <si>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</si>
  <si>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</si>
  <si>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</si>
  <si>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</si>
  <si>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</si>
  <si>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</si>
  <si>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</si>
  <si>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</si>
  <si>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</si>
  <si>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</si>
  <si>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</si>
  <si>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</si>
  <si>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</si>
  <si>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</si>
  <si>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</si>
  <si>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</si>
  <si>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</si>
  <si>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</si>
  <si>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</si>
  <si>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</si>
  <si>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</si>
  <si>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</si>
  <si>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</si>
  <si>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</si>
  <si>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</si>
  <si>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</si>
  <si>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</si>
  <si>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</si>
  <si>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</si>
  <si>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</si>
  <si>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</si>
  <si>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</si>
  <si>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</si>
  <si>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</si>
  <si>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</si>
  <si>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</si>
  <si>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</si>
  <si>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</si>
  <si>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</si>
  <si>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</si>
  <si>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</si>
  <si>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</si>
  <si>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</si>
  <si>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</si>
  <si>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</si>
  <si>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</si>
  <si>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</si>
  <si>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</si>
  <si>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</si>
  <si>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</si>
  <si>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</si>
  <si>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</si>
  <si>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</si>
  <si>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</si>
  <si>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</si>
  <si>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</si>
  <si>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</si>
  <si>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</si>
  <si>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</si>
  <si>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</si>
  <si>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</si>
  <si>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</si>
  <si>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</si>
  <si>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</si>
  <si>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</si>
  <si>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</si>
  <si>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</si>
  <si>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</si>
  <si>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</si>
  <si>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</si>
  <si>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</si>
  <si>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</si>
  <si>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</si>
  <si>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</si>
  <si>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</si>
  <si>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</si>
  <si>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</si>
  <si>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</si>
  <si>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</si>
  <si>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</si>
  <si>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</si>
  <si>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</si>
  <si>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</si>
  <si>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</si>
  <si>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</si>
  <si>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</si>
  <si>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</si>
  <si>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</si>
  <si>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</si>
  <si>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</si>
  <si>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</si>
  <si>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</si>
  <si>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</si>
  <si>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</si>
  <si>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</si>
  <si>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</si>
  <si>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</si>
  <si>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</si>
  <si>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</si>
  <si>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</si>
  <si>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</si>
  <si>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</si>
  <si>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</si>
  <si>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</si>
  <si>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</si>
  <si>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</si>
  <si>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</si>
  <si>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</si>
  <si>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</si>
  <si>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</si>
  <si>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</si>
  <si>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</si>
  <si>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</si>
  <si>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</si>
  <si>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</si>
  <si>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</si>
  <si>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</si>
  <si>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</si>
  <si>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</si>
  <si>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</si>
  <si>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</si>
  <si>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</si>
  <si>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</si>
  <si>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</si>
  <si>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</si>
  <si>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</si>
  <si>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</si>
  <si>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</si>
  <si>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</si>
  <si>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</si>
  <si>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</si>
  <si>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</si>
  <si>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</si>
  <si>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</si>
  <si>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</si>
  <si>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</si>
  <si>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</si>
  <si>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</si>
  <si>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</si>
  <si>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</si>
  <si>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</si>
  <si>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</si>
  <si>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</si>
  <si>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</si>
  <si>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</si>
  <si>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</si>
  <si>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</si>
  <si>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</si>
  <si>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</si>
  <si>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</si>
  <si>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</si>
  <si>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</si>
  <si>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</si>
  <si>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</si>
  <si>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</si>
  <si>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</si>
  <si>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</si>
  <si>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</si>
  <si>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</si>
  <si>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</si>
  <si>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</si>
  <si>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</si>
  <si>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</si>
  <si>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</si>
  <si>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</si>
  <si>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</si>
  <si>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</si>
  <si>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</si>
  <si>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</si>
  <si>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</si>
  <si>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</si>
  <si>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</si>
  <si>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</si>
  <si>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</si>
  <si>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</si>
  <si>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</si>
  <si>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</si>
  <si>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</si>
  <si>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</si>
  <si>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</si>
  <si>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</si>
  <si>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</si>
  <si>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</si>
  <si>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</si>
  <si>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</si>
  <si>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</si>
  <si>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</si>
  <si>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</si>
  <si>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</si>
  <si>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</si>
  <si>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</si>
  <si>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</si>
  <si>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</si>
  <si>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</si>
  <si>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</si>
  <si>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</si>
  <si>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</si>
  <si>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</si>
  <si>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</si>
  <si>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</si>
  <si>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</si>
  <si>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</si>
  <si>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</si>
  <si>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</si>
  <si>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</si>
  <si>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</si>
  <si>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</si>
  <si>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</si>
  <si>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</si>
  <si>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</si>
  <si>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</si>
  <si>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</si>
  <si>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</si>
  <si>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</si>
  <si>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</si>
  <si>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</si>
  <si>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</si>
  <si>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</si>
  <si>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</si>
  <si>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</si>
  <si>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</si>
  <si>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</si>
  <si>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</si>
  <si>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</si>
  <si>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</si>
  <si>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</si>
  <si>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</si>
  <si>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</si>
  <si>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</si>
  <si>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</si>
  <si>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</si>
  <si>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</si>
  <si>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</si>
  <si>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</si>
  <si>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</si>
  <si>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</si>
  <si>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</si>
  <si>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</si>
  <si>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</si>
  <si>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</si>
  <si>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</si>
  <si>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</si>
  <si>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</si>
  <si>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</si>
  <si>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</si>
  <si>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</si>
  <si>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</si>
  <si>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</si>
  <si>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</si>
  <si>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</si>
  <si>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</si>
  <si>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</si>
  <si>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</si>
  <si>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</si>
  <si>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</si>
  <si>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</si>
  <si>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</si>
  <si>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</si>
  <si>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</si>
  <si>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</si>
  <si>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</si>
  <si>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</si>
  <si>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</si>
  <si>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</si>
  <si>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</si>
  <si>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</si>
  <si>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</si>
  <si>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</si>
  <si>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</si>
  <si>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</si>
  <si>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</si>
  <si>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</si>
  <si>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</si>
  <si>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</si>
  <si>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</si>
  <si>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</si>
  <si>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</si>
  <si>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</si>
  <si>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</si>
  <si>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</si>
  <si>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</si>
  <si>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</si>
  <si>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</si>
  <si>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</si>
  <si>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</si>
  <si>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</si>
  <si>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</si>
  <si>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</si>
  <si>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</si>
  <si>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</si>
  <si>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</si>
  <si>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</si>
  <si>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</si>
  <si>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</si>
  <si>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</si>
  <si>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</si>
  <si>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</si>
  <si>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</si>
  <si>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</si>
  <si>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</si>
  <si>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</si>
  <si>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</si>
  <si>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</si>
  <si>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</si>
  <si>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</si>
  <si>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</si>
  <si>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</si>
  <si>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</si>
  <si>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</si>
  <si>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</si>
  <si>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</si>
  <si>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</si>
  <si>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</si>
  <si>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</si>
  <si>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</si>
  <si>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</si>
  <si>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</si>
  <si>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</si>
  <si>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</si>
  <si>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</si>
  <si>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</si>
  <si>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</si>
  <si>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</si>
  <si>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</si>
  <si>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</si>
  <si>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</si>
  <si>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</si>
  <si>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</si>
  <si>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</si>
  <si>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</si>
  <si>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</si>
  <si>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</si>
  <si>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</si>
  <si>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</si>
  <si>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</si>
  <si>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</si>
  <si>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</si>
  <si>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</si>
  <si>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</si>
  <si>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</si>
  <si>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</si>
  <si>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</si>
  <si>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</si>
  <si>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</si>
  <si>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</si>
  <si>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</si>
  <si>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</si>
  <si>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</si>
  <si>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</si>
  <si>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</si>
  <si>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</si>
  <si>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</si>
  <si>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</si>
  <si>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</si>
  <si>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</si>
  <si>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</si>
  <si>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</si>
  <si>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</si>
  <si>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</si>
  <si>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</si>
  <si>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</si>
  <si>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</si>
  <si>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</si>
  <si>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</si>
  <si>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</si>
  <si>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</si>
  <si>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</si>
  <si>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</si>
  <si>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</si>
  <si>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</si>
  <si>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</si>
  <si>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</si>
  <si>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</si>
  <si>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</si>
  <si>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</si>
  <si>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</si>
  <si>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</si>
  <si>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</si>
  <si>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</si>
  <si>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</si>
  <si>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</si>
  <si>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</si>
  <si>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</si>
  <si>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</si>
  <si>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</si>
  <si>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</si>
  <si>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</si>
  <si>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</si>
  <si>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</si>
  <si>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</si>
  <si>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</si>
  <si>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</si>
  <si>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</si>
  <si>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</si>
  <si>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</si>
  <si>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</si>
  <si>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</si>
  <si>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</si>
  <si>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</si>
  <si>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</si>
  <si>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</si>
  <si>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</si>
  <si>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</si>
  <si>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</si>
  <si>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</si>
  <si>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</si>
  <si>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</si>
  <si>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</si>
  <si>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</si>
  <si>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</si>
  <si>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</si>
  <si>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</si>
  <si>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</si>
  <si>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</si>
  <si>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</si>
  <si>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</si>
  <si>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</si>
  <si>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</si>
  <si>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</si>
  <si>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</si>
  <si>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</si>
  <si>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</si>
  <si>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</si>
  <si>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</si>
  <si>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</si>
  <si>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</si>
  <si>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</si>
  <si>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</si>
  <si>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</si>
  <si>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</si>
  <si>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</si>
  <si>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</si>
  <si>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</si>
  <si>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</si>
  <si>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</si>
  <si>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</si>
  <si>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</si>
  <si>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</si>
  <si>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</si>
  <si>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</si>
  <si>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</si>
  <si>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</si>
  <si>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</si>
  <si>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</si>
  <si>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</si>
  <si>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</si>
  <si>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</si>
  <si>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</si>
  <si>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</si>
  <si>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</si>
  <si>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</si>
  <si>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</si>
  <si>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</si>
  <si>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</si>
  <si>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</si>
  <si>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</si>
  <si>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</si>
  <si>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</si>
  <si>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</si>
  <si>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</si>
  <si>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</si>
  <si>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</si>
  <si>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</si>
  <si>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</si>
  <si>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</si>
  <si>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</si>
  <si>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</si>
  <si>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</si>
  <si>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</si>
  <si>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</si>
  <si>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</si>
  <si>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</si>
  <si>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</si>
  <si>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</si>
  <si>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</si>
  <si>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</si>
  <si>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</si>
  <si>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</si>
  <si>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</si>
  <si>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</si>
  <si>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</si>
  <si>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</si>
  <si>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</si>
  <si>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</si>
  <si>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</si>
  <si>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</si>
  <si>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</si>
  <si>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</si>
  <si>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</si>
  <si>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</si>
  <si>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</si>
  <si>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</si>
  <si>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</si>
  <si>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</si>
  <si>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</si>
  <si>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</si>
  <si>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</si>
  <si>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</si>
  <si>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</si>
  <si>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</si>
  <si>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</si>
  <si>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</si>
  <si>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</si>
  <si>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</si>
  <si>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</si>
  <si>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</si>
  <si>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</si>
  <si>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</si>
  <si>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</si>
  <si>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</si>
  <si>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</si>
  <si>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</si>
  <si>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</si>
  <si>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</si>
  <si>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</si>
  <si>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</si>
  <si>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</si>
  <si>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</si>
  <si>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</si>
  <si>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</si>
  <si>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</si>
  <si>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</si>
  <si>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</si>
  <si>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</si>
  <si>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</si>
  <si>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</si>
  <si>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</si>
  <si>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</si>
  <si>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</si>
  <si>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</si>
  <si>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</si>
  <si>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</si>
  <si>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</si>
  <si>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</si>
  <si>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</si>
  <si>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</si>
  <si>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</si>
  <si>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</si>
  <si>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</si>
  <si>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</si>
  <si>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</si>
  <si>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</si>
  <si>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</si>
  <si>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</si>
  <si>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</si>
  <si>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</si>
  <si>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</si>
  <si>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</si>
  <si>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</si>
  <si>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</si>
  <si>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</si>
  <si>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</si>
  <si>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</si>
  <si>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</si>
  <si>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</si>
  <si>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</si>
  <si>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</si>
  <si>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</si>
  <si>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</si>
  <si>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</si>
  <si>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</si>
  <si>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</si>
  <si>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</si>
  <si>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</si>
  <si>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</si>
  <si>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</si>
  <si>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</si>
  <si>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</si>
  <si>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</si>
  <si>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</si>
  <si>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</si>
  <si>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</si>
  <si>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</si>
  <si>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</si>
  <si>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</si>
  <si>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</si>
  <si>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</si>
  <si>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</si>
  <si>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</si>
  <si>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</si>
  <si>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</si>
  <si>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</si>
  <si>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</si>
  <si>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</si>
  <si>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</si>
  <si>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</si>
  <si>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</si>
  <si>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</si>
  <si>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</si>
  <si>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</si>
  <si>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</si>
  <si>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</si>
  <si>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</si>
  <si>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</si>
  <si>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</si>
  <si>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</si>
  <si>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</si>
  <si>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</si>
  <si>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</si>
  <si>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</si>
  <si>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</si>
  <si>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</si>
  <si>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</si>
  <si>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</si>
  <si>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</si>
  <si>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</si>
  <si>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</si>
  <si>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</si>
  <si>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</si>
  <si>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</si>
  <si>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</si>
  <si>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</si>
  <si>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</si>
  <si>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</si>
  <si>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</si>
  <si>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</si>
  <si>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</si>
  <si>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</si>
  <si>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</si>
  <si>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</si>
  <si>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</si>
  <si>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</si>
  <si>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</si>
  <si>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</si>
  <si>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</si>
  <si>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</si>
  <si>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</si>
  <si>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</si>
  <si>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</si>
  <si>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</si>
  <si>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</si>
  <si>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</si>
  <si>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</si>
  <si>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</si>
  <si>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</si>
  <si>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</si>
  <si>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</si>
  <si>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</si>
  <si>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</si>
  <si>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</si>
  <si>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</si>
  <si>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</si>
  <si>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</si>
  <si>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</si>
  <si>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</si>
  <si>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</si>
  <si>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</si>
  <si>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</si>
  <si>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</si>
  <si>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</si>
  <si>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</si>
  <si>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</si>
  <si>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</si>
  <si>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</si>
  <si>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</si>
  <si>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</si>
  <si>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</si>
  <si>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</si>
  <si>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</si>
  <si>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</si>
  <si>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</si>
  <si>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</si>
  <si>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</si>
  <si>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</si>
  <si>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</si>
  <si>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</si>
  <si>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</si>
  <si>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</si>
  <si>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</si>
  <si>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</si>
  <si>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</si>
  <si>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</si>
  <si>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</si>
  <si>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</si>
  <si>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</si>
  <si>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</si>
  <si>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</si>
  <si>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</si>
  <si>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</si>
  <si>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</si>
  <si>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</si>
  <si>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</si>
  <si>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</si>
  <si>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</si>
  <si>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</si>
  <si>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</si>
  <si>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</si>
  <si>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</si>
  <si>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</si>
  <si>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</si>
  <si>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</si>
  <si>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</si>
  <si>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</si>
  <si>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</si>
  <si>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</si>
  <si>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</si>
  <si>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</si>
  <si>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</si>
  <si>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</si>
  <si>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</si>
  <si>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</si>
  <si>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</si>
  <si>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</si>
  <si>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</si>
  <si>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</si>
  <si>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</si>
  <si>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</si>
  <si>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</si>
  <si>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</si>
  <si>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</si>
  <si>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</si>
  <si>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</si>
  <si>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</si>
  <si>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</si>
  <si>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</si>
  <si>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</si>
  <si>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</si>
  <si>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</si>
  <si>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</si>
  <si>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</si>
  <si>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</si>
  <si>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</si>
  <si>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</si>
  <si>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</si>
  <si>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</si>
  <si>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</si>
  <si>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</si>
  <si>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</si>
  <si>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</si>
  <si>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</si>
  <si>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</si>
  <si>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</si>
  <si>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</si>
  <si>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</si>
  <si>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</si>
  <si>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</si>
  <si>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</si>
  <si>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</si>
  <si>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</si>
  <si>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</si>
  <si>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</si>
  <si>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</si>
  <si>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</si>
  <si>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</si>
  <si>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</si>
  <si>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</si>
  <si>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</si>
  <si>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</si>
  <si>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</si>
  <si>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</si>
  <si>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</si>
  <si>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</si>
  <si>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</si>
  <si>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</si>
  <si>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</si>
  <si>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</si>
  <si>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</si>
  <si>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</si>
  <si>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</si>
  <si>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</si>
  <si>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</si>
  <si>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</si>
  <si>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</si>
  <si>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</si>
  <si>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</si>
  <si>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</si>
  <si>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</si>
  <si>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</si>
  <si>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</si>
  <si>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</si>
  <si>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</si>
  <si>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</si>
  <si>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</si>
  <si>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</si>
  <si>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</si>
  <si>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</si>
  <si>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</si>
  <si>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</si>
  <si>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</si>
  <si>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</si>
  <si>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</si>
  <si>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</si>
  <si>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</si>
  <si>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</si>
  <si>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</si>
  <si>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</si>
  <si>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</si>
  <si>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</si>
  <si>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</si>
  <si>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</si>
  <si>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</si>
  <si>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</si>
  <si>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</si>
  <si>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</si>
  <si>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</si>
  <si>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</si>
  <si>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</si>
  <si>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</si>
  <si>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</si>
  <si>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</si>
  <si>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</si>
  <si>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</si>
  <si>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</si>
  <si>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</si>
  <si>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</si>
  <si>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</si>
  <si>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</si>
  <si>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</si>
  <si>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</si>
  <si>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</si>
  <si>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</si>
  <si>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</si>
  <si>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</si>
  <si>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</si>
  <si>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</si>
  <si>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</si>
  <si>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</si>
  <si>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</si>
  <si>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</si>
  <si>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</si>
  <si>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</si>
  <si>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</si>
  <si>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</si>
  <si>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</si>
  <si>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</si>
  <si>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</si>
  <si>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</si>
  <si>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</si>
  <si>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</si>
  <si>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</si>
  <si>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</si>
  <si>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</si>
  <si>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</si>
  <si>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</si>
  <si>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</si>
  <si>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</si>
  <si>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</si>
  <si>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</si>
  <si>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</si>
  <si>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</si>
  <si>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</si>
  <si>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</si>
  <si>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</si>
  <si>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</si>
  <si>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</si>
  <si>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</si>
  <si>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</si>
  <si>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</si>
  <si>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</si>
  <si>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</si>
  <si>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</si>
  <si>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</si>
  <si>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</si>
  <si>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</si>
  <si>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</si>
  <si>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</si>
  <si>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</si>
  <si>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</si>
  <si>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</si>
  <si>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</si>
  <si>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</si>
  <si>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</si>
  <si>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</si>
  <si>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</si>
  <si>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</si>
  <si>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</si>
  <si>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</si>
  <si>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</si>
  <si>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</si>
  <si>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</si>
  <si>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</si>
  <si>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</si>
  <si>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</si>
  <si>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</si>
  <si>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</si>
  <si>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</si>
  <si>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</si>
  <si>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</si>
  <si>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</si>
  <si>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</si>
  <si>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</si>
  <si>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</si>
  <si>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</si>
  <si>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</si>
  <si>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</si>
  <si>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</si>
  <si>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</si>
  <si>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</si>
  <si>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</si>
  <si>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</si>
  <si>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</si>
  <si>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</si>
  <si>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</si>
  <si>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</si>
  <si>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</si>
  <si>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</si>
  <si>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</si>
  <si>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</si>
  <si>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</si>
  <si>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</si>
  <si>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</si>
  <si>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</si>
  <si>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</si>
  <si>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</si>
  <si>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</si>
  <si>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</si>
  <si>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</si>
  <si>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</si>
  <si>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</si>
  <si>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</si>
  <si>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</si>
  <si>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</si>
  <si>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</si>
  <si>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</si>
  <si>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</si>
  <si>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</si>
  <si>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</si>
  <si>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</si>
  <si>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</si>
  <si>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</si>
  <si>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</si>
  <si>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</si>
  <si>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</si>
  <si>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</si>
  <si>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</si>
  <si>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</si>
  <si>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</si>
  <si>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</si>
  <si>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</si>
  <si>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</si>
  <si>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</si>
  <si>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</si>
  <si>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</si>
  <si>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</si>
  <si>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</si>
  <si>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</si>
  <si>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</si>
  <si>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</si>
  <si>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</si>
  <si>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</si>
  <si>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</si>
  <si>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</si>
  <si>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</si>
  <si>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</si>
  <si>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</si>
  <si>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</si>
  <si>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</si>
  <si>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</si>
  <si>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</si>
  <si>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</si>
  <si>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</si>
  <si>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</si>
  <si>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</si>
  <si>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</si>
  <si>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</si>
  <si>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</si>
  <si>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</si>
  <si>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</si>
  <si>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</si>
  <si>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</si>
  <si>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</si>
  <si>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</si>
  <si>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</si>
  <si>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</si>
  <si>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</si>
  <si>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</si>
  <si>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</si>
  <si>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</si>
  <si>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</si>
  <si>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</si>
  <si>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</si>
  <si>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</si>
  <si>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</si>
  <si>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</si>
  <si>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</si>
  <si>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</si>
  <si>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</si>
  <si>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</si>
  <si>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</si>
  <si>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</si>
  <si>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</si>
  <si>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</si>
  <si>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</si>
  <si>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</si>
  <si>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</si>
  <si>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</si>
  <si>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</si>
  <si>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</si>
  <si>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</si>
  <si>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</si>
  <si>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</si>
  <si>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</si>
  <si>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</si>
  <si>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</si>
  <si>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</si>
  <si>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</si>
  <si>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</si>
  <si>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</si>
  <si>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</si>
  <si>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</si>
  <si>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</si>
  <si>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</si>
  <si>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</si>
  <si>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</si>
  <si>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</si>
  <si>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</si>
  <si>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</si>
  <si>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</si>
  <si>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</si>
  <si>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</si>
  <si>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</si>
  <si>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</si>
  <si>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</si>
  <si>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</si>
  <si>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</si>
  <si>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</si>
  <si>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</si>
  <si>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</si>
  <si>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</si>
  <si>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</si>
  <si>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</si>
  <si>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</si>
  <si>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</si>
  <si>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</si>
  <si>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</si>
  <si>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</si>
  <si>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</si>
  <si>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</si>
  <si>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</si>
  <si>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</si>
  <si>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</si>
  <si>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</si>
  <si>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</si>
  <si>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</si>
  <si>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</si>
  <si>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</si>
  <si>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</si>
  <si>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</si>
  <si>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</si>
  <si>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</si>
  <si>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</si>
  <si>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</si>
  <si>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</si>
  <si>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</si>
  <si>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</si>
  <si>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</si>
  <si>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</si>
  <si>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</si>
  <si>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</si>
  <si>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</si>
  <si>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</si>
  <si>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</si>
  <si>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</si>
  <si>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</si>
  <si>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</si>
  <si>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</si>
  <si>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</si>
  <si>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</si>
  <si>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</si>
  <si>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</si>
  <si>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</si>
  <si>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</si>
  <si>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</si>
  <si>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</si>
  <si>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</si>
  <si>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</si>
  <si>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</si>
  <si>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</si>
  <si>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</si>
  <si>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</si>
  <si>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</si>
  <si>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</si>
  <si>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</si>
  <si>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</si>
  <si>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</si>
  <si>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</si>
  <si>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</si>
  <si>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</si>
  <si>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</si>
  <si>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</si>
  <si>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</si>
  <si>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</si>
  <si>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</si>
  <si>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</si>
  <si>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</si>
  <si>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</si>
  <si>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</si>
  <si>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</si>
  <si>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</si>
  <si>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</si>
  <si>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</si>
  <si>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</si>
  <si>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</si>
  <si>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</si>
  <si>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</si>
  <si>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</si>
  <si>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</si>
  <si>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</si>
  <si>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</si>
  <si>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</si>
  <si>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</si>
  <si>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</si>
  <si>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</si>
  <si>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</si>
  <si>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</si>
  <si>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</si>
  <si>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</si>
  <si>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</si>
  <si>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</si>
  <si>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</si>
  <si>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</si>
  <si>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</si>
  <si>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</si>
  <si>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</si>
  <si>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</si>
  <si>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</si>
  <si>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</si>
  <si>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</si>
  <si>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</si>
  <si>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</si>
  <si>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</si>
  <si>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</si>
  <si>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</si>
  <si>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</si>
  <si>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</si>
  <si>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</si>
  <si>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</si>
  <si>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</si>
  <si>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</si>
  <si>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</si>
  <si>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</si>
  <si>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</si>
  <si>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</si>
  <si>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</si>
  <si>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</si>
  <si>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</si>
  <si>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</si>
  <si>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</si>
  <si>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</si>
  <si>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</si>
  <si>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</si>
  <si>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</si>
  <si>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</si>
  <si>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</si>
  <si>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</si>
  <si>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</si>
  <si>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</si>
  <si>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</si>
  <si>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</si>
  <si>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</si>
  <si>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</si>
  <si>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</si>
  <si>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</si>
  <si>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</si>
  <si>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</si>
  <si>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</si>
  <si>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</si>
  <si>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</si>
  <si>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</si>
  <si>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</si>
  <si>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</si>
  <si>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</si>
  <si>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</si>
  <si>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</si>
  <si>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</si>
  <si>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</si>
  <si>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</si>
  <si>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</si>
  <si>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</si>
  <si>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</si>
  <si>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</si>
  <si>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</si>
  <si>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</si>
  <si>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</si>
  <si>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</si>
  <si>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</si>
  <si>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</si>
  <si>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</si>
  <si>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</si>
  <si>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</si>
  <si>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</si>
  <si>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</si>
  <si>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</si>
  <si>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</si>
  <si>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</si>
  <si>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</si>
  <si>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</si>
  <si>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</si>
  <si>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</si>
  <si>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</si>
  <si>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</si>
  <si>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</si>
  <si>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</si>
  <si>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</si>
  <si>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</si>
  <si>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</si>
  <si>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</si>
  <si>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</si>
  <si>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</si>
  <si>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</si>
  <si>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</si>
  <si>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</si>
  <si>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</si>
  <si>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</si>
  <si>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</si>
  <si>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</si>
  <si>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</si>
  <si>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</si>
  <si>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</si>
  <si>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</si>
  <si>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</si>
  <si>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</si>
  <si>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</si>
  <si>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</si>
  <si>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</si>
  <si>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</si>
  <si>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</si>
  <si>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</si>
  <si>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</si>
  <si>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</si>
  <si>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</si>
  <si>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</si>
  <si>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</si>
  <si>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</si>
  <si>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</si>
  <si>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</si>
  <si>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</si>
  <si>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</si>
  <si>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</si>
  <si>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</si>
  <si>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</si>
  <si>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</si>
  <si>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</si>
  <si>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</si>
  <si>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</si>
  <si>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</si>
  <si>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</si>
  <si>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</si>
  <si>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</si>
  <si>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</si>
  <si>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</si>
  <si>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</si>
  <si>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</si>
  <si>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</si>
  <si>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</si>
  <si>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</si>
  <si>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</si>
  <si>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</si>
  <si>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</si>
  <si>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</si>
  <si>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</si>
  <si>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</si>
  <si>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</si>
  <si>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</si>
  <si>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</si>
  <si>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</si>
  <si>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</si>
  <si>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</si>
  <si>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</si>
  <si>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</si>
  <si>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</si>
  <si>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</si>
  <si>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</si>
  <si>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</si>
  <si>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</si>
  <si>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</si>
  <si>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</si>
  <si>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</si>
  <si>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</si>
  <si>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</si>
  <si>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</si>
  <si>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</si>
  <si>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</si>
  <si>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</si>
  <si>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</si>
  <si>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</si>
  <si>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</si>
  <si>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</si>
  <si>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</si>
  <si>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</si>
  <si>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</si>
  <si>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</si>
  <si>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</si>
  <si>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</si>
  <si>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</si>
  <si>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</si>
  <si>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</si>
  <si>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</si>
  <si>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</si>
  <si>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</si>
  <si>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</si>
  <si>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</si>
  <si>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</si>
  <si>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</si>
  <si>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</si>
  <si>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</si>
  <si>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</si>
  <si>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</si>
  <si>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</si>
  <si>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</si>
  <si>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</si>
  <si>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</si>
  <si>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</si>
  <si>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</si>
  <si>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</si>
  <si>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</si>
  <si>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</si>
  <si>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</si>
  <si>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</si>
  <si>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</si>
  <si>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</si>
  <si>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</si>
  <si>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</si>
  <si>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</si>
  <si>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</si>
  <si>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</si>
  <si>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</si>
  <si>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</si>
  <si>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</si>
  <si>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</si>
  <si>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</si>
  <si>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</si>
  <si>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</si>
  <si>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</si>
  <si>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</si>
  <si>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</si>
  <si>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</si>
  <si>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</si>
  <si>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</si>
  <si>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</si>
  <si>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</si>
  <si>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</si>
  <si>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</si>
  <si>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</si>
  <si>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</si>
  <si>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</si>
  <si>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</si>
  <si>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</si>
  <si>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</si>
  <si>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</si>
  <si>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</si>
  <si>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</si>
  <si>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</si>
  <si>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</si>
  <si>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</si>
  <si>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</si>
  <si>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</si>
  <si>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</si>
  <si>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</si>
  <si>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</si>
  <si>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</si>
  <si>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</si>
  <si>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</si>
  <si>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</si>
  <si>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</si>
  <si>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</si>
  <si>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</si>
  <si>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</si>
  <si>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</si>
  <si>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</si>
  <si>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</si>
  <si>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</si>
  <si>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</si>
  <si>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</si>
  <si>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</si>
  <si>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</si>
  <si>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</si>
  <si>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</si>
  <si>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</si>
  <si>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</si>
  <si>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</si>
  <si>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</si>
  <si>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</si>
  <si>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</si>
  <si>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</si>
  <si>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</si>
  <si>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</si>
  <si>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</si>
  <si>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</si>
  <si>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</si>
  <si>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</si>
  <si>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</si>
  <si>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</si>
  <si>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</si>
  <si>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</si>
  <si>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</si>
  <si>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</si>
  <si>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</si>
  <si>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</si>
  <si>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</si>
  <si>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</si>
  <si>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</si>
  <si>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</si>
  <si>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</si>
  <si>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</si>
  <si>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</si>
  <si>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</si>
  <si>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</si>
  <si>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</si>
  <si>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</si>
  <si>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</si>
  <si>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</si>
  <si>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</si>
  <si>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</si>
  <si>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</si>
  <si>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</si>
  <si>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</si>
  <si>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</si>
  <si>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</si>
  <si>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</si>
  <si>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</si>
  <si>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</si>
  <si>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</si>
  <si>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</si>
  <si>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</si>
  <si>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</si>
  <si>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</si>
  <si>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</si>
  <si>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</si>
  <si>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</si>
  <si>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</si>
  <si>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</si>
  <si>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</si>
  <si>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</si>
  <si>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</si>
  <si>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</si>
  <si>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</si>
  <si>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</si>
  <si>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</si>
  <si>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</si>
  <si>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</si>
  <si>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</si>
  <si>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</si>
  <si>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</si>
  <si>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</si>
  <si>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</si>
  <si>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</si>
  <si>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</si>
  <si>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</si>
  <si>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</si>
  <si>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</si>
  <si>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</si>
  <si>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</si>
  <si>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</si>
  <si>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</si>
  <si>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</si>
  <si>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</si>
  <si>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</si>
  <si>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</si>
  <si>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</si>
  <si>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</si>
  <si>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</si>
  <si>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</si>
  <si>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</si>
  <si>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</si>
  <si>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</si>
  <si>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</si>
  <si>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</si>
  <si>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</si>
  <si>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</si>
  <si>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</si>
  <si>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</si>
  <si>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</si>
  <si>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</si>
  <si>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</si>
  <si>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</si>
  <si>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</si>
  <si>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</si>
  <si>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</si>
  <si>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</si>
  <si>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</si>
  <si>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</si>
  <si>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</si>
  <si>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</si>
  <si>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</si>
  <si>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</si>
  <si>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</si>
  <si>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</si>
  <si>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</si>
  <si>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</si>
  <si>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</si>
  <si>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</si>
  <si>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</si>
  <si>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</si>
  <si>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</si>
  <si>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</si>
  <si>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</si>
  <si>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</si>
  <si>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</si>
  <si>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</si>
  <si>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</si>
  <si>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</si>
  <si>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</si>
  <si>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</si>
  <si>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</si>
  <si>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</si>
  <si>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</si>
  <si>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</si>
  <si>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</si>
  <si>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</si>
  <si>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</si>
  <si>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</si>
  <si>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</si>
  <si>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</si>
  <si>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</si>
  <si>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</si>
  <si>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</si>
  <si>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</si>
  <si>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</si>
  <si>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</si>
  <si>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</si>
  <si>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</si>
  <si>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</si>
  <si>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</si>
  <si>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</si>
  <si>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</si>
  <si>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</si>
  <si>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</si>
  <si>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</si>
  <si>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</si>
  <si>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</si>
  <si>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</si>
  <si>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</si>
  <si>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</si>
  <si>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</si>
  <si>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</si>
  <si>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</si>
  <si>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</si>
  <si>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</si>
  <si>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</si>
  <si>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</si>
  <si>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</si>
  <si>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</si>
  <si>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</si>
  <si>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</si>
  <si>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</si>
  <si>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</si>
  <si>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</si>
  <si>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</si>
  <si>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</si>
  <si>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</si>
  <si>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</si>
  <si>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</si>
  <si>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</si>
  <si>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</si>
  <si>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</si>
  <si>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</si>
  <si>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</si>
  <si>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</si>
  <si>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</si>
  <si>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</si>
  <si>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</si>
  <si>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</si>
  <si>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</si>
  <si>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</si>
  <si>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</si>
  <si>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</si>
  <si>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</si>
  <si>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</si>
  <si>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</si>
  <si>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</si>
  <si>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</si>
  <si>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</si>
  <si>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</si>
  <si>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</si>
  <si>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</si>
  <si>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</si>
  <si>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</si>
  <si>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</si>
  <si>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</si>
  <si>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</si>
  <si>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</si>
  <si>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</si>
  <si>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</si>
  <si>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</si>
  <si>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</si>
  <si>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</si>
  <si>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</si>
  <si>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</si>
  <si>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</si>
  <si>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</si>
  <si>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</si>
  <si>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</si>
  <si>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</si>
  <si>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</si>
  <si>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</si>
  <si>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</si>
  <si>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</si>
  <si>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</si>
  <si>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</si>
  <si>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</si>
  <si>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</si>
  <si>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</si>
  <si>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</si>
  <si>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</si>
  <si>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</si>
  <si>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</si>
  <si>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</si>
  <si>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</si>
  <si>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</si>
  <si>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</si>
  <si>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</si>
  <si>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</si>
  <si>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</si>
  <si>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</si>
  <si>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</si>
  <si>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</si>
  <si>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</si>
  <si>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</si>
  <si>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</si>
  <si>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</si>
  <si>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</si>
  <si>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</si>
  <si>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</si>
  <si>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</si>
  <si>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</si>
  <si>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</si>
  <si>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</si>
  <si>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</si>
  <si>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</si>
  <si>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</si>
  <si>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</si>
  <si>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</si>
  <si>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</si>
  <si>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</si>
  <si>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</si>
  <si>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</si>
  <si>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</si>
  <si>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</si>
  <si>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</si>
  <si>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</si>
  <si>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</si>
  <si>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</si>
  <si>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</si>
  <si>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</si>
  <si>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</si>
  <si>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</si>
  <si>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</si>
  <si>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</si>
  <si>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</si>
  <si>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</si>
  <si>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</si>
  <si>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</si>
  <si>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</si>
  <si>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</si>
  <si>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</si>
  <si>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</si>
  <si>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</si>
  <si>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</si>
  <si>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</si>
  <si>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</si>
  <si>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</si>
  <si>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</si>
  <si>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</si>
  <si>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</si>
  <si>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</si>
  <si>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</si>
  <si>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</si>
  <si>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</si>
  <si>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</si>
  <si>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</si>
  <si>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</si>
  <si>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</si>
  <si>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</si>
  <si>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</si>
  <si>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</si>
  <si>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</si>
  <si>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</si>
  <si>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</si>
  <si>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</si>
  <si>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</si>
  <si>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</si>
  <si>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</si>
  <si>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</si>
  <si>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</si>
  <si>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</si>
  <si>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</si>
  <si>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</si>
  <si>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</si>
  <si>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</si>
  <si>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</si>
  <si>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</si>
  <si>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</si>
  <si>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</si>
  <si>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</si>
  <si>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</si>
  <si>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</si>
  <si>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</si>
  <si>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</si>
  <si>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</si>
  <si>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</si>
  <si>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</si>
  <si>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</si>
  <si>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</si>
  <si>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</si>
  <si>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</si>
  <si>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</si>
  <si>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</si>
  <si>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</si>
  <si>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</si>
  <si>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</si>
  <si>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</si>
  <si>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</si>
  <si>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</si>
  <si>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</si>
  <si>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</si>
  <si>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</si>
  <si>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</si>
  <si>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</si>
  <si>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</si>
  <si>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</si>
  <si>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</si>
  <si>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</si>
  <si>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</si>
  <si>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</si>
  <si>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</si>
  <si>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</si>
  <si>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</si>
  <si>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</si>
  <si>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</si>
  <si>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</si>
  <si>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</si>
  <si>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</si>
  <si>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</si>
  <si>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</si>
  <si>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</si>
  <si>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</si>
  <si>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</si>
  <si>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</si>
  <si>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</si>
  <si>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</si>
  <si>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</si>
  <si>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</si>
  <si>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</si>
  <si>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</si>
  <si>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</si>
  <si>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</si>
  <si>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</si>
  <si>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</si>
  <si>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</si>
  <si>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</si>
  <si>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</si>
  <si>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</si>
  <si>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</si>
  <si>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</si>
  <si>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</si>
  <si>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</si>
  <si>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</si>
  <si>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</si>
  <si>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</si>
  <si>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</si>
  <si>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</si>
  <si>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</si>
  <si>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</si>
  <si>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</si>
  <si>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</si>
  <si>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</si>
  <si>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</si>
  <si>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</si>
  <si>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</si>
  <si>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</si>
  <si>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</si>
  <si>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</si>
  <si>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</si>
  <si>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</si>
  <si>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</si>
  <si>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</si>
  <si>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</si>
  <si>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</si>
  <si>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</si>
  <si>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</si>
  <si>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</si>
  <si>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</si>
  <si>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</si>
  <si>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</si>
  <si>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</si>
  <si>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</si>
  <si>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</si>
  <si>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</si>
  <si>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</si>
  <si>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</si>
  <si>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</si>
  <si>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</si>
  <si>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</si>
  <si>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</si>
  <si>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</si>
  <si>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</si>
  <si>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</si>
  <si>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</si>
  <si>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</si>
  <si>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</si>
  <si>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</si>
  <si>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</si>
  <si>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</si>
  <si>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</si>
  <si>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</si>
  <si>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</si>
  <si>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</si>
  <si>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</si>
  <si>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</si>
  <si>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</si>
  <si>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</si>
  <si>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</si>
  <si>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</si>
  <si>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</si>
  <si>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</si>
  <si>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</si>
  <si>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</si>
  <si>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</si>
  <si>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</si>
  <si>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</si>
  <si>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</si>
  <si>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</si>
  <si>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</si>
  <si>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</si>
  <si>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</si>
  <si>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</si>
  <si>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</si>
  <si>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</si>
  <si>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</si>
  <si>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</si>
  <si>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</si>
  <si>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</si>
  <si>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</si>
  <si>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</si>
  <si>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</si>
  <si>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</si>
  <si>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</si>
  <si>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</si>
  <si>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</si>
  <si>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</si>
  <si>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</si>
  <si>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</si>
  <si>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</si>
  <si>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</si>
  <si>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</si>
  <si>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</si>
  <si>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</si>
  <si>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</si>
  <si>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</si>
  <si>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</si>
  <si>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</si>
  <si>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</si>
  <si>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</si>
  <si>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</si>
  <si>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</si>
  <si>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</si>
  <si>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</si>
  <si>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</si>
  <si>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</si>
  <si>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</si>
  <si>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</si>
  <si>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</si>
  <si>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</si>
  <si>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</si>
  <si>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</si>
  <si>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</si>
  <si>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</si>
  <si>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</si>
  <si>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</si>
  <si>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</si>
  <si>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</si>
  <si>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</si>
  <si>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</si>
  <si>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</si>
  <si>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</si>
  <si>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</si>
  <si>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</si>
  <si>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</si>
  <si>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</si>
  <si>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</si>
  <si>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</si>
  <si>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</si>
  <si>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</si>
  <si>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</si>
  <si>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</si>
  <si>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</si>
  <si>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</si>
  <si>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</si>
  <si>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</si>
  <si>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</si>
  <si>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</si>
  <si>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</si>
  <si>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</si>
  <si>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</si>
  <si>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</si>
  <si>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</si>
  <si>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</si>
  <si>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</si>
  <si>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</si>
  <si>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</si>
  <si>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</si>
  <si>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</si>
  <si>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</si>
  <si>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</si>
  <si>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</si>
  <si>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</si>
  <si>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</si>
  <si>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</si>
  <si>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</si>
  <si>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</si>
  <si>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</si>
  <si>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</si>
  <si>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</si>
  <si>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</si>
  <si>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</si>
  <si>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</si>
  <si>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</si>
  <si>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</si>
  <si>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</si>
  <si>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</si>
  <si>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</si>
  <si>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</si>
  <si>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</si>
  <si>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</si>
  <si>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</si>
  <si>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</si>
  <si>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</si>
  <si>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</si>
  <si>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</si>
  <si>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</si>
  <si>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</si>
  <si>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</si>
  <si>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</si>
  <si>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</si>
  <si>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</si>
  <si>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</si>
  <si>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</si>
  <si>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</si>
  <si>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</si>
  <si>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</si>
  <si>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</si>
  <si>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</si>
  <si>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</si>
  <si>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</si>
  <si>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</si>
  <si>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</si>
  <si>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</si>
  <si>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</si>
  <si>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</si>
  <si>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</si>
  <si>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</si>
  <si>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</si>
  <si>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</si>
  <si>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</si>
  <si>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</si>
  <si>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</si>
  <si>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</si>
  <si>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</si>
  <si>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</si>
  <si>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</si>
  <si>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</si>
  <si>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</si>
  <si>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</si>
  <si>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</si>
  <si>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</si>
  <si>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</si>
  <si>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</si>
  <si>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</si>
  <si>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</si>
  <si>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</si>
  <si>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</si>
  <si>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</si>
  <si>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</si>
  <si>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</si>
  <si>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</si>
  <si>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</si>
  <si>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</si>
  <si>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</si>
  <si>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</si>
  <si>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</si>
  <si>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</si>
  <si>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</si>
  <si>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</si>
  <si>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</si>
  <si>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</si>
  <si>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</si>
  <si>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</si>
  <si>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</si>
  <si>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</si>
  <si>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</si>
  <si>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</si>
  <si>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</si>
  <si>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</si>
  <si>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</si>
  <si>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</si>
  <si>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</si>
  <si>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</si>
  <si>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</si>
  <si>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</si>
  <si>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</si>
  <si>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</si>
  <si>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</si>
  <si>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</si>
  <si>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</si>
  <si>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</si>
  <si>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</si>
  <si>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</si>
  <si>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</si>
  <si>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</si>
  <si>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</si>
  <si>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</si>
  <si>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</si>
  <si>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</si>
  <si>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</si>
  <si>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</si>
  <si>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</si>
  <si>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</si>
  <si>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</si>
  <si>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</si>
  <si>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</si>
  <si>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</si>
  <si>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</si>
  <si>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</si>
  <si>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</si>
  <si>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</si>
  <si>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</si>
  <si>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</si>
  <si>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</si>
  <si>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</si>
  <si>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</si>
  <si>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</si>
  <si>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</si>
  <si>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</si>
  <si>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</si>
  <si>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</si>
  <si>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</si>
  <si>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</si>
  <si>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</si>
  <si>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</si>
  <si>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</si>
  <si>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</si>
  <si>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</si>
  <si>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</si>
  <si>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</si>
  <si>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</si>
  <si>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</si>
  <si>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</si>
  <si>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</si>
  <si>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</si>
  <si>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</si>
  <si>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</si>
  <si>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</si>
  <si>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</si>
  <si>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</si>
  <si>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</si>
  <si>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</si>
  <si>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</si>
  <si>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</si>
  <si>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</si>
  <si>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</si>
  <si>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</si>
  <si>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</si>
  <si>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</si>
  <si>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</si>
  <si>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</si>
  <si>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</si>
  <si>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</si>
  <si>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</si>
  <si>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</si>
  <si>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</si>
  <si>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</si>
  <si>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</si>
  <si>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</si>
  <si>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</si>
  <si>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</si>
  <si>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</si>
  <si>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</si>
  <si>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</si>
  <si>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</si>
  <si>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</si>
  <si>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</si>
  <si>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</si>
  <si>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</si>
  <si>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</si>
  <si>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</si>
  <si>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</si>
  <si>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</si>
  <si>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</si>
  <si>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</si>
  <si>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</si>
  <si>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</si>
  <si>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</si>
  <si>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</si>
  <si>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</si>
  <si>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</si>
  <si>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</si>
  <si>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</si>
  <si>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</si>
  <si>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</si>
  <si>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</si>
  <si>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</si>
  <si>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</si>
  <si>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</si>
  <si>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</si>
  <si>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</si>
  <si>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</si>
  <si>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</si>
  <si>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</si>
  <si>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</si>
  <si>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</si>
  <si>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</si>
  <si>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</si>
  <si>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</si>
  <si>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</si>
  <si>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</si>
  <si>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</si>
  <si>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</si>
  <si>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</si>
  <si>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</si>
  <si>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</si>
  <si>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</si>
  <si>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</si>
  <si>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</si>
  <si>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</si>
  <si>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</si>
  <si>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</si>
  <si>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</si>
  <si>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</si>
  <si>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</si>
  <si>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</si>
  <si>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</si>
  <si>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</si>
  <si>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</si>
  <si>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</si>
  <si>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</si>
  <si>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</si>
  <si>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</si>
  <si>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</si>
  <si>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</si>
  <si>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</si>
  <si>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</si>
  <si>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</si>
  <si>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</si>
  <si>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</si>
  <si>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</si>
  <si>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</si>
  <si>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</si>
  <si>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</si>
  <si>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</si>
  <si>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</si>
  <si>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</si>
  <si>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</si>
  <si>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</si>
  <si>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</si>
  <si>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</si>
  <si>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</si>
  <si>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</si>
  <si>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</si>
  <si>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</si>
  <si>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</si>
  <si>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</si>
  <si>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</si>
  <si>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</si>
  <si>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</si>
  <si>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</si>
  <si>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</si>
  <si>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</si>
  <si>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</si>
  <si>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</si>
  <si>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</si>
  <si>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</si>
  <si>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</si>
  <si>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</si>
  <si>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</si>
  <si>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</si>
  <si>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</si>
  <si>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</si>
  <si>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</si>
  <si>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</si>
  <si>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</si>
  <si>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</si>
  <si>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</si>
  <si>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</si>
  <si>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</si>
  <si>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</si>
  <si>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</si>
  <si>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</si>
  <si>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</si>
  <si>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</si>
  <si>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</si>
  <si>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</si>
  <si>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</si>
  <si>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</si>
  <si>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</si>
  <si>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</si>
  <si>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</si>
  <si>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</si>
  <si>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</si>
  <si>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</si>
  <si>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</si>
  <si>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</si>
  <si>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</si>
  <si>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</si>
  <si>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</si>
  <si>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</si>
  <si>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</si>
  <si>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</si>
  <si>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</si>
  <si>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</si>
  <si>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</si>
  <si>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</si>
  <si>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</si>
  <si>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</si>
  <si>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</si>
  <si>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</si>
  <si>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</si>
  <si>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</si>
  <si>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</si>
  <si>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</si>
  <si>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</si>
  <si>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</si>
  <si>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</si>
  <si>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</si>
  <si>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</si>
  <si>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</si>
  <si>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</si>
  <si>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</si>
  <si>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</si>
  <si>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</si>
  <si>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</si>
  <si>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</si>
  <si>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</si>
  <si>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</si>
  <si>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</si>
  <si>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</si>
  <si>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</si>
  <si>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</si>
  <si>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</si>
  <si>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</si>
  <si>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</si>
  <si>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</si>
  <si>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</si>
  <si>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</si>
  <si>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</si>
  <si>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</si>
  <si>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</si>
  <si>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</si>
  <si>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</si>
  <si>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</si>
  <si>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</si>
  <si>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</si>
  <si>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</si>
  <si>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</si>
  <si>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</si>
  <si>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</si>
  <si>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</si>
  <si>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</si>
  <si>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</si>
  <si>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</si>
  <si>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</si>
  <si>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</si>
  <si>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</si>
  <si>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</si>
  <si>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</si>
  <si>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</si>
  <si>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</si>
  <si>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</si>
  <si>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</si>
  <si>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</si>
  <si>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</si>
  <si>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</si>
  <si>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</si>
  <si>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</si>
  <si>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</si>
  <si>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</si>
  <si>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</si>
  <si>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</si>
  <si>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</si>
  <si>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</si>
  <si>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</si>
  <si>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</si>
  <si>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</si>
  <si>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</si>
  <si>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</si>
  <si>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</si>
  <si>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</si>
  <si>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</si>
  <si>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</si>
  <si>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</si>
  <si>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</si>
  <si>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</si>
  <si>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</si>
  <si>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</si>
  <si>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</si>
  <si>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</si>
  <si>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</si>
  <si>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</si>
  <si>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</si>
  <si>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</si>
  <si>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</si>
  <si>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</si>
  <si>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</si>
  <si>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</si>
  <si>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</si>
  <si>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</si>
  <si>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</si>
  <si>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</si>
  <si>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</si>
  <si>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</si>
  <si>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</si>
  <si>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</si>
  <si>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</si>
  <si>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</si>
  <si>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</si>
  <si>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</si>
  <si>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</si>
  <si>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</si>
  <si>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</si>
  <si>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</si>
  <si>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</si>
  <si>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</si>
  <si>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</si>
  <si>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</si>
  <si>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</si>
  <si>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</si>
  <si>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</si>
  <si>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</si>
  <si>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</si>
  <si>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</si>
  <si>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</si>
  <si>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</si>
  <si>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</si>
  <si>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</si>
  <si>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</si>
  <si>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</si>
  <si>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</si>
  <si>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</si>
  <si>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</si>
  <si>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</si>
  <si>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</si>
  <si>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</si>
  <si>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</si>
  <si>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</si>
  <si>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</si>
  <si>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</si>
  <si>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</si>
  <si>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</si>
  <si>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</si>
  <si>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</si>
  <si>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</si>
  <si>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</si>
  <si>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</si>
  <si>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</si>
  <si>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</si>
  <si>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</si>
  <si>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</si>
  <si>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</si>
  <si>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</si>
  <si>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</si>
  <si>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</si>
  <si>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</si>
  <si>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</si>
  <si>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</si>
  <si>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</si>
  <si>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</si>
  <si>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</si>
  <si>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</si>
  <si>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</si>
  <si>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</si>
  <si>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</si>
  <si>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</si>
  <si>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</si>
  <si>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</si>
  <si>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</si>
  <si>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</si>
  <si>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</si>
  <si>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</si>
  <si>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</si>
  <si>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</si>
  <si>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</si>
  <si>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</si>
  <si>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</si>
  <si>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</si>
  <si>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</si>
  <si>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</si>
  <si>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</si>
  <si>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</si>
  <si>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</si>
  <si>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</si>
  <si>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</si>
  <si>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</si>
  <si>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</si>
  <si>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</si>
  <si>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</si>
  <si>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</si>
  <si>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</si>
  <si>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</si>
  <si>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</si>
  <si>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</si>
  <si>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</si>
  <si>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</si>
  <si>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</si>
  <si>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</si>
  <si>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</si>
  <si>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</si>
  <si>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</si>
  <si>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</si>
  <si>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</si>
  <si>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</si>
  <si>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</si>
  <si>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</si>
  <si>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</si>
  <si>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</si>
  <si>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</si>
  <si>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</si>
  <si>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</si>
  <si>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</si>
  <si>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</si>
  <si>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</si>
  <si>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</si>
  <si>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</si>
  <si>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</si>
  <si>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</si>
  <si>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</si>
  <si>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</si>
  <si>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</si>
  <si>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</si>
  <si>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</si>
  <si>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</si>
  <si>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</si>
  <si>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</si>
  <si>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</si>
  <si>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</si>
  <si>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</si>
  <si>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</si>
  <si>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</si>
  <si>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</si>
  <si>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</si>
  <si>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</si>
  <si>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</si>
  <si>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</si>
  <si>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</si>
  <si>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</si>
  <si>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</si>
  <si>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</si>
  <si>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</si>
  <si>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</si>
  <si>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</si>
  <si>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</si>
  <si>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</si>
  <si>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</si>
  <si>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</si>
  <si>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</si>
  <si>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</si>
  <si>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</si>
  <si>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</si>
  <si>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</si>
  <si>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</si>
  <si>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</si>
  <si>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</si>
  <si>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</si>
  <si>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</si>
  <si>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</si>
  <si>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</si>
  <si>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</si>
  <si>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</si>
  <si>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</si>
  <si>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</si>
  <si>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</si>
  <si>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</si>
  <si>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</si>
  <si>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</si>
  <si>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</si>
  <si>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</si>
  <si>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</si>
  <si>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</si>
  <si>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</si>
  <si>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</si>
  <si>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</si>
  <si>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</si>
  <si>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</si>
  <si>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</si>
  <si>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</si>
  <si>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</si>
  <si>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</si>
  <si>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</si>
  <si>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</si>
  <si>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</si>
  <si>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</si>
  <si>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</si>
  <si>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</si>
  <si>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</si>
  <si>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</si>
  <si>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</si>
  <si>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</si>
  <si>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</si>
  <si>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</si>
  <si>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</si>
  <si>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</si>
  <si>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</si>
  <si>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</si>
  <si>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</si>
  <si>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</si>
  <si>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</si>
  <si>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</si>
  <si>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</si>
  <si>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</si>
  <si>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</si>
  <si>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</si>
  <si>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</si>
  <si>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</si>
  <si>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</si>
  <si>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</si>
  <si>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</si>
  <si>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</si>
  <si>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</si>
  <si>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</si>
  <si>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</si>
  <si>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</si>
  <si>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</si>
  <si>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</si>
  <si>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</si>
  <si>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</si>
  <si>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</si>
  <si>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</si>
  <si>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</si>
  <si>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</si>
  <si>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</si>
  <si>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</si>
  <si>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</si>
  <si>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</si>
  <si>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</si>
  <si>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</si>
  <si>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</si>
  <si>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</si>
  <si>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</si>
  <si>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</si>
  <si>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</si>
  <si>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</si>
  <si>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</si>
  <si>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</si>
  <si>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</si>
  <si>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</si>
  <si>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</si>
  <si>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</si>
  <si>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</si>
  <si>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</si>
  <si>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</si>
  <si>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</si>
  <si>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</si>
  <si>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</si>
  <si>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</si>
  <si>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</si>
  <si>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</si>
  <si>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</si>
  <si>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</si>
  <si>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</si>
  <si>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</si>
  <si>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</si>
  <si>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</si>
  <si>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</si>
  <si>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</si>
  <si>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</si>
  <si>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</si>
  <si>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</si>
  <si>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</si>
  <si>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</si>
  <si>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</si>
  <si>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</si>
  <si>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</si>
  <si>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</si>
  <si>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</si>
  <si>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</si>
  <si>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</si>
  <si>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</si>
  <si>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</si>
  <si>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</si>
  <si>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</si>
  <si>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</si>
  <si>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</si>
  <si>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</si>
  <si>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</si>
  <si>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</si>
  <si>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</si>
  <si>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</si>
  <si>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</si>
  <si>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</si>
  <si>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</si>
  <si>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</si>
  <si>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</si>
  <si>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</si>
  <si>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</si>
  <si>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</si>
  <si>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</si>
  <si>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</si>
  <si>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</si>
  <si>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</si>
  <si>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</si>
  <si>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</si>
  <si>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</si>
  <si>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</si>
  <si>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</si>
  <si>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</si>
  <si>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</si>
  <si>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</si>
  <si>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</si>
  <si>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</si>
  <si>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</si>
  <si>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</si>
  <si>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</si>
  <si>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</si>
  <si>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</si>
  <si>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</si>
  <si>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</si>
  <si>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</si>
  <si>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</si>
  <si>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</si>
  <si>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</si>
  <si>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</si>
  <si>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</si>
  <si>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</si>
  <si>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</si>
  <si>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</si>
  <si>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</si>
  <si>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</si>
  <si>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</si>
  <si>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</si>
  <si>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</si>
  <si>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</si>
  <si>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</si>
  <si>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</si>
  <si>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</si>
  <si>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</si>
  <si>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</si>
  <si>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</si>
  <si>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</si>
  <si>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</si>
  <si>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</si>
  <si>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</si>
  <si>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</si>
  <si>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</si>
  <si>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</si>
  <si>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</si>
  <si>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</si>
  <si>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</si>
  <si>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</si>
  <si>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</si>
  <si>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</si>
  <si>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</si>
  <si>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</si>
  <si>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</si>
  <si>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</si>
  <si>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</si>
  <si>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</si>
  <si>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</si>
  <si>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</si>
  <si>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</si>
  <si>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</si>
  <si>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</si>
  <si>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</si>
  <si>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</si>
  <si>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</si>
  <si>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</si>
  <si>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</si>
  <si>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</si>
  <si>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</si>
  <si>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</si>
  <si>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</si>
  <si>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</si>
  <si>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</si>
  <si>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</si>
  <si>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</si>
  <si>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</si>
  <si>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</si>
  <si>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</si>
  <si>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</si>
  <si>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</si>
  <si>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</si>
  <si>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</si>
  <si>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</si>
  <si>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</si>
  <si>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</si>
  <si>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</si>
  <si>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</si>
  <si>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</si>
  <si>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</si>
  <si>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</si>
  <si>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</si>
  <si>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</si>
  <si>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</si>
  <si>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</si>
  <si>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</si>
  <si>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</si>
  <si>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</si>
  <si>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</si>
  <si>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</si>
  <si>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</si>
  <si>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</si>
  <si>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</si>
  <si>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</si>
  <si>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</si>
  <si>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</si>
  <si>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</si>
  <si>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</si>
  <si>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</si>
  <si>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</si>
  <si>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</si>
  <si>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</si>
  <si>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</si>
  <si>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</si>
  <si>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</si>
  <si>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</si>
  <si>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</si>
  <si>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</si>
  <si>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</si>
  <si>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</si>
  <si>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</si>
  <si>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</si>
  <si>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</si>
  <si>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</si>
  <si>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</si>
  <si>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</si>
  <si>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</si>
  <si>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</si>
  <si>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</si>
  <si>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</si>
  <si>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</si>
  <si>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</si>
  <si>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</si>
  <si>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</si>
  <si>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</si>
  <si>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</si>
  <si>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</si>
  <si>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</si>
  <si>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</si>
  <si>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</si>
  <si>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</si>
  <si>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</si>
  <si>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</si>
  <si>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</si>
  <si>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</si>
  <si>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</si>
  <si>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</si>
  <si>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</si>
  <si>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</si>
  <si>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</si>
  <si>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</si>
  <si>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</si>
  <si>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</si>
  <si>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</si>
  <si>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</si>
  <si>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</si>
  <si>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</si>
  <si>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</si>
  <si>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</si>
  <si>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</si>
  <si>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</si>
  <si>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</si>
  <si>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</si>
  <si>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</si>
  <si>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</si>
  <si>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</si>
  <si>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</si>
  <si>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</si>
  <si>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</si>
  <si>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</si>
  <si>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</si>
  <si>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</si>
  <si>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</si>
  <si>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</si>
  <si>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</si>
  <si>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</si>
  <si>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</si>
  <si>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</si>
  <si>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</si>
  <si>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</si>
  <si>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</si>
  <si>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</si>
  <si>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</si>
  <si>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</si>
  <si>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</si>
  <si>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</si>
  <si>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</si>
  <si>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</si>
  <si>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</si>
  <si>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</si>
  <si>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</si>
  <si>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</si>
  <si>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</si>
  <si>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</si>
  <si>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</si>
  <si>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</si>
  <si>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</si>
  <si>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</si>
  <si>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</si>
  <si>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</si>
  <si>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</si>
  <si>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</si>
  <si>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</si>
  <si>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</si>
  <si>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</si>
  <si>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</si>
  <si>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</si>
  <si>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</si>
  <si>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</si>
  <si>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</si>
  <si>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</si>
  <si>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</si>
  <si>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</si>
  <si>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</si>
  <si>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</si>
  <si>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</si>
  <si>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</si>
  <si>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</si>
  <si>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</si>
  <si>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</si>
  <si>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</si>
  <si>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</si>
  <si>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</si>
  <si>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</si>
  <si>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</si>
  <si>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</si>
  <si>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</si>
  <si>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</si>
  <si>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</si>
  <si>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</si>
  <si>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</si>
  <si>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</si>
  <si>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</si>
  <si>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</si>
  <si>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</si>
  <si>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</si>
  <si>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</si>
  <si>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</si>
  <si>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</si>
  <si>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</si>
  <si>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</si>
  <si>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</si>
  <si>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</si>
  <si>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</si>
  <si>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</si>
  <si>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</si>
  <si>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</si>
  <si>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</si>
  <si>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</si>
  <si>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</si>
  <si>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</si>
  <si>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</si>
  <si>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</si>
  <si>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</si>
  <si>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</si>
  <si>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</si>
  <si>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</si>
  <si>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</si>
  <si>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</si>
  <si>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</si>
  <si>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</si>
  <si>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</si>
  <si>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</si>
  <si>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</si>
  <si>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</si>
  <si>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</si>
  <si>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</si>
  <si>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</si>
  <si>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</si>
  <si>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</si>
  <si>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</si>
  <si>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</si>
  <si>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</si>
  <si>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</si>
  <si>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</si>
  <si>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</si>
  <si>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</si>
  <si>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</si>
  <si>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</si>
  <si>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</si>
  <si>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</si>
  <si>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</si>
  <si>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</si>
  <si>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</si>
  <si>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</si>
  <si>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</si>
  <si>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</si>
  <si>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</si>
  <si>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</si>
  <si>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</si>
  <si>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</si>
  <si>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</si>
  <si>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</si>
  <si>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</si>
  <si>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</si>
  <si>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</si>
  <si>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</si>
  <si>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</si>
  <si>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</si>
  <si>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</si>
  <si>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</si>
  <si>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</si>
  <si>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</si>
  <si>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</si>
  <si>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</si>
  <si>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</si>
  <si>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</si>
  <si>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</si>
  <si>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</si>
  <si>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</si>
  <si>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</si>
  <si>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</si>
  <si>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</si>
  <si>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</si>
  <si>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</si>
  <si>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</si>
  <si>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</si>
  <si>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</si>
  <si>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</si>
  <si>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</si>
  <si>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</si>
  <si>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</si>
  <si>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</si>
  <si>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</si>
  <si>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</si>
  <si>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</si>
  <si>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</si>
  <si>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</si>
  <si>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</si>
  <si>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</si>
  <si>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</si>
  <si>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</si>
  <si>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</si>
  <si>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</si>
  <si>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</si>
  <si>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</si>
  <si>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</si>
  <si>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</si>
  <si>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</si>
  <si>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</si>
  <si>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</si>
  <si>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</si>
  <si>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</si>
  <si>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</si>
  <si>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</si>
  <si>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</si>
  <si>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</si>
  <si>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</si>
  <si>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</si>
  <si>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</si>
  <si>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</si>
  <si>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</si>
  <si>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</si>
  <si>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</si>
  <si>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</si>
  <si>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</si>
  <si>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</si>
  <si>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</si>
  <si>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</si>
  <si>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</si>
  <si>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</si>
  <si>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</si>
  <si>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</si>
  <si>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</si>
  <si>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</si>
  <si>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</si>
  <si>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</si>
  <si>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</si>
  <si>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</si>
  <si>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</si>
  <si>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</si>
  <si>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</si>
  <si>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</si>
  <si>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</si>
  <si>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</si>
  <si>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</si>
  <si>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</si>
  <si>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</si>
  <si>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</si>
  <si>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</si>
  <si>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</si>
  <si>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</si>
  <si>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</si>
  <si>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</si>
  <si>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</si>
  <si>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</si>
  <si>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</si>
  <si>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</si>
  <si>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</si>
  <si>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</si>
  <si>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</si>
  <si>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</si>
  <si>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</si>
  <si>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</si>
  <si>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</si>
  <si>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</si>
  <si>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</si>
  <si>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</si>
  <si>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</si>
  <si>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</si>
  <si>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</si>
  <si>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</si>
  <si>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</si>
  <si>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</si>
  <si>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</si>
  <si>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</si>
  <si>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</si>
  <si>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</si>
  <si>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</si>
  <si>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</si>
  <si>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</si>
  <si>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</si>
  <si>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</si>
  <si>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</si>
  <si>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</si>
  <si>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</si>
  <si>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</si>
  <si>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</si>
  <si>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</si>
  <si>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</si>
  <si>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</si>
  <si>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</si>
  <si>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</si>
  <si>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</si>
  <si>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</si>
  <si>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</si>
  <si>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</si>
  <si>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</si>
  <si>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</si>
  <si>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</si>
  <si>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</si>
  <si>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</si>
  <si>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</si>
  <si>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</si>
  <si>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</si>
  <si>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</si>
  <si>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</si>
  <si>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</si>
  <si>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</si>
  <si>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</si>
  <si>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</si>
  <si>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</si>
  <si>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</si>
  <si>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</si>
  <si>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</si>
  <si>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</si>
  <si>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</si>
  <si>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</si>
  <si>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</si>
  <si>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</si>
  <si>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</si>
  <si>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</si>
  <si>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</si>
  <si>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</si>
  <si>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</si>
  <si>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</si>
  <si>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</si>
  <si>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</si>
  <si>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</si>
  <si>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</si>
  <si>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</si>
  <si>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</si>
  <si>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</si>
  <si>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</si>
  <si>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</si>
  <si>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</si>
  <si>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</si>
  <si>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</si>
  <si>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</si>
  <si>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</si>
  <si>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</si>
  <si>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</si>
  <si>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</si>
  <si>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</si>
  <si>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</si>
  <si>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</si>
  <si>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</si>
  <si>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</si>
  <si>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</si>
  <si>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</si>
  <si>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</si>
  <si>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</si>
  <si>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</si>
  <si>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</si>
  <si>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</si>
  <si>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</si>
  <si>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</si>
  <si>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</si>
  <si>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</si>
  <si>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</si>
  <si>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</si>
  <si>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</si>
  <si>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</si>
  <si>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</si>
  <si>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</si>
  <si>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</si>
  <si>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</si>
  <si>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</si>
  <si>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</si>
  <si>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</si>
  <si>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</si>
  <si>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</si>
  <si>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</si>
  <si>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</si>
  <si>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</si>
  <si>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</si>
  <si>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</si>
  <si>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</si>
  <si>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</si>
  <si>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</si>
  <si>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</si>
  <si>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</si>
  <si>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</si>
  <si>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</si>
  <si>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</si>
  <si>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</si>
  <si>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</si>
  <si>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</si>
  <si>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</si>
  <si>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</si>
  <si>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</si>
  <si>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</si>
  <si>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</si>
  <si>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</si>
  <si>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</si>
  <si>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</si>
  <si>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</si>
  <si>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</si>
  <si>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</si>
  <si>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</si>
  <si>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</si>
  <si>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</si>
  <si>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</si>
  <si>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</si>
  <si>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</si>
  <si>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</si>
  <si>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</si>
  <si>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</si>
  <si>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</si>
  <si>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</si>
  <si>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</si>
  <si>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</si>
  <si>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</si>
  <si>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</si>
  <si>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</si>
  <si>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</si>
  <si>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</si>
  <si>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</si>
  <si>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</si>
  <si>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</si>
  <si>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</si>
  <si>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</si>
  <si>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</si>
  <si>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</si>
  <si>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</si>
  <si>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</si>
  <si>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</si>
  <si>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</si>
  <si>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</si>
  <si>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</si>
  <si>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</si>
  <si>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</si>
  <si>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</si>
  <si>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</si>
  <si>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</si>
  <si>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</si>
  <si>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</si>
  <si>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</si>
  <si>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</si>
  <si>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</si>
  <si>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</si>
  <si>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</si>
  <si>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</si>
  <si>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</si>
  <si>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</si>
  <si>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</si>
  <si>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</si>
  <si>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</si>
  <si>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</si>
  <si>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</si>
  <si>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</si>
  <si>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</si>
  <si>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</si>
  <si>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</si>
  <si>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</si>
  <si>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</si>
  <si>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</si>
  <si>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</si>
  <si>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</si>
  <si>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</si>
  <si>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</si>
  <si>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</si>
  <si>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</si>
  <si>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</si>
  <si>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</si>
  <si>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</si>
  <si>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</si>
  <si>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</si>
  <si>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</si>
  <si>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</si>
  <si>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</si>
  <si>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</si>
  <si>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</si>
  <si>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</si>
  <si>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</si>
  <si>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</si>
  <si>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</si>
  <si>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</si>
  <si>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</si>
  <si>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</si>
  <si>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</si>
  <si>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</si>
  <si>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</si>
  <si>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</si>
  <si>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</si>
  <si>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</si>
  <si>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</si>
  <si>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</si>
  <si>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</si>
  <si>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</si>
  <si>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</si>
  <si>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</si>
  <si>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</si>
  <si>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</si>
  <si>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</si>
  <si>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</si>
  <si>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</si>
  <si>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</si>
  <si>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</si>
  <si>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</si>
  <si>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</si>
  <si>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</si>
  <si>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</si>
  <si>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</si>
  <si>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</si>
  <si>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</si>
  <si>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</si>
  <si>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</si>
  <si>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</si>
  <si>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</si>
  <si>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</si>
  <si>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</si>
  <si>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</si>
  <si>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</si>
  <si>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</si>
  <si>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</si>
  <si>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</si>
  <si>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</si>
  <si>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</si>
  <si>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</si>
  <si>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</si>
  <si>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</si>
  <si>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</si>
  <si>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</si>
  <si>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</si>
  <si>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</si>
  <si>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</si>
  <si>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</si>
  <si>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</si>
  <si>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</si>
  <si>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</si>
  <si>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</si>
  <si>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</si>
  <si>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</si>
  <si>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</si>
  <si>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</si>
  <si>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</si>
  <si>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</si>
  <si>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</si>
  <si>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</si>
  <si>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</si>
  <si>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</si>
  <si>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</si>
  <si>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</si>
  <si>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</si>
  <si>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</si>
  <si>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</si>
  <si>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</si>
  <si>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</si>
  <si>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</si>
  <si>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</si>
  <si>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</si>
  <si>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</si>
  <si>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</si>
  <si>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</si>
  <si>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</si>
  <si>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</si>
  <si>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</si>
  <si>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</si>
  <si>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</si>
  <si>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</si>
  <si>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</si>
  <si>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</si>
  <si>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</si>
  <si>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</si>
  <si>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</si>
  <si>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</si>
  <si>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</si>
  <si>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</si>
  <si>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</si>
  <si>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</si>
  <si>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</si>
  <si>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</si>
  <si>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</si>
  <si>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</si>
  <si>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</si>
  <si>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</si>
  <si>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</si>
  <si>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</si>
  <si>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</si>
  <si>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</si>
  <si>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</si>
  <si>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</si>
  <si>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</si>
  <si>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</si>
  <si>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</si>
  <si>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</si>
  <si>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</si>
  <si>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</si>
  <si>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</si>
  <si>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</si>
  <si>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</si>
  <si>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</si>
  <si>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</si>
  <si>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</si>
  <si>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</si>
  <si>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</si>
  <si>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</si>
  <si>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</si>
  <si>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</si>
  <si>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</si>
  <si>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</si>
  <si>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</si>
  <si>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</si>
  <si>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</si>
  <si>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</si>
  <si>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</si>
  <si>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</si>
  <si>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</si>
  <si>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</si>
  <si>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</si>
  <si>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</si>
  <si>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</si>
  <si>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</si>
  <si>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</si>
  <si>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</si>
  <si>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</si>
  <si>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</si>
  <si>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</si>
  <si>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</si>
  <si>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</si>
  <si>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</si>
  <si>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</si>
  <si>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</si>
  <si>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</si>
  <si>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</si>
  <si>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</si>
  <si>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</si>
  <si>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</si>
  <si>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</si>
  <si>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</si>
  <si>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</si>
  <si>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</si>
  <si>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</si>
  <si>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</si>
  <si>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</si>
  <si>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</si>
  <si>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</si>
  <si>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</si>
  <si>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</si>
  <si>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</si>
  <si>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</si>
  <si>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</si>
  <si>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</si>
  <si>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</si>
  <si>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</si>
  <si>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</si>
  <si>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</si>
  <si>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</si>
  <si>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</si>
  <si>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</si>
  <si>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</si>
  <si>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</si>
  <si>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</si>
  <si>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</si>
  <si>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</si>
  <si>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</si>
  <si>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</si>
  <si>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</si>
  <si>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</si>
  <si>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</si>
  <si>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</si>
  <si>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</si>
  <si>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</si>
  <si>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</si>
  <si>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</si>
  <si>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</si>
  <si>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</si>
  <si>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</si>
  <si>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</si>
  <si>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</si>
  <si>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</si>
  <si>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</si>
  <si>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</si>
  <si>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</si>
  <si>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</si>
  <si>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</si>
  <si>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</si>
  <si>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</si>
  <si>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</si>
  <si>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</si>
  <si>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</si>
  <si>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</si>
  <si>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</si>
  <si>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</si>
  <si>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</si>
  <si>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</si>
  <si>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</si>
  <si>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</si>
  <si>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</si>
  <si>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</si>
  <si>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</si>
  <si>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</si>
  <si>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</si>
  <si>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</si>
  <si>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</si>
  <si>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</si>
  <si>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</si>
  <si>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</si>
  <si>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</si>
  <si>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</si>
  <si>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</si>
  <si>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</si>
  <si>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</si>
  <si>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</si>
  <si>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</si>
  <si>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</si>
  <si>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</si>
  <si>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</si>
  <si>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</si>
  <si>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</si>
  <si>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</si>
  <si>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</si>
  <si>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</si>
  <si>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</si>
  <si>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</si>
  <si>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</si>
  <si>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</si>
  <si>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</si>
  <si>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</si>
  <si>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</si>
  <si>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</si>
  <si>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</si>
  <si>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</si>
  <si>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</si>
  <si>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</si>
  <si>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</si>
  <si>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</si>
  <si>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</si>
  <si>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</si>
  <si>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</si>
  <si>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</si>
  <si>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</si>
  <si>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</si>
  <si>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</si>
  <si>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</si>
  <si>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</si>
  <si>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</si>
  <si>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</si>
  <si>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</si>
  <si>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</si>
  <si>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</si>
  <si>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</si>
  <si>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</si>
  <si>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</si>
  <si>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</si>
  <si>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</si>
  <si>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</si>
  <si>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</si>
  <si>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</si>
  <si>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</si>
  <si>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</si>
  <si>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</si>
  <si>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</si>
  <si>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</si>
  <si>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</si>
  <si>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</si>
  <si>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</si>
  <si>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</si>
  <si>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</si>
  <si>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</si>
  <si>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</si>
  <si>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</si>
  <si>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</si>
  <si>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</si>
  <si>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</si>
  <si>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</si>
  <si>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</si>
  <si>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</si>
  <si>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</si>
  <si>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</si>
  <si>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</si>
  <si>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</si>
  <si>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</si>
  <si>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</si>
  <si>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</si>
  <si>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</si>
  <si>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</si>
  <si>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</si>
  <si>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</si>
  <si>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</si>
  <si>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</si>
  <si>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</si>
  <si>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</si>
  <si>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</si>
  <si>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</si>
  <si>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</si>
  <si>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</si>
  <si>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</si>
  <si>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</si>
  <si>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</si>
  <si>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</si>
  <si>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</si>
  <si>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</si>
  <si>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</si>
  <si>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</si>
  <si>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</si>
  <si>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</si>
  <si>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</si>
  <si>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</si>
  <si>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</si>
  <si>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</si>
  <si>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</si>
  <si>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</si>
  <si>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</si>
  <si>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</si>
  <si>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</si>
  <si>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</si>
  <si>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</si>
  <si>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</si>
  <si>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</si>
  <si>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</si>
  <si>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</si>
  <si>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</si>
  <si>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</si>
  <si>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</si>
  <si>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</si>
  <si>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</si>
  <si>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</si>
  <si>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</si>
  <si>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</si>
  <si>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</si>
  <si>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</si>
  <si>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</si>
  <si>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</si>
  <si>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</si>
  <si>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</si>
  <si>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</si>
  <si>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</si>
  <si>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</si>
  <si>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</si>
  <si>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</si>
  <si>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</si>
  <si>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</si>
  <si>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</si>
  <si>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</si>
  <si>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</si>
  <si>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</si>
  <si>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</si>
  <si>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</si>
  <si>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</si>
  <si>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</si>
  <si>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</si>
  <si>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</si>
  <si>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</si>
  <si>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</si>
  <si>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</si>
  <si>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</si>
  <si>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</si>
  <si>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</si>
  <si>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</si>
  <si>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</si>
  <si>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</si>
  <si>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</si>
  <si>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</si>
  <si>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</si>
  <si>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</si>
  <si>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</si>
  <si>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</si>
  <si>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</si>
  <si>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</si>
  <si>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</si>
  <si>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</si>
  <si>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</si>
  <si>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</si>
  <si>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</si>
  <si>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</si>
  <si>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</si>
  <si>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</si>
  <si>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</si>
  <si>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</si>
  <si>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</si>
  <si>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</si>
  <si>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</si>
  <si>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</si>
  <si>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</si>
  <si>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</si>
  <si>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</si>
  <si>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</si>
  <si>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</si>
  <si>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</si>
  <si>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</si>
  <si>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</si>
  <si>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</si>
  <si>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</si>
  <si>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</si>
  <si>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</si>
  <si>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</si>
  <si>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</si>
  <si>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</si>
  <si>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</si>
  <si>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</si>
  <si>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</si>
  <si>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</si>
  <si>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</si>
  <si>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</si>
  <si>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</si>
  <si>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</si>
  <si>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</si>
  <si>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</si>
  <si>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</si>
  <si>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</si>
  <si>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</si>
  <si>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</si>
  <si>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</si>
  <si>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</si>
  <si>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</si>
  <si>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</si>
  <si>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</si>
  <si>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</si>
  <si>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</si>
  <si>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</si>
  <si>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</si>
  <si>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</si>
  <si>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</si>
  <si>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</si>
  <si>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</si>
  <si>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</si>
  <si>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</si>
  <si>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</si>
  <si>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</si>
  <si>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</si>
  <si>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</si>
  <si>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</si>
  <si>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</si>
  <si>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</si>
  <si>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</si>
  <si>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</si>
  <si>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</si>
  <si>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</si>
  <si>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</si>
  <si>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</si>
  <si>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</si>
  <si>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</si>
  <si>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</si>
  <si>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</si>
  <si>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</si>
  <si>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</si>
  <si>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</si>
  <si>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</si>
  <si>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</si>
  <si>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</si>
  <si>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</si>
  <si>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</si>
  <si>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</si>
  <si>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</si>
  <si>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</si>
  <si>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</si>
  <si>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</si>
  <si>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</si>
  <si>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</si>
  <si>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</si>
  <si>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</si>
  <si>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</si>
  <si>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</si>
  <si>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</si>
  <si>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</si>
  <si>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</si>
  <si>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</si>
  <si>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</si>
  <si>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</si>
  <si>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</si>
  <si>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</si>
  <si>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</si>
  <si>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</si>
  <si>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</si>
  <si>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</si>
  <si>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</si>
  <si>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</si>
  <si>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</si>
  <si>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</si>
  <si>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</si>
  <si>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</si>
  <si>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</si>
  <si>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</si>
  <si>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</si>
  <si>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</si>
  <si>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</si>
  <si>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</si>
  <si>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</si>
  <si>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</si>
  <si>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</si>
  <si>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</si>
  <si>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</si>
  <si>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</si>
  <si>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</si>
  <si>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</si>
  <si>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</si>
  <si>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</si>
  <si>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</si>
  <si>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</si>
  <si>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</si>
  <si>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</si>
  <si>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</si>
  <si>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</si>
  <si>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</si>
  <si>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</si>
  <si>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</si>
  <si>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</si>
  <si>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</si>
  <si>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</si>
  <si>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</si>
  <si>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</si>
  <si>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</si>
  <si>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</si>
  <si>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</si>
  <si>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</si>
  <si>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</si>
  <si>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</si>
  <si>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</si>
  <si>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</si>
  <si>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</si>
  <si>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</si>
  <si>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</si>
  <si>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</si>
  <si>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</si>
  <si>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</si>
  <si>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</si>
  <si>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</si>
  <si>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</si>
  <si>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</si>
  <si>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</si>
  <si>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</si>
  <si>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</si>
  <si>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</si>
  <si>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</si>
  <si>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</si>
  <si>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</si>
  <si>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</si>
  <si>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</si>
  <si>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</si>
  <si>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</si>
  <si>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</si>
  <si>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</si>
  <si>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</si>
  <si>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</si>
  <si>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</si>
  <si>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</si>
  <si>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</si>
  <si>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</si>
  <si>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</si>
  <si>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</si>
  <si>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</si>
  <si>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</si>
  <si>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</si>
  <si>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</si>
  <si>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</si>
  <si>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</si>
  <si>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</si>
  <si>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</si>
  <si>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</si>
  <si>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</si>
  <si>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</si>
  <si>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</si>
  <si>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</si>
  <si>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</si>
  <si>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</si>
  <si>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</si>
  <si>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</si>
  <si>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</si>
  <si>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</si>
  <si>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</si>
  <si>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</si>
  <si>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</si>
  <si>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</si>
  <si>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</si>
  <si>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</si>
  <si>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</si>
  <si>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</si>
  <si>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</si>
  <si>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</si>
  <si>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</si>
  <si>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</si>
  <si>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</si>
  <si>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</si>
  <si>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</si>
  <si>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</si>
  <si>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</si>
  <si>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</si>
  <si>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</si>
  <si>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</si>
  <si>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</si>
  <si>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</si>
  <si>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</si>
  <si>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</si>
  <si>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</si>
  <si>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</si>
  <si>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</si>
  <si>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</si>
  <si>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</si>
  <si>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</si>
  <si>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</si>
  <si>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</si>
  <si>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</si>
  <si>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</si>
  <si>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</si>
  <si>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</si>
  <si>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</si>
  <si>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</si>
  <si>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</si>
  <si>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</si>
  <si>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</si>
  <si>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</si>
  <si>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</si>
  <si>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</si>
  <si>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</si>
  <si>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</si>
  <si>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</si>
  <si>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</si>
  <si>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</si>
  <si>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</si>
  <si>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</si>
  <si>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</si>
  <si>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</si>
  <si>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</si>
  <si>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</si>
  <si>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</si>
  <si>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</si>
  <si>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</si>
  <si>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</si>
  <si>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</si>
  <si>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</si>
  <si>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</si>
  <si>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</si>
  <si>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</si>
  <si>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</si>
  <si>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</si>
  <si>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</si>
  <si>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</si>
  <si>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</si>
  <si>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</si>
  <si>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</si>
  <si>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</si>
  <si>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</si>
  <si>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</si>
  <si>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</si>
  <si>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</si>
  <si>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</si>
  <si>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</si>
  <si>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</si>
  <si>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</si>
  <si>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</si>
  <si>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</si>
  <si>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</si>
  <si>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</si>
  <si>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</si>
  <si>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</si>
  <si>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</si>
  <si>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</si>
  <si>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</si>
  <si>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</si>
  <si>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</si>
  <si>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</si>
  <si>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</si>
  <si>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</si>
  <si>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</si>
  <si>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</si>
  <si>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</si>
  <si>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</si>
  <si>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</si>
  <si>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</si>
  <si>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</si>
  <si>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</si>
  <si>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</si>
  <si>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</si>
  <si>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</si>
  <si>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</si>
  <si>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</si>
  <si>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</si>
  <si>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</si>
  <si>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</si>
  <si>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</si>
  <si>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</si>
  <si>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</si>
  <si>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</si>
  <si>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</si>
  <si>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</si>
  <si>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</si>
  <si>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</si>
  <si>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</si>
  <si>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</si>
  <si>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</si>
  <si>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</si>
  <si>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</si>
  <si>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</si>
  <si>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</si>
  <si>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</si>
  <si>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</si>
  <si>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</si>
  <si>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</si>
  <si>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</si>
  <si>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</si>
  <si>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</si>
  <si>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</si>
  <si>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</si>
  <si>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</si>
  <si>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</si>
  <si>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</si>
  <si>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</si>
  <si>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</si>
  <si>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</si>
  <si>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</si>
  <si>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</si>
  <si>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</si>
  <si>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</si>
  <si>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</si>
  <si>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</si>
  <si>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</si>
  <si>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</si>
  <si>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</si>
  <si>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</si>
  <si>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</si>
  <si>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</si>
  <si>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</si>
  <si>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</si>
  <si>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</si>
  <si>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</si>
  <si>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</si>
  <si>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</si>
  <si>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</si>
  <si>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</si>
  <si>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</si>
  <si>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</si>
  <si>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</si>
  <si>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</si>
  <si>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</si>
  <si>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</si>
  <si>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</si>
  <si>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</si>
  <si>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</si>
  <si>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</si>
  <si>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</si>
  <si>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</si>
  <si>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</si>
  <si>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</si>
  <si>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</si>
  <si>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</si>
  <si>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</si>
  <si>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</si>
  <si>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</si>
  <si>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</si>
  <si>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</si>
  <si>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</si>
  <si>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</si>
  <si>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</si>
  <si>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</si>
  <si>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</si>
  <si>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</si>
  <si>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</si>
  <si>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</si>
  <si>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</si>
  <si>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</si>
  <si>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</si>
  <si>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</si>
  <si>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</si>
  <si>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</si>
  <si>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</si>
  <si>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</si>
  <si>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</si>
  <si>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</si>
  <si>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</si>
  <si>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</si>
  <si>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</si>
  <si>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</si>
  <si>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</si>
  <si>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</si>
  <si>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</si>
  <si>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</si>
  <si>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</si>
  <si>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</si>
  <si>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</si>
  <si>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</si>
  <si>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</si>
  <si>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</si>
  <si>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</si>
  <si>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</si>
  <si>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</si>
  <si>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</si>
  <si>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</si>
  <si>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</si>
  <si>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</si>
  <si>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</si>
  <si>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</si>
  <si>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</si>
  <si>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</si>
  <si>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</si>
  <si>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</si>
  <si>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</si>
  <si>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</si>
  <si>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</si>
  <si>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</si>
  <si>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</si>
  <si>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</si>
  <si>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</si>
  <si>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</si>
  <si>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</si>
  <si>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</si>
  <si>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</si>
  <si>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</si>
  <si>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</si>
  <si>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</si>
  <si>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</si>
  <si>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</si>
  <si>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</si>
  <si>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</si>
  <si>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</si>
  <si>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</si>
  <si>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</si>
  <si>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</si>
  <si>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</si>
  <si>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</si>
  <si>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</si>
  <si>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</si>
  <si>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</si>
  <si>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</si>
  <si>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</si>
  <si>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</si>
  <si>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</si>
  <si>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</si>
  <si>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</si>
  <si>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</si>
  <si>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</si>
  <si>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</si>
  <si>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</si>
  <si>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</si>
  <si>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</si>
  <si>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</si>
  <si>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</si>
  <si>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</si>
  <si>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</si>
  <si>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</si>
  <si>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</si>
  <si>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</si>
  <si>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</si>
  <si>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</si>
  <si>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</si>
  <si>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</si>
  <si>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</si>
  <si>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</si>
  <si>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</si>
  <si>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</si>
  <si>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</si>
  <si>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</si>
  <si>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</si>
  <si>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</si>
  <si>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</si>
  <si>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</si>
  <si>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</si>
  <si>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</si>
  <si>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</si>
  <si>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</si>
  <si>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</si>
  <si>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</si>
  <si>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</si>
  <si>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</si>
  <si>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</si>
  <si>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</si>
  <si>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</si>
  <si>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</si>
  <si>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</si>
  <si>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</si>
  <si>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</si>
  <si>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</si>
  <si>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</si>
  <si>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</si>
  <si>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</si>
  <si>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</si>
  <si>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</si>
  <si>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</si>
  <si>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</si>
  <si>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</si>
  <si>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</si>
  <si>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</si>
  <si>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</si>
  <si>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</si>
  <si>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</si>
  <si>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</si>
  <si>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</si>
  <si>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</si>
  <si>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</si>
  <si>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</si>
  <si>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</si>
  <si>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</si>
  <si>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</si>
  <si>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</si>
  <si>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</si>
  <si>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</si>
  <si>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</si>
  <si>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</si>
  <si>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</si>
  <si>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</si>
  <si>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</si>
  <si>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</si>
  <si>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</si>
  <si>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</si>
  <si>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</si>
  <si>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</si>
  <si>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</si>
  <si>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</si>
  <si>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</si>
  <si>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</si>
  <si>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</si>
  <si>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</si>
  <si>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</si>
  <si>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</si>
  <si>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</si>
  <si>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</si>
  <si>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</si>
  <si>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</si>
  <si>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</si>
  <si>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</si>
  <si>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</si>
  <si>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</si>
  <si>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</si>
  <si>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</si>
  <si>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</si>
  <si>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</si>
  <si>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</si>
  <si>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</si>
  <si>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</si>
  <si>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</si>
  <si>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</si>
  <si>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</si>
  <si>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</si>
  <si>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</si>
  <si>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</si>
  <si>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</si>
  <si>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</si>
  <si>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</si>
  <si>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</si>
  <si>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</si>
  <si>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</si>
  <si>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</si>
  <si>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</si>
  <si>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</si>
  <si>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</si>
  <si>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</si>
  <si>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</si>
  <si>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</si>
  <si>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</si>
  <si>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</si>
  <si>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</si>
  <si>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</si>
  <si>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</si>
  <si>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</si>
  <si>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</si>
  <si>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</si>
  <si>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</si>
  <si>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</si>
  <si>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</si>
  <si>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</si>
  <si>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</si>
  <si>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</si>
  <si>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</si>
  <si>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</si>
  <si>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</si>
  <si>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</si>
  <si>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</si>
  <si>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</si>
  <si>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</si>
  <si>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</si>
  <si>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</si>
  <si>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</si>
  <si>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</si>
  <si>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</si>
  <si>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</si>
  <si>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</si>
  <si>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</si>
  <si>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</si>
  <si>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</si>
  <si>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</si>
  <si>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</si>
  <si>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</si>
  <si>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</si>
  <si>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</si>
  <si>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</si>
  <si>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</si>
  <si>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</si>
  <si>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</si>
  <si>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</si>
  <si>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</si>
  <si>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</si>
  <si>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</si>
  <si>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</si>
  <si>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</si>
  <si>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</si>
  <si>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</si>
  <si>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</si>
  <si>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</si>
  <si>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</si>
  <si>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</si>
  <si>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</si>
  <si>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</si>
  <si>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</si>
  <si>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</si>
  <si>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</si>
  <si>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</si>
  <si>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</si>
  <si>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</si>
  <si>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</si>
  <si>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</si>
  <si>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</si>
  <si>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</si>
  <si>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</si>
  <si>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</si>
  <si>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</si>
  <si>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</si>
  <si>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</si>
  <si>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</si>
  <si>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</si>
  <si>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</si>
  <si>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</si>
  <si>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</si>
  <si>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</si>
  <si>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</si>
  <si>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</si>
  <si>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</si>
  <si>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</si>
  <si>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</si>
  <si>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</si>
  <si>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</si>
  <si>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</si>
  <si>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</si>
  <si>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</si>
  <si>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</si>
  <si>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</si>
  <si>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</si>
  <si>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</si>
  <si>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</si>
  <si>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</si>
  <si>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</si>
  <si>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</si>
  <si>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</si>
  <si>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</si>
  <si>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</si>
  <si>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</si>
  <si>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</si>
  <si>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</si>
  <si>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</si>
  <si>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</si>
  <si>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</si>
  <si>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</si>
  <si>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</si>
  <si>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</si>
  <si>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</si>
  <si>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</si>
  <si>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</si>
  <si>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</si>
  <si>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</si>
  <si>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</si>
  <si>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</si>
  <si>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</si>
  <si>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</si>
  <si>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</si>
  <si>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</si>
  <si>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</si>
  <si>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</si>
  <si>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</si>
  <si>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</si>
  <si>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</si>
  <si>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</si>
  <si>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</si>
  <si>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</si>
  <si>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</si>
  <si>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</si>
  <si>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</si>
  <si>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</si>
  <si>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</si>
  <si>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</si>
  <si>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</si>
  <si>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</si>
  <si>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</si>
  <si>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</si>
  <si>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</si>
  <si>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</si>
  <si>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</si>
  <si>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</si>
  <si>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</si>
  <si>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</si>
  <si>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</si>
  <si>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</si>
  <si>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</si>
  <si>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</si>
  <si>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</si>
  <si>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</si>
  <si>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</si>
  <si>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</si>
  <si>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</si>
  <si>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</si>
  <si>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</si>
  <si>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</si>
  <si>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</si>
  <si>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</si>
  <si>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</si>
  <si>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</si>
  <si>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</si>
  <si>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</si>
  <si>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</si>
  <si>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</si>
  <si>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</si>
  <si>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</si>
  <si>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</si>
  <si>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</si>
  <si>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</si>
  <si>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</si>
  <si>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</si>
  <si>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</si>
  <si>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</si>
  <si>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</si>
  <si>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</si>
  <si>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</si>
  <si>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</si>
  <si>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</si>
  <si>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</si>
  <si>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</si>
  <si>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</si>
  <si>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</si>
  <si>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</si>
  <si>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</si>
  <si>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</si>
  <si>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</si>
  <si>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</si>
  <si>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</si>
  <si>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</si>
  <si>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</si>
  <si>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</si>
  <si>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</si>
  <si>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</si>
  <si>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</si>
  <si>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</si>
  <si>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</si>
  <si>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</si>
  <si>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</si>
  <si>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</si>
  <si>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</si>
  <si>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</si>
  <si>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</si>
  <si>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</si>
  <si>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</si>
  <si>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</si>
  <si>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</si>
  <si>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</si>
  <si>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</si>
  <si>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</si>
  <si>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</si>
  <si>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</si>
  <si>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</si>
  <si>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</si>
  <si>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</si>
  <si>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</si>
  <si>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</si>
  <si>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</si>
  <si>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</si>
  <si>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</si>
  <si>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</si>
  <si>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</si>
  <si>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</si>
  <si>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</si>
  <si>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</si>
  <si>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</si>
  <si>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</si>
  <si>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</si>
  <si>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</si>
  <si>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</si>
  <si>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</si>
  <si>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</si>
  <si>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</si>
  <si>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</si>
  <si>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</si>
  <si>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</si>
  <si>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</si>
  <si>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</si>
  <si>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</si>
  <si>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</si>
  <si>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</si>
  <si>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</si>
  <si>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</si>
  <si>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</si>
  <si>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</si>
  <si>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</si>
  <si>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</si>
  <si>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</si>
  <si>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</si>
  <si>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</si>
  <si>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</si>
  <si>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</si>
  <si>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</si>
  <si>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</si>
  <si>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</si>
  <si>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</si>
  <si>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</si>
  <si>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</si>
  <si>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</si>
  <si>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</si>
  <si>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</si>
  <si>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</si>
  <si>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</si>
  <si>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</si>
  <si>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</si>
  <si>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</si>
  <si>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</si>
  <si>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</si>
  <si>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</si>
  <si>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</si>
  <si>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</si>
  <si>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</si>
  <si>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</si>
  <si>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</si>
  <si>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</si>
  <si>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</si>
  <si>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</si>
  <si>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</si>
  <si>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</si>
  <si>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</si>
  <si>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</si>
  <si>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</si>
  <si>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</si>
  <si>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</si>
  <si>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</si>
  <si>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</si>
  <si>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</si>
  <si>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</si>
  <si>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</si>
  <si>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</si>
  <si>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</si>
  <si>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</si>
  <si>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</si>
  <si>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</si>
  <si>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</si>
  <si>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</si>
  <si>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</si>
  <si>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</si>
  <si>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</si>
  <si>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</si>
  <si>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</si>
  <si>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</si>
  <si>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</si>
  <si>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</si>
  <si>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</si>
  <si>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</si>
  <si>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</si>
  <si>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</si>
  <si>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</si>
  <si>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</si>
  <si>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</si>
  <si>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</si>
  <si>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</si>
  <si>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</si>
  <si>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</si>
  <si>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</si>
  <si>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</si>
  <si>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</si>
  <si>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</si>
  <si>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</si>
  <si>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</si>
  <si>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</si>
  <si>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</si>
  <si>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</si>
  <si>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</si>
  <si>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</si>
  <si>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</si>
  <si>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</si>
  <si>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</si>
  <si>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</si>
  <si>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</si>
  <si>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</si>
  <si>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</si>
  <si>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</si>
  <si>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</si>
  <si>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</si>
  <si>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</si>
  <si>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</si>
  <si>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</si>
  <si>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</si>
  <si>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</si>
  <si>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</si>
  <si>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</si>
  <si>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</si>
  <si>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</si>
  <si>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</si>
  <si>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</si>
  <si>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</si>
  <si>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</si>
  <si>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</si>
  <si>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</si>
  <si>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</si>
  <si>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</si>
  <si>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</si>
  <si>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</si>
  <si>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</si>
  <si>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</si>
  <si>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</si>
  <si>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</si>
  <si>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</si>
  <si>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</si>
  <si>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</si>
  <si>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</si>
  <si>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</si>
  <si>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</si>
  <si>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</si>
  <si>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</si>
  <si>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</si>
  <si>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</si>
  <si>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</si>
  <si>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</si>
  <si>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</si>
  <si>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</si>
  <si>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</si>
  <si>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</si>
  <si>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</si>
  <si>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</si>
  <si>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</si>
  <si>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</si>
  <si>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</si>
  <si>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</si>
  <si>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</si>
  <si>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</si>
  <si>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</si>
  <si>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</si>
  <si>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</si>
  <si>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</si>
  <si>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</si>
  <si>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</si>
  <si>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</si>
  <si>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</si>
  <si>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</si>
  <si>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</si>
  <si>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</si>
  <si>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</si>
  <si>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</si>
  <si>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</si>
  <si>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</si>
  <si>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</si>
  <si>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</si>
  <si>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</si>
  <si>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</si>
  <si>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</si>
  <si>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</si>
  <si>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</si>
  <si>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</si>
  <si>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</si>
  <si>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</si>
  <si>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</si>
  <si>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</si>
  <si>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</si>
  <si>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</si>
  <si>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</si>
  <si>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</si>
  <si>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</si>
  <si>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</si>
  <si>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</si>
  <si>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</si>
  <si>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</si>
  <si>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</si>
  <si>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</si>
  <si>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</si>
  <si>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</si>
  <si>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</si>
  <si>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</si>
  <si>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</si>
  <si>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</si>
  <si>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</si>
  <si>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</si>
  <si>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</si>
  <si>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</si>
  <si>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</si>
  <si>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</si>
  <si>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</si>
  <si>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</si>
  <si>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</si>
  <si>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</si>
  <si>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</si>
  <si>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</si>
  <si>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</si>
  <si>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</si>
  <si>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</si>
  <si>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</si>
  <si>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</si>
  <si>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</si>
  <si>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</si>
  <si>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</si>
  <si>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</si>
  <si>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</si>
  <si>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</si>
  <si>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</si>
  <si>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</si>
  <si>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</si>
  <si>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</si>
  <si>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</si>
  <si>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</si>
  <si>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</si>
  <si>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</si>
  <si>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</si>
  <si>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</si>
  <si>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</si>
  <si>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</si>
  <si>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</si>
  <si>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</si>
  <si>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</si>
  <si>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</si>
  <si>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</si>
  <si>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</si>
  <si>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</si>
  <si>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</si>
  <si>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</si>
  <si>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</si>
  <si>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</si>
  <si>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</si>
  <si>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</si>
  <si>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</si>
  <si>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</si>
  <si>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</si>
  <si>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</si>
  <si>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</si>
  <si>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</si>
  <si>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</si>
  <si>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</si>
  <si>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</si>
  <si>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</si>
  <si>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</si>
  <si>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</si>
  <si>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</si>
  <si>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</si>
  <si>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</si>
  <si>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</si>
  <si>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</si>
  <si>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</si>
  <si>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</si>
  <si>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</si>
  <si>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</si>
  <si>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</si>
  <si>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</si>
  <si>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</si>
  <si>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</si>
  <si>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</si>
  <si>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</si>
  <si>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</si>
  <si>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</si>
  <si>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</si>
  <si>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</si>
  <si>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</si>
  <si>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</si>
  <si>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</si>
  <si>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</si>
  <si>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</si>
  <si>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</si>
  <si>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</si>
  <si>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</si>
  <si>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</si>
  <si>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</si>
  <si>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</si>
  <si>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</si>
  <si>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</si>
  <si>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</si>
  <si>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</si>
  <si>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</si>
  <si>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</si>
  <si>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</si>
  <si>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</si>
  <si>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</si>
  <si>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</si>
  <si>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</si>
  <si>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</si>
  <si>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</si>
  <si>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</si>
  <si>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</si>
  <si>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</si>
  <si>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</si>
  <si>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</si>
  <si>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</si>
  <si>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</si>
  <si>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</si>
  <si>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</si>
  <si>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</si>
  <si>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</si>
  <si>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</si>
  <si>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</si>
  <si>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</si>
  <si>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</si>
  <si>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</si>
  <si>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</si>
  <si>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</si>
  <si>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</si>
  <si>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</si>
  <si>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</si>
  <si>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</si>
  <si>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</si>
  <si>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</si>
  <si>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</si>
  <si>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</si>
  <si>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</si>
  <si>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</si>
  <si>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</si>
  <si>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</si>
  <si>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</si>
  <si>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</si>
  <si>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</si>
  <si>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</si>
  <si>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</si>
  <si>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</si>
  <si>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</si>
  <si>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</si>
  <si>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</si>
  <si>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</si>
  <si>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</si>
  <si>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</si>
  <si>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</si>
  <si>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</si>
  <si>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</si>
  <si>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</si>
  <si>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</si>
  <si>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</si>
  <si>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</si>
  <si>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</si>
  <si>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</si>
  <si>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</si>
  <si>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</si>
  <si>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</si>
  <si>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</si>
  <si>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</si>
  <si>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</si>
  <si>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</si>
  <si>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</si>
  <si>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</si>
  <si>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</si>
  <si>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</si>
  <si>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</si>
  <si>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</si>
  <si>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</si>
  <si>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</si>
  <si>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</si>
  <si>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</si>
  <si>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</si>
  <si>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</si>
  <si>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</si>
  <si>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</si>
  <si>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</si>
  <si>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</si>
  <si>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</si>
  <si>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</si>
  <si>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</si>
  <si>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</si>
  <si>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</si>
  <si>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</si>
  <si>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</si>
  <si>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</si>
  <si>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</si>
  <si>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</si>
  <si>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</si>
  <si>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</si>
  <si>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</si>
  <si>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</si>
  <si>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</si>
  <si>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</si>
  <si>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</si>
  <si>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</si>
  <si>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</si>
  <si>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</si>
  <si>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</si>
  <si>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</si>
  <si>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</si>
  <si>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</si>
  <si>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</si>
  <si>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</si>
  <si>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</si>
  <si>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</si>
  <si>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</si>
  <si>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</si>
  <si>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</si>
  <si>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</si>
  <si>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</si>
  <si>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</si>
  <si>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</si>
  <si>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</si>
  <si>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</si>
  <si>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</si>
  <si>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</si>
  <si>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</si>
  <si>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</si>
  <si>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</si>
  <si>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</si>
  <si>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</si>
  <si>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</si>
  <si>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</si>
  <si>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</si>
  <si>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</si>
  <si>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</si>
  <si>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</si>
  <si>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</si>
  <si>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</si>
  <si>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</si>
  <si>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</si>
  <si>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</si>
  <si>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</si>
  <si>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</si>
  <si>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</si>
  <si>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</si>
  <si>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</si>
  <si>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</si>
  <si>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</si>
  <si>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</si>
  <si>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</si>
  <si>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</si>
  <si>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</si>
  <si>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</si>
  <si>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</si>
  <si>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</si>
  <si>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</si>
  <si>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</si>
  <si>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</si>
  <si>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</si>
  <si>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</si>
  <si>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</si>
  <si>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</si>
  <si>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</si>
  <si>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</si>
  <si>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</si>
  <si>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</si>
  <si>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</si>
  <si>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</si>
  <si>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</si>
  <si>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</si>
  <si>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</si>
  <si>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</si>
  <si>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</si>
  <si>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</si>
  <si>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</si>
  <si>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</si>
  <si>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</si>
  <si>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</si>
  <si>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</si>
  <si>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</si>
  <si>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</si>
  <si>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</si>
  <si>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</si>
  <si>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</si>
  <si>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</si>
  <si>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</si>
  <si>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</si>
  <si>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</si>
  <si>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</si>
  <si>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</si>
  <si>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</si>
  <si>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</si>
  <si>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</si>
  <si>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</si>
  <si>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</si>
  <si>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</si>
  <si>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</si>
  <si>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</si>
  <si>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</si>
  <si>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</si>
  <si>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</si>
  <si>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</si>
  <si>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</si>
  <si>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</si>
  <si>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</si>
  <si>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</si>
  <si>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</si>
  <si>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</si>
  <si>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</si>
  <si>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</si>
  <si>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</si>
  <si>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</si>
  <si>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</si>
  <si>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</si>
  <si>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</si>
  <si>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</si>
  <si>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</si>
  <si>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</si>
  <si>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</si>
  <si>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</si>
  <si>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</si>
  <si>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</si>
  <si>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</si>
  <si>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</si>
  <si>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</si>
  <si>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</si>
  <si>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</si>
  <si>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</si>
  <si>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</si>
  <si>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</si>
  <si>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</si>
  <si>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</si>
  <si>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</si>
  <si>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</si>
  <si>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</si>
  <si>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</si>
  <si>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</si>
  <si>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</si>
  <si>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</si>
  <si>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</si>
  <si>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</si>
  <si>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</si>
  <si>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</si>
  <si>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</si>
  <si>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</si>
  <si>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</si>
  <si>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</si>
  <si>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</si>
  <si>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</si>
  <si>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</si>
  <si>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</si>
  <si>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</si>
  <si>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</si>
  <si>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</si>
  <si>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</si>
  <si>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</si>
  <si>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</si>
  <si>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</si>
  <si>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</si>
  <si>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</si>
  <si>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</si>
  <si>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</si>
  <si>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</si>
  <si>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</si>
  <si>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</si>
  <si>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</si>
  <si>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</si>
  <si>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</si>
  <si>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</si>
  <si>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</si>
  <si>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</si>
  <si>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</si>
  <si>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</si>
  <si>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</si>
  <si>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</si>
  <si>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</si>
  <si>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</si>
  <si>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</si>
  <si>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</si>
  <si>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</si>
  <si>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</si>
  <si>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</si>
  <si>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</si>
  <si>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</si>
  <si>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</si>
  <si>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</si>
  <si>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</si>
  <si>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</si>
  <si>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</si>
  <si>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</si>
  <si>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</si>
  <si>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</si>
  <si>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</si>
  <si>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</si>
  <si>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</si>
  <si>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</si>
  <si>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</si>
  <si>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</si>
  <si>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</si>
  <si>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</si>
  <si>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</si>
  <si>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</si>
  <si>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</si>
  <si>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</si>
  <si>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</si>
  <si>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</si>
  <si>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</si>
  <si>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</si>
  <si>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</si>
  <si>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</si>
  <si>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</si>
  <si>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</si>
  <si>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</si>
  <si>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</si>
  <si>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</si>
  <si>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</si>
  <si>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</si>
  <si>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</si>
  <si>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</si>
  <si>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</si>
  <si>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</si>
  <si>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</si>
  <si>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</si>
  <si>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</si>
  <si>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</si>
  <si>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</si>
  <si>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</si>
  <si>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</si>
  <si>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</si>
  <si>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</si>
  <si>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</si>
  <si>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</si>
  <si>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</si>
  <si>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</si>
  <si>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</si>
  <si>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</si>
  <si>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</si>
  <si>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</si>
  <si>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</si>
  <si>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</si>
  <si>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</si>
  <si>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</si>
  <si>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</si>
  <si>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</si>
  <si>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</si>
  <si>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</si>
  <si>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</si>
  <si>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</si>
  <si>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</si>
  <si>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</si>
  <si>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</si>
  <si>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</si>
  <si>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</si>
  <si>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</si>
  <si>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</si>
  <si>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</si>
  <si>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</si>
  <si>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</si>
  <si>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</si>
  <si>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</si>
  <si>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</si>
  <si>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</si>
  <si>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</si>
  <si>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</si>
  <si>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</si>
  <si>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</si>
  <si>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</si>
  <si>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</si>
  <si>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</si>
  <si>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</si>
  <si>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</si>
  <si>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</si>
  <si>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</si>
  <si>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</si>
  <si>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</si>
  <si>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</si>
  <si>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</si>
  <si>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</si>
  <si>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</si>
  <si>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</si>
  <si>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</si>
  <si>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</si>
  <si>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</si>
  <si>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</si>
  <si>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</si>
  <si>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</si>
  <si>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</si>
  <si>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</si>
  <si>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</si>
  <si>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</si>
  <si>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</si>
  <si>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</si>
  <si>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</si>
  <si>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</si>
  <si>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</si>
  <si>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</si>
  <si>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</si>
  <si>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</si>
  <si>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</si>
  <si>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</si>
  <si>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</si>
  <si>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</si>
  <si>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</si>
  <si>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</si>
  <si>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</si>
  <si>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</si>
  <si>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</si>
  <si>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</si>
  <si>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</si>
  <si>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</si>
  <si>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</si>
  <si>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</si>
  <si>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</si>
  <si>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</si>
  <si>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</si>
  <si>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</si>
  <si>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</si>
  <si>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</si>
  <si>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</si>
  <si>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</si>
  <si>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</si>
  <si>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</si>
  <si>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</si>
  <si>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</si>
  <si>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</si>
  <si>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</si>
  <si>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</si>
  <si>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</si>
  <si>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</si>
  <si>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</si>
  <si>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</si>
  <si>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</si>
  <si>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</si>
  <si>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</si>
  <si>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</si>
  <si>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</si>
  <si>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</si>
  <si>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</si>
  <si>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</si>
  <si>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</si>
  <si>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</si>
  <si>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</si>
  <si>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</si>
  <si>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</si>
  <si>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</si>
  <si>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</si>
  <si>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</si>
  <si>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</si>
  <si>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</si>
  <si>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</si>
  <si>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</si>
  <si>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</si>
  <si>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</si>
  <si>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</si>
  <si>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</si>
  <si>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</si>
  <si>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</si>
  <si>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</si>
  <si>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</si>
  <si>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</si>
  <si>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</si>
  <si>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</si>
  <si>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</si>
  <si>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</si>
  <si>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</si>
  <si>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</si>
  <si>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</si>
  <si>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</si>
  <si>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</si>
  <si>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</si>
  <si>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</si>
  <si>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</si>
  <si>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</si>
  <si>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</si>
  <si>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</si>
  <si>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</si>
  <si>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</si>
  <si>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</si>
  <si>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</si>
  <si>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</si>
  <si>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</si>
  <si>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</si>
  <si>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</si>
  <si>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</si>
  <si>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</si>
  <si>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</si>
  <si>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</si>
  <si>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</si>
  <si>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</si>
  <si>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</si>
  <si>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</si>
  <si>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</si>
  <si>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</si>
  <si>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</si>
  <si>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</si>
  <si>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</si>
  <si>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</si>
  <si>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</si>
  <si>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</si>
  <si>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</si>
  <si>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</si>
  <si>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</si>
  <si>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</si>
  <si>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</si>
  <si>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</si>
  <si>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</si>
  <si>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</si>
  <si>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</si>
  <si>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</si>
  <si>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</si>
  <si>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</si>
  <si>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</si>
  <si>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</si>
  <si>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</si>
  <si>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</si>
  <si>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</si>
  <si>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</si>
  <si>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</si>
  <si>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</si>
  <si>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</si>
  <si>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</si>
  <si>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</si>
  <si>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</si>
  <si>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</si>
  <si>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</si>
  <si>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</si>
  <si>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</si>
  <si>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</si>
  <si>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</si>
  <si>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</si>
  <si>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</si>
  <si>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</si>
  <si>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</si>
  <si>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</si>
  <si>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</si>
  <si>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</si>
  <si>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</si>
  <si>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</si>
  <si>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</si>
  <si>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</si>
  <si>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</si>
  <si>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</si>
  <si>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</si>
  <si>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</si>
  <si>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</si>
  <si>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</si>
  <si>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</si>
  <si>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</si>
  <si>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</si>
  <si>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</si>
  <si>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</si>
  <si>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</si>
  <si>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</si>
  <si>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</si>
  <si>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</si>
  <si>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</si>
  <si>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</si>
  <si>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</si>
  <si>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</si>
  <si>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</si>
  <si>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</si>
  <si>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</si>
  <si>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</si>
  <si>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</si>
  <si>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</si>
  <si>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</si>
  <si>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</si>
  <si>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</si>
  <si>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</si>
  <si>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</si>
  <si>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</si>
  <si>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</si>
  <si>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</si>
  <si>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</si>
  <si>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</si>
  <si>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</si>
  <si>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</si>
  <si>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</si>
  <si>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</si>
  <si>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</si>
  <si>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</si>
  <si>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</si>
  <si>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</si>
  <si>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</si>
  <si>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</si>
  <si>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</si>
  <si>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</si>
  <si>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</si>
  <si>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</si>
  <si>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</si>
  <si>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</si>
  <si>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</si>
  <si>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</si>
  <si>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</si>
  <si>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</si>
  <si>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</si>
  <si>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</si>
  <si>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</si>
  <si>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</si>
  <si>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</si>
  <si>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</si>
  <si>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</si>
  <si>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</si>
  <si>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</si>
  <si>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</si>
  <si>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</si>
  <si>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</si>
  <si>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</si>
  <si>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</si>
  <si>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</si>
  <si>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</si>
  <si>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</si>
  <si>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</si>
  <si>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</si>
  <si>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</si>
  <si>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</si>
  <si>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</si>
  <si>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</si>
  <si>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</si>
  <si>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</si>
  <si>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</si>
  <si>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</si>
  <si>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</si>
  <si>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</si>
  <si>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</si>
  <si>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</si>
  <si>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</si>
  <si>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</si>
  <si>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</si>
  <si>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</si>
  <si>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</si>
  <si>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</si>
  <si>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</si>
  <si>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</si>
  <si>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</si>
  <si>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</si>
  <si>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</si>
  <si>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</si>
  <si>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</si>
  <si>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</si>
  <si>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</si>
  <si>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</si>
  <si>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</si>
  <si>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</si>
  <si>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</si>
  <si>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</si>
  <si>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</si>
  <si>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</si>
  <si>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</si>
  <si>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</si>
  <si>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</si>
  <si>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</si>
  <si>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</si>
  <si>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</si>
  <si>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</si>
  <si>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</si>
  <si>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</si>
  <si>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</si>
  <si>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</si>
  <si>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</si>
  <si>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</si>
  <si>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</si>
  <si>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</si>
  <si>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</si>
  <si>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</si>
  <si>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</si>
  <si>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</si>
  <si>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</si>
  <si>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</si>
  <si>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</si>
  <si>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</si>
  <si>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</si>
  <si>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</si>
  <si>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</si>
  <si>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</si>
  <si>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</si>
  <si>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</si>
  <si>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</si>
  <si>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</si>
  <si>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</si>
  <si>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</si>
  <si>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</si>
  <si>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</si>
  <si>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</si>
  <si>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</si>
  <si>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</si>
  <si>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</si>
  <si>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</si>
  <si>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</si>
  <si>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</si>
  <si>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</si>
  <si>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</si>
  <si>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</si>
  <si>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</si>
  <si>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</si>
  <si>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</si>
  <si>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</si>
  <si>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</si>
  <si>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</si>
  <si>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</si>
  <si>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</si>
  <si>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</si>
  <si>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</si>
  <si>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</si>
  <si>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</si>
  <si>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</si>
  <si>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</si>
  <si>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</si>
  <si>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</si>
  <si>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</si>
  <si>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</si>
  <si>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</si>
  <si>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</si>
  <si>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</si>
  <si>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</si>
  <si>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</si>
  <si>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</si>
  <si>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</si>
  <si>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</si>
  <si>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</si>
  <si>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</si>
  <si>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</si>
  <si>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</si>
  <si>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</si>
  <si>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</si>
  <si>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</si>
  <si>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</si>
  <si>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</si>
  <si>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</si>
  <si>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</si>
  <si>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</si>
  <si>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</si>
  <si>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</si>
  <si>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</si>
  <si>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</si>
  <si>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</si>
  <si>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</si>
  <si>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</si>
  <si>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</si>
  <si>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</si>
  <si>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</si>
  <si>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</si>
  <si>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</si>
  <si>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</si>
  <si>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</si>
  <si>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</si>
  <si>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</si>
  <si>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</si>
  <si>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</si>
  <si>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</si>
  <si>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</si>
  <si>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</si>
  <si>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</si>
  <si>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</si>
  <si>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</si>
  <si>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</si>
  <si>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</si>
  <si>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</si>
  <si>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</si>
  <si>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</si>
  <si>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</si>
  <si>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</si>
  <si>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</si>
  <si>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</si>
  <si>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</si>
  <si>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</si>
  <si>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</si>
  <si>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</si>
  <si>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</si>
  <si>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</si>
  <si>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</si>
  <si>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</si>
  <si>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</si>
  <si>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</si>
  <si>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</si>
  <si>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</si>
  <si>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</si>
  <si>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</si>
  <si>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</si>
  <si>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</si>
  <si>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</si>
  <si>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</si>
  <si>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</si>
  <si>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</si>
  <si>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</si>
  <si>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</si>
  <si>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</si>
  <si>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</si>
  <si>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</si>
  <si>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</si>
  <si>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</si>
  <si>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</si>
  <si>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</si>
  <si>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</si>
  <si>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</si>
  <si>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</si>
  <si>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</si>
  <si>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</si>
  <si>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</si>
  <si>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</si>
  <si>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</si>
  <si>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</si>
  <si>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</si>
  <si>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</si>
  <si>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</si>
  <si>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</si>
  <si>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</si>
  <si>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</si>
  <si>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</si>
  <si>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</si>
  <si>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</si>
  <si>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</si>
  <si>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</si>
  <si>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</si>
  <si>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</si>
  <si>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</si>
  <si>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</si>
  <si>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</si>
  <si>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</si>
  <si>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</si>
  <si>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</si>
  <si>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</si>
  <si>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</si>
  <si>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</si>
  <si>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</si>
  <si>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</si>
  <si>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</si>
  <si>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</si>
  <si>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</si>
  <si>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</si>
  <si>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</si>
  <si>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</si>
  <si>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</si>
  <si>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</si>
  <si>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</si>
  <si>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</si>
  <si>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</si>
  <si>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</si>
  <si>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</si>
  <si>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</si>
  <si>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</si>
  <si>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</si>
  <si>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</si>
  <si>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</si>
  <si>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</si>
  <si>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</si>
  <si>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</si>
  <si>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</si>
  <si>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</si>
  <si>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</si>
  <si>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</si>
  <si>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</si>
  <si>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</si>
  <si>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</si>
  <si>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</si>
  <si>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</si>
  <si>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</si>
  <si>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</si>
  <si>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</si>
  <si>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</si>
  <si>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</si>
  <si>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</si>
  <si>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</si>
  <si>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</si>
  <si>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</si>
  <si>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</si>
  <si>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</si>
  <si>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</si>
  <si>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</si>
  <si>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</si>
  <si>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</si>
  <si>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</si>
  <si>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</si>
  <si>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</si>
  <si>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</si>
  <si>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</si>
  <si>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</si>
  <si>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</si>
  <si>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</si>
  <si>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</si>
  <si>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</si>
  <si>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</si>
  <si>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</si>
  <si>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</si>
  <si>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</si>
  <si>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</si>
  <si>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</si>
  <si>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</si>
  <si>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</si>
  <si>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</si>
  <si>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</si>
  <si>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</si>
  <si>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</si>
  <si>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</si>
  <si>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</si>
  <si>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</si>
  <si>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</si>
  <si>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</si>
  <si>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</si>
  <si>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</si>
  <si>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</si>
  <si>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</si>
  <si>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</si>
  <si>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</si>
  <si>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</si>
  <si>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</si>
  <si>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</si>
  <si>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</si>
  <si>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</si>
  <si>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</si>
  <si>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</si>
  <si>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</si>
  <si>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</si>
  <si>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</si>
  <si>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</si>
  <si>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</si>
  <si>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</si>
  <si>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</si>
  <si>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</si>
  <si>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</si>
  <si>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</si>
  <si>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</si>
  <si>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</si>
  <si>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</si>
  <si>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</si>
  <si>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</si>
  <si>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</si>
  <si>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</si>
  <si>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</si>
  <si>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</si>
  <si>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</si>
  <si>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</si>
  <si>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</si>
  <si>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</si>
  <si>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</si>
  <si>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</si>
  <si>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</si>
  <si>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</si>
  <si>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</si>
  <si>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</si>
  <si>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</si>
  <si>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</si>
  <si>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</si>
  <si>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</si>
  <si>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</si>
  <si>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</si>
  <si>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</si>
  <si>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</si>
  <si>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</si>
  <si>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</si>
  <si>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</si>
  <si>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</si>
  <si>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</si>
  <si>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</si>
  <si>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</si>
  <si>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</si>
  <si>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</si>
  <si>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</si>
  <si>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</si>
  <si>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</si>
  <si>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</si>
  <si>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</si>
  <si>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</si>
  <si>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</si>
  <si>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</si>
  <si>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</si>
  <si>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</si>
  <si>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</si>
  <si>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</si>
  <si>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</si>
  <si>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</si>
  <si>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</si>
  <si>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</si>
  <si>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</si>
  <si>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</si>
  <si>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</si>
  <si>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</si>
  <si>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</si>
  <si>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</si>
  <si>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</si>
  <si>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</si>
  <si>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</si>
  <si>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</si>
  <si>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</si>
  <si>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</si>
  <si>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</si>
  <si>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</si>
  <si>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</si>
  <si>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</si>
  <si>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</si>
  <si>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</si>
  <si>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</si>
  <si>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</si>
  <si>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</si>
  <si>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</si>
  <si>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</si>
  <si>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</si>
  <si>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</si>
  <si>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</si>
  <si>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</si>
  <si>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</si>
  <si>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</si>
  <si>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</si>
  <si>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</si>
  <si>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</si>
  <si>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</si>
  <si>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</si>
  <si>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</si>
  <si>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</si>
  <si>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</si>
  <si>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</si>
  <si>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</si>
  <si>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</si>
  <si>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</si>
  <si>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</si>
  <si>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</si>
  <si>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</si>
  <si>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</si>
  <si>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</si>
  <si>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</si>
  <si>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</si>
  <si>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</si>
  <si>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</si>
  <si>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</si>
  <si>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</si>
  <si>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</si>
  <si>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</si>
  <si>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</si>
  <si>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</si>
  <si>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</si>
  <si>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</si>
  <si>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</si>
  <si>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</si>
  <si>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</si>
  <si>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</si>
  <si>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</si>
  <si>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</si>
  <si>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</si>
  <si>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</si>
  <si>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</si>
  <si>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</si>
  <si>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</si>
  <si>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</si>
  <si>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</si>
  <si>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</si>
  <si>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</si>
  <si>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</si>
  <si>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</si>
  <si>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</si>
  <si>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</si>
  <si>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</si>
  <si>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</si>
  <si>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</si>
  <si>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</si>
  <si>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</si>
  <si>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</si>
  <si>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</si>
  <si>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</si>
  <si>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</si>
  <si>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</si>
  <si>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</si>
  <si>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</si>
  <si>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</si>
  <si>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</si>
  <si>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</si>
  <si>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</si>
  <si>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</si>
  <si>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</si>
  <si>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</si>
  <si>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</si>
  <si>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</si>
  <si>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</si>
  <si>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</si>
  <si>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</si>
  <si>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</si>
  <si>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</si>
  <si>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</si>
  <si>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</si>
  <si>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</si>
  <si>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</si>
  <si>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</si>
  <si>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</si>
  <si>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</si>
  <si>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</si>
  <si>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</si>
  <si>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</si>
  <si>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</si>
  <si>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</si>
  <si>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</si>
  <si>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</si>
  <si>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</si>
  <si>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</si>
  <si>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</si>
  <si>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</si>
  <si>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</si>
  <si>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</si>
  <si>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</si>
  <si>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</si>
  <si>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</si>
  <si>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</si>
  <si>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</si>
  <si>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</si>
  <si>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</si>
  <si>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</si>
  <si>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</si>
  <si>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</si>
  <si>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</si>
  <si>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</si>
  <si>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</si>
  <si>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</si>
  <si>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</si>
  <si>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</si>
  <si>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</si>
  <si>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</si>
  <si>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</si>
  <si>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</si>
  <si>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</si>
  <si>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</si>
  <si>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</si>
  <si>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</si>
  <si>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</si>
  <si>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</si>
  <si>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</si>
  <si>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</si>
  <si>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</si>
  <si>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</si>
  <si>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</si>
  <si>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</si>
  <si>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</si>
  <si>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</si>
  <si>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</si>
  <si>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</si>
  <si>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</si>
  <si>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</si>
  <si>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</si>
  <si>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</si>
  <si>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</si>
  <si>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</si>
  <si>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</si>
  <si>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</si>
  <si>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</si>
  <si>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</si>
  <si>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</si>
  <si>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</si>
  <si>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</si>
  <si>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</si>
  <si>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</si>
  <si>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</si>
  <si>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</si>
  <si>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</si>
  <si>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</si>
  <si>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</si>
  <si>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</si>
  <si>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</si>
  <si>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</si>
  <si>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</si>
  <si>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</si>
  <si>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</si>
  <si>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</si>
  <si>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</si>
  <si>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</si>
  <si>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</si>
  <si>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</si>
  <si>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</si>
  <si>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</si>
  <si>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</si>
  <si>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</si>
  <si>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</si>
  <si>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</si>
  <si>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</si>
  <si>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</si>
  <si>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</si>
  <si>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</si>
  <si>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</si>
  <si>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</si>
  <si>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</si>
  <si>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</si>
  <si>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</si>
  <si>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</si>
  <si>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</si>
  <si>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</si>
  <si>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</si>
  <si>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</si>
  <si>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</si>
  <si>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</si>
  <si>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</si>
  <si>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Algoritma C4.5</t>
  </si>
  <si>
    <t>Atribut</t>
  </si>
  <si>
    <t>Total</t>
  </si>
  <si>
    <t>Entropy</t>
  </si>
  <si>
    <t>Gain</t>
  </si>
  <si>
    <t>Age</t>
  </si>
  <si>
    <t>Work_Class</t>
  </si>
  <si>
    <t>Final_Weight</t>
  </si>
  <si>
    <t>Low Weight</t>
  </si>
  <si>
    <t>Medium Weight</t>
  </si>
  <si>
    <t>Education</t>
  </si>
  <si>
    <t>Marital_Status</t>
  </si>
  <si>
    <t>Young Adult (&lt;=30)</t>
  </si>
  <si>
    <t>Middle-aged (31-50)</t>
  </si>
  <si>
    <t>Senior (&gt;=51)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</si>
</sst>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5" xfId="1" applyBorder="1" applyAlignment="1">
      <alignment horizontal="center" wrapText="1"/>
    </xf>
    <xf numFmtId="0" fontId="1" fillId="0" borderId="5" xfId="1" applyBorder="1" applyAlignment="1">
      <alignment wrapText="1"/>
    </xf>
    <xf numFmtId="0" fontId="1" fillId="0" borderId="5" xfId="1" applyBorder="1"/>
    <xf numFmtId="0" fontId="1" fillId="0" borderId="5" xfId="1" applyBorder="1" applyAlignment="1">
      <alignment horizontal="center"/>
    </xf>
    <xf numFmtId="0" fontId="2" fillId="0" borderId="5" xfId="1" applyFont="1" applyBorder="1"/>
    <xf numFmtId="0" fontId="0" fillId="0" borderId="5" xfId="0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0" fillId="0" borderId="5" xfId="0" applyBorder="1"/>
    <xf numFmtId="0" fontId="1" fillId="0" borderId="0" xfId="1"/>
    <xf numFmtId="0" fontId="0" fillId="0" borderId="1" xfId="1" applyFont="1" applyBorder="1" applyAlignment="1">
      <alignment horizontal="center"/>
    </xf>
    <xf numFmtId="49" fontId="1" fillId="0" borderId="0" xfId="1" applyNumberFormat="1"/>
    <xf numFmtId="0" fontId="1" fillId="2" borderId="5" xfId="1" applyFill="1" applyBorder="1" applyAlignment="1">
      <alignment wrapText="1"/>
    </xf>
    <xf numFmtId="0" fontId="0" fillId="0" borderId="5" xfId="1" applyFont="1" applyBorder="1"/>
    <xf numFmtId="0" fontId="0" fillId="0" borderId="0" xfId="0" applyAlignment="1">
      <alignment vertical="center"/>
    </xf>
    <xf numFmtId="0" fontId="2" fillId="3" borderId="5" xfId="1" applyFont="1" applyFill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2" fillId="3" borderId="6" xfId="1" applyFont="1" applyFill="1" applyBorder="1"/>
  </cellXfs>
  <cellStyles count="2">
    <cellStyle name="Normal" xfId="0" builtinId="0"/>
    <cellStyle name="Normal 2" xfId="1" xr:uid="{7DB3300A-7CBB-4C7D-920E-5E5EA574DAD4}"/>
  </cellStyles>
  <dxfs count="1">
    <dxf>
      <numFmt numFmtId="30" formatCode="@"/>
    </dxf>
  </dxfs>
  <tableStyles count="1" defaultTableStyle="TableStyleMedium2" defaultPivotStyle="PivotStyleLight16">
    <tableStyle name="Invisible" pivot="0" table="0" count="0" xr9:uid="{0C7868D1-128F-45FE-9090-99A7580AAD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538FF-B1FF-4A09-862C-AE2B9742B57A}" name="Table2" displayName="Table2" ref="A1:XFD101" totalsRowShown="0" headerRowCellStyle="Normal 2" dataCellStyle="Normal 2">
  <autoFilter ref="A1:XFD101" xr:uid="{C34538FF-B1FF-4A09-862C-AE2B9742B57A}"/>
  <sortState xmlns:xlrd2="http://schemas.microsoft.com/office/spreadsheetml/2017/richdata2" ref="A2:XFD101">
    <sortCondition ref="A1:A101"/>
  </sortState>
  <tableColumns count="16384">
    <tableColumn id="1" xr3:uid="{3FFA8AF6-A0C7-4F76-8DB6-690DF662E327}" name="age" dataCellStyle="Normal 2"/>
    <tableColumn id="2" xr3:uid="{0A111F5F-EF20-4C96-993B-8E6240B15F71}" name="workclass" dataCellStyle="Normal 2"/>
    <tableColumn id="3" xr3:uid="{809179E1-29BE-43CF-B98D-0F0AE503E517}" name="fnlwgt" dataCellStyle="Normal 2"/>
    <tableColumn id="4" xr3:uid="{BE976793-41DE-4B95-808C-5A42B0A1FC31}" name="education" dataCellStyle="Normal 2"/>
    <tableColumn id="5" xr3:uid="{74C557C1-FF5B-48EB-8FF4-717849B6557E}" name="education-num" dataCellStyle="Normal 2"/>
    <tableColumn id="6" xr3:uid="{5F198AA7-9A57-406D-AC92-22EDBA9BFDB0}" name="marital-status" dataCellStyle="Normal 2"/>
    <tableColumn id="7" xr3:uid="{92615E87-7565-4E4D-8598-F0803657D9A4}" name="occupation" dataCellStyle="Normal 2"/>
    <tableColumn id="8" xr3:uid="{9FB2C894-8083-429F-9664-07B5565765A5}" name="relationship" dataCellStyle="Normal 2"/>
    <tableColumn id="9" xr3:uid="{29007CEF-3A16-4551-913B-FB5A7D38110D}" name="race" dataCellStyle="Normal 2"/>
    <tableColumn id="10" xr3:uid="{5AF0297B-7A33-464E-8490-BC90D0CDA093}" name="sex" dataCellStyle="Normal 2"/>
    <tableColumn id="11" xr3:uid="{C7B7C80F-B8E9-462F-B9E8-9CACF5848A34}" name="capital-gain" dataCellStyle="Normal 2"/>
    <tableColumn id="12" xr3:uid="{1957182C-225D-4A57-A00E-26695465CC95}" name="capital-loss" dataCellStyle="Normal 2"/>
    <tableColumn id="13" xr3:uid="{C93E76EB-F00C-44CD-AE2A-A28C5882C007}" name="hours-per-week" dataCellStyle="Normal 2"/>
    <tableColumn id="14" xr3:uid="{B197F5D3-8926-4CFE-8C76-95B2256570EE}" name="native-country" dataCellStyle="Normal 2"/>
    <tableColumn id="15" xr3:uid="{154CEE96-CD0B-450F-99BB-7B324F1C7F1D}" name="income" dataDxfId="0" dataCellStyle="Normal 2"/>
    <tableColumn id="16" xr3:uid="{409BB130-767E-4BED-A460-97F3F5EE8849}" name="Column1" dataCellStyle="Normal 2"/>
    <tableColumn id="17" xr3:uid="{53B1DCB3-764C-44AA-8346-D4375773F138}" name="Column2" dataCellStyle="Normal 2"/>
    <tableColumn id="18" xr3:uid="{9BE85189-58C8-48F3-B140-87E2226BF34D}" name="Column3" dataCellStyle="Normal 2"/>
    <tableColumn id="19" xr3:uid="{86487F64-95F0-4716-83A7-A2EC5FAED8B8}" name="Column4" dataCellStyle="Normal 2"/>
    <tableColumn id="20" xr3:uid="{9861E008-EC32-44F3-B6E5-B11CB24F5655}" name="Column5" dataCellStyle="Normal 2"/>
    <tableColumn id="21" xr3:uid="{98BD4D3A-592B-47DD-A9C1-AE04A0841056}" name="Column6" dataCellStyle="Normal 2"/>
    <tableColumn id="22" xr3:uid="{28DC294F-055D-4FAF-8304-CA7F1A50A0E2}" name="Column7" dataCellStyle="Normal 2"/>
    <tableColumn id="23" xr3:uid="{9C79B92B-3C27-4939-B09B-D9D4B972F9A3}" name="Column8" dataCellStyle="Normal 2"/>
    <tableColumn id="24" xr3:uid="{D9BCAB07-6C8B-47F4-B487-04C0AE41666E}" name="Column9" dataCellStyle="Normal 2"/>
    <tableColumn id="25" xr3:uid="{DDB6418C-2F01-4154-854E-203E88B135DE}" name="Column10" dataCellStyle="Normal 2"/>
    <tableColumn id="26" xr3:uid="{E20D7BF6-45F1-4EEE-A7D7-DE05F04B66B8}" name="Column11" dataCellStyle="Normal 2"/>
    <tableColumn id="27" xr3:uid="{6D8BF0AD-DB7D-459E-AE50-1721B7040AFA}" name="Column12" dataCellStyle="Normal 2"/>
    <tableColumn id="28" xr3:uid="{24847579-D5BF-4924-9B5A-3648E3482950}" name="Column13" dataCellStyle="Normal 2"/>
    <tableColumn id="29" xr3:uid="{61033978-1679-4B66-A935-BA35B86F3216}" name="Column14" dataCellStyle="Normal 2"/>
    <tableColumn id="30" xr3:uid="{3EF0C8F2-DE3E-4A41-AB56-BCFE8D5F1045}" name="Column15" dataCellStyle="Normal 2"/>
    <tableColumn id="31" xr3:uid="{12C983C5-02CA-4811-A911-DA07389E8485}" name="Column16" dataCellStyle="Normal 2"/>
    <tableColumn id="32" xr3:uid="{70F196A1-DAF0-497A-8142-410AF6697AD8}" name="Column17" dataCellStyle="Normal 2"/>
    <tableColumn id="33" xr3:uid="{E2CD0E1F-0AA8-4EBC-BB02-7874694A2644}" name="Column18" dataCellStyle="Normal 2"/>
    <tableColumn id="34" xr3:uid="{ADF6CCCF-1DDD-4D57-B4BE-CAD77BE8ED12}" name="Column19" dataCellStyle="Normal 2"/>
    <tableColumn id="35" xr3:uid="{403367CE-10B3-4D14-AB01-769C24986C70}" name="Column20" dataCellStyle="Normal 2"/>
    <tableColumn id="36" xr3:uid="{90AB08A3-DA56-4E2F-A917-317788921274}" name="Column21" dataCellStyle="Normal 2"/>
    <tableColumn id="37" xr3:uid="{501E82B2-816A-4ED1-8B08-D811D0C2707E}" name="Column22" dataCellStyle="Normal 2"/>
    <tableColumn id="38" xr3:uid="{BFFC547B-FBE0-4BE2-8881-6029F625FEC7}" name="Column23" dataCellStyle="Normal 2"/>
    <tableColumn id="39" xr3:uid="{E4B57A97-409E-4916-B0BA-37E5B22CFBC7}" name="Column24" dataCellStyle="Normal 2"/>
    <tableColumn id="40" xr3:uid="{747F9E29-A90F-4F36-BB96-4C9788C80119}" name="Column25" dataCellStyle="Normal 2"/>
    <tableColumn id="41" xr3:uid="{B9EA0A9E-6542-489F-B62A-F9F50EA86AE8}" name="Column26" dataCellStyle="Normal 2"/>
    <tableColumn id="42" xr3:uid="{9BDD853C-B9C2-4F82-98C9-9D5859645FBD}" name="Column27" dataCellStyle="Normal 2"/>
    <tableColumn id="43" xr3:uid="{EA729FAA-D13C-43CD-9B9B-CEB43A2BCADD}" name="Column28" dataCellStyle="Normal 2"/>
    <tableColumn id="44" xr3:uid="{E08AB6E8-A09B-484F-983E-93F4B89B8F7E}" name="Column29" dataCellStyle="Normal 2"/>
    <tableColumn id="45" xr3:uid="{FB29E32B-3AFE-4A85-9E85-19B3CDF3EC70}" name="Column30" dataCellStyle="Normal 2"/>
    <tableColumn id="46" xr3:uid="{1960ABEC-604E-4A17-9334-AF7C390A4882}" name="Column31" dataCellStyle="Normal 2"/>
    <tableColumn id="47" xr3:uid="{D9FF729F-7F88-47B4-86DB-22F97DC6DD86}" name="Column32" dataCellStyle="Normal 2"/>
    <tableColumn id="48" xr3:uid="{0107621C-3FCD-4C7F-A08A-026370A5E144}" name="Column33" dataCellStyle="Normal 2"/>
    <tableColumn id="49" xr3:uid="{140C91DD-5A2E-4EB2-B916-00ADF2DAA4ED}" name="Column34" dataCellStyle="Normal 2"/>
    <tableColumn id="50" xr3:uid="{B1F0A5CE-23F4-4789-B8D2-C63C99F4DB37}" name="Column35" dataCellStyle="Normal 2"/>
    <tableColumn id="51" xr3:uid="{8327965C-1196-42D7-9E5B-4D63B40EA266}" name="Column36" dataCellStyle="Normal 2"/>
    <tableColumn id="52" xr3:uid="{490A1715-9B32-48DF-BDE0-F8BFAF553527}" name="Column37" dataCellStyle="Normal 2"/>
    <tableColumn id="53" xr3:uid="{C0CBF858-9AD8-4823-B8D4-9B1126A592E7}" name="Column38" dataCellStyle="Normal 2"/>
    <tableColumn id="54" xr3:uid="{27787826-C55F-40EE-8800-CBA1814A1A90}" name="Column39" dataCellStyle="Normal 2"/>
    <tableColumn id="55" xr3:uid="{5233337F-0014-4099-9518-959BAE6ADC5E}" name="Column40" dataCellStyle="Normal 2"/>
    <tableColumn id="56" xr3:uid="{1064AA95-9034-4FA4-9D2E-172EC5C13E32}" name="Column41" dataCellStyle="Normal 2"/>
    <tableColumn id="57" xr3:uid="{175D55D4-F5F2-4A3D-838F-BEB877D70FA2}" name="Column42" dataCellStyle="Normal 2"/>
    <tableColumn id="58" xr3:uid="{B0BA6C01-E8F0-4AA9-A7F4-D27AFA97E92F}" name="Column43" dataCellStyle="Normal 2"/>
    <tableColumn id="59" xr3:uid="{23EEFF5D-C9AE-4049-BF1D-2ACB731B4F6A}" name="Column44" dataCellStyle="Normal 2"/>
    <tableColumn id="60" xr3:uid="{4C6808F5-900E-42F3-9AAB-944FC06F9993}" name="Column45" dataCellStyle="Normal 2"/>
    <tableColumn id="61" xr3:uid="{C84848E4-7D85-4F4E-9F30-75347BA4EE6A}" name="Column46" dataCellStyle="Normal 2"/>
    <tableColumn id="62" xr3:uid="{F2810542-82E1-47A4-B55F-7ABFBCB3B1FD}" name="Column47" dataCellStyle="Normal 2"/>
    <tableColumn id="63" xr3:uid="{370E0258-C1E0-4F8D-A2D2-D133D44C7C0E}" name="Column48" dataCellStyle="Normal 2"/>
    <tableColumn id="64" xr3:uid="{1615F1B3-F823-423B-8D3B-98B6548FDBB4}" name="Column49" dataCellStyle="Normal 2"/>
    <tableColumn id="65" xr3:uid="{BA50998F-1657-4A35-9F9F-7C514679571E}" name="Column50" dataCellStyle="Normal 2"/>
    <tableColumn id="66" xr3:uid="{7067B1F3-3282-4029-BCC5-0A819BA3F625}" name="Column51" dataCellStyle="Normal 2"/>
    <tableColumn id="67" xr3:uid="{298F51C1-5A87-40D2-A3B9-539CD6E97859}" name="Column52" dataCellStyle="Normal 2"/>
    <tableColumn id="68" xr3:uid="{E467A786-0CA5-43D3-8C6D-6EF37E2DB1F2}" name="Column53" dataCellStyle="Normal 2"/>
    <tableColumn id="69" xr3:uid="{F8658450-25CD-4DFC-AF1A-2A375ADE9299}" name="Column54" dataCellStyle="Normal 2"/>
    <tableColumn id="70" xr3:uid="{3ABABA69-62E5-4756-B28E-B4E296739BEC}" name="Column55" dataCellStyle="Normal 2"/>
    <tableColumn id="71" xr3:uid="{E5669C9C-E279-40ED-B789-D6144FB0D2D4}" name="Column56" dataCellStyle="Normal 2"/>
    <tableColumn id="72" xr3:uid="{712CA4D8-236D-4B8D-9B3F-0F234D0C3360}" name="Column57" dataCellStyle="Normal 2"/>
    <tableColumn id="73" xr3:uid="{1381C961-0F02-4C71-A93B-6C75316EE258}" name="Column58" dataCellStyle="Normal 2"/>
    <tableColumn id="74" xr3:uid="{BBC31F16-E7CE-4984-9D45-CFF24D643021}" name="Column59" dataCellStyle="Normal 2"/>
    <tableColumn id="75" xr3:uid="{2055337F-45CB-4C11-9B6C-10347288FE7B}" name="Column60" dataCellStyle="Normal 2"/>
    <tableColumn id="76" xr3:uid="{1DFC5596-2B98-4650-958D-6C914EC37E8B}" name="Column61" dataCellStyle="Normal 2"/>
    <tableColumn id="77" xr3:uid="{5AD693C1-95DA-4FF2-871E-3D12515EA426}" name="Column62" dataCellStyle="Normal 2"/>
    <tableColumn id="78" xr3:uid="{EDCAB4B8-2F33-4C5B-9490-AD85711F8867}" name="Column63" dataCellStyle="Normal 2"/>
    <tableColumn id="79" xr3:uid="{9DEA2AB8-4F5D-4EA6-B99C-703789ECEF0F}" name="Column64" dataCellStyle="Normal 2"/>
    <tableColumn id="80" xr3:uid="{DDC3E14F-98E2-4454-A5FB-B7FC8AB8DD37}" name="Column65" dataCellStyle="Normal 2"/>
    <tableColumn id="81" xr3:uid="{78FB3E04-B3A6-4A22-BCD2-C7CD5D139323}" name="Column66" dataCellStyle="Normal 2"/>
    <tableColumn id="82" xr3:uid="{93E94498-E1E1-4CF0-AB40-800F4CA87173}" name="Column67" dataCellStyle="Normal 2"/>
    <tableColumn id="83" xr3:uid="{AAA9CBD2-A73D-4FEE-8FD5-1494D98A02A6}" name="Column68" dataCellStyle="Normal 2"/>
    <tableColumn id="84" xr3:uid="{A910A1FD-D9C8-4E6B-9B35-3A0776B5EB2F}" name="Column69" dataCellStyle="Normal 2"/>
    <tableColumn id="85" xr3:uid="{020492E8-9FE7-4BD8-8B28-92F6E7710395}" name="Column70" dataCellStyle="Normal 2"/>
    <tableColumn id="86" xr3:uid="{C66F3E35-5DE6-4C52-9445-F23355E26410}" name="Column71" dataCellStyle="Normal 2"/>
    <tableColumn id="87" xr3:uid="{C5295E7C-0EC9-44F1-839C-CDA8CDAA07E5}" name="Column72" dataCellStyle="Normal 2"/>
    <tableColumn id="88" xr3:uid="{ADFD3FC2-2E79-4F79-81FD-701D8A99F2E3}" name="Column73" dataCellStyle="Normal 2"/>
    <tableColumn id="89" xr3:uid="{E44278DD-93D1-4E9B-BE07-0E9741372D27}" name="Column74" dataCellStyle="Normal 2"/>
    <tableColumn id="90" xr3:uid="{BFF7868C-2036-45F3-95BD-48CADAE3496B}" name="Column75" dataCellStyle="Normal 2"/>
    <tableColumn id="91" xr3:uid="{CD914240-5978-43BF-AA87-2EA6552BBC8A}" name="Column76" dataCellStyle="Normal 2"/>
    <tableColumn id="92" xr3:uid="{54540DC8-C144-4EC0-8FEC-AFF15C34A5F2}" name="Column77" dataCellStyle="Normal 2"/>
    <tableColumn id="93" xr3:uid="{20553826-DF00-4E4D-980C-BA0940A728C7}" name="Column78" dataCellStyle="Normal 2"/>
    <tableColumn id="94" xr3:uid="{C38B2183-B755-4162-A173-4CDF2DDE4E15}" name="Column79" dataCellStyle="Normal 2"/>
    <tableColumn id="95" xr3:uid="{6A671A94-9F76-4768-B498-87C3A640CAEB}" name="Column80" dataCellStyle="Normal 2"/>
    <tableColumn id="96" xr3:uid="{23D172AF-78EF-4D29-9232-D17937B9770F}" name="Column81" dataCellStyle="Normal 2"/>
    <tableColumn id="97" xr3:uid="{51E196FD-328E-403C-960E-42BAB7871631}" name="Column82" dataCellStyle="Normal 2"/>
    <tableColumn id="98" xr3:uid="{97DF06EB-04F0-40F1-AA3D-8B8752B2CDDA}" name="Column83" dataCellStyle="Normal 2"/>
    <tableColumn id="99" xr3:uid="{5A0DDED9-F891-4DDA-97A2-1AD89C960BBD}" name="Column84" dataCellStyle="Normal 2"/>
    <tableColumn id="100" xr3:uid="{4C4EA118-DB61-4DC4-9F1C-7D7DB0177FB6}" name="Column85" dataCellStyle="Normal 2"/>
    <tableColumn id="101" xr3:uid="{D0D11DB5-6068-4819-BDC4-99EE77F01BC8}" name="Column86" dataCellStyle="Normal 2"/>
    <tableColumn id="102" xr3:uid="{5BBB8A35-5759-4961-9717-E7BA4C711A6A}" name="Column87" dataCellStyle="Normal 2"/>
    <tableColumn id="103" xr3:uid="{FB849881-75B4-4406-BAB7-6253CF9F90F2}" name="Column88" dataCellStyle="Normal 2"/>
    <tableColumn id="104" xr3:uid="{54603898-06F9-41CD-8807-58A1BBCB384A}" name="Column89" dataCellStyle="Normal 2"/>
    <tableColumn id="105" xr3:uid="{CC67C893-3394-4098-B2E5-1550BDD59859}" name="Column90" dataCellStyle="Normal 2"/>
    <tableColumn id="106" xr3:uid="{B3C4DA62-CDE5-410F-997B-41AB79D3FA0D}" name="Column91" dataCellStyle="Normal 2"/>
    <tableColumn id="107" xr3:uid="{460F7B4E-2771-4B48-9FEF-BD069D0E4B85}" name="Column92" dataCellStyle="Normal 2"/>
    <tableColumn id="108" xr3:uid="{03146BB9-2472-480A-AE47-70D67482F6F2}" name="Column93" dataCellStyle="Normal 2"/>
    <tableColumn id="109" xr3:uid="{B7BADDF6-AFC6-49CA-88C3-EBEB9DE24DC3}" name="Column94" dataCellStyle="Normal 2"/>
    <tableColumn id="110" xr3:uid="{5EDAD6C0-E5AA-488B-A54A-6CA8D5DCC76F}" name="Column95" dataCellStyle="Normal 2"/>
    <tableColumn id="111" xr3:uid="{052527B1-4260-432A-8BC5-1FE6ADED8F99}" name="Column96" dataCellStyle="Normal 2"/>
    <tableColumn id="112" xr3:uid="{11F369D2-BC09-4825-89E1-ED085C36A9CD}" name="Column97" dataCellStyle="Normal 2"/>
    <tableColumn id="113" xr3:uid="{8F18B4F9-0FE6-434F-9FA2-9859B35B1886}" name="Column98" dataCellStyle="Normal 2"/>
    <tableColumn id="114" xr3:uid="{7396631A-C57D-48C4-A47C-5142EDCE8DB7}" name="Column99" dataCellStyle="Normal 2"/>
    <tableColumn id="115" xr3:uid="{8BB5210C-FD4B-495E-98AF-8FA79C18ED1C}" name="Column100" dataCellStyle="Normal 2"/>
    <tableColumn id="116" xr3:uid="{1EDA417D-7DEF-4131-AC9D-34FD6437A2EF}" name="Column101" dataCellStyle="Normal 2"/>
    <tableColumn id="117" xr3:uid="{4A174CF9-2DD4-4459-8ECE-072CC6AD4740}" name="Column102" dataCellStyle="Normal 2"/>
    <tableColumn id="118" xr3:uid="{E44D00A9-ED7C-4071-99FF-789CE19C2FB7}" name="Column103" dataCellStyle="Normal 2"/>
    <tableColumn id="119" xr3:uid="{D0FDB473-B91D-4A5C-81B8-E9DF3085C235}" name="Column104" dataCellStyle="Normal 2"/>
    <tableColumn id="120" xr3:uid="{57AEDC3C-21D0-4E58-A759-60908F57C23C}" name="Column105" dataCellStyle="Normal 2"/>
    <tableColumn id="121" xr3:uid="{A17EF5BE-01AA-455B-B240-D7749816E941}" name="Column106" dataCellStyle="Normal 2"/>
    <tableColumn id="122" xr3:uid="{F8A39451-7B17-4DDC-B856-B5E4A306502C}" name="Column107" dataCellStyle="Normal 2"/>
    <tableColumn id="123" xr3:uid="{2BD425A8-CFF8-471F-B362-307AF88877A1}" name="Column108" dataCellStyle="Normal 2"/>
    <tableColumn id="124" xr3:uid="{B6DB250D-D539-40C3-833B-69FD5A73BC54}" name="Column109" dataCellStyle="Normal 2"/>
    <tableColumn id="125" xr3:uid="{3F7441A0-A4D8-4EC0-A69D-5A088A1A248D}" name="Column110" dataCellStyle="Normal 2"/>
    <tableColumn id="126" xr3:uid="{0F245975-8F85-4B2B-83F0-49BC49D98C5B}" name="Column111" dataCellStyle="Normal 2"/>
    <tableColumn id="127" xr3:uid="{5100F015-0DEF-48D3-9B2C-EC55C0CCE33F}" name="Column112" dataCellStyle="Normal 2"/>
    <tableColumn id="128" xr3:uid="{1F4990DE-76A4-4F40-A57A-B09CE0F9F063}" name="Column113" dataCellStyle="Normal 2"/>
    <tableColumn id="129" xr3:uid="{3B4B1DAD-B756-43F2-A0A1-327B7E3F7AA3}" name="Column114" dataCellStyle="Normal 2"/>
    <tableColumn id="130" xr3:uid="{F12719E2-F968-4FCF-B8C7-A381010D00A9}" name="Column115" dataCellStyle="Normal 2"/>
    <tableColumn id="131" xr3:uid="{7DC6C6EF-941D-4510-B92E-2616967746AF}" name="Column116" dataCellStyle="Normal 2"/>
    <tableColumn id="132" xr3:uid="{2FC2FF4B-5A1A-4AF9-BDA3-0CA0A7B2795E}" name="Column117" dataCellStyle="Normal 2"/>
    <tableColumn id="133" xr3:uid="{034F0076-80EF-4F9F-8E5F-1E812A6BC2B3}" name="Column118" dataCellStyle="Normal 2"/>
    <tableColumn id="134" xr3:uid="{7D57DA42-6900-4176-A3E4-97EC01D22FF7}" name="Column119" dataCellStyle="Normal 2"/>
    <tableColumn id="135" xr3:uid="{6669DBBC-7DEE-4ADA-873D-F285434ECA77}" name="Column120" dataCellStyle="Normal 2"/>
    <tableColumn id="136" xr3:uid="{85F2EC41-4A99-4477-AD55-5FF201913E0C}" name="Column121" dataCellStyle="Normal 2"/>
    <tableColumn id="137" xr3:uid="{5726C964-1B9B-4016-B0D7-FF3D6BF0114E}" name="Column122" dataCellStyle="Normal 2"/>
    <tableColumn id="138" xr3:uid="{B2AF9696-C878-4B13-B59A-CC1846F65F46}" name="Column123" dataCellStyle="Normal 2"/>
    <tableColumn id="139" xr3:uid="{C15AB0BA-3B0A-4BE4-87B4-9855DA9AA4B6}" name="Column124" dataCellStyle="Normal 2"/>
    <tableColumn id="140" xr3:uid="{3F168C5D-0EBB-4EB7-BC82-5357166FC176}" name="Column125" dataCellStyle="Normal 2"/>
    <tableColumn id="141" xr3:uid="{0F64515D-8B5E-45A0-8BD6-76FFFEDFC016}" name="Column126" dataCellStyle="Normal 2"/>
    <tableColumn id="142" xr3:uid="{502E8C2B-4186-4BC8-BB2B-4310DA3C0963}" name="Column127" dataCellStyle="Normal 2"/>
    <tableColumn id="143" xr3:uid="{AB4DAA1B-F2BB-4120-94DF-45B490A36576}" name="Column128" dataCellStyle="Normal 2"/>
    <tableColumn id="144" xr3:uid="{D77FCAA7-E3C8-4733-9FC6-8E8351059782}" name="Column129" dataCellStyle="Normal 2"/>
    <tableColumn id="145" xr3:uid="{E13EB14F-ADDA-4F63-AED6-36C9841461A7}" name="Column130" dataCellStyle="Normal 2"/>
    <tableColumn id="146" xr3:uid="{F60D5E47-1FCF-4FE6-AAA7-0F9BD52842FB}" name="Column131" dataCellStyle="Normal 2"/>
    <tableColumn id="147" xr3:uid="{7083F17F-6B27-4087-98AD-B7A6FCBF55AC}" name="Column132" dataCellStyle="Normal 2"/>
    <tableColumn id="148" xr3:uid="{803EAE13-22CD-480E-B5B3-1E2E1CA726D1}" name="Column133" dataCellStyle="Normal 2"/>
    <tableColumn id="149" xr3:uid="{95E382BC-D0A7-4EF5-B428-96FC81174A09}" name="Column134" dataCellStyle="Normal 2"/>
    <tableColumn id="150" xr3:uid="{DA724FBB-4A88-4847-BA2A-E67D900419DE}" name="Column135" dataCellStyle="Normal 2"/>
    <tableColumn id="151" xr3:uid="{6C6DBF94-7DAE-4E11-B686-1C73ED343AAF}" name="Column136" dataCellStyle="Normal 2"/>
    <tableColumn id="152" xr3:uid="{6308EE3F-45B2-4C4F-BE0D-B6A4F412B96E}" name="Column137" dataCellStyle="Normal 2"/>
    <tableColumn id="153" xr3:uid="{6EB00B8F-CD28-4202-8FE7-A99C39C685B7}" name="Column138" dataCellStyle="Normal 2"/>
    <tableColumn id="154" xr3:uid="{AD59221E-ABD5-46CC-8BDE-DF90B2B0F1F1}" name="Column139" dataCellStyle="Normal 2"/>
    <tableColumn id="155" xr3:uid="{A1809C53-0730-47BC-9B4A-2E8A9BE734BD}" name="Column140" dataCellStyle="Normal 2"/>
    <tableColumn id="156" xr3:uid="{C764E81F-10EA-4CC6-857B-2A7780AB29FF}" name="Column141" dataCellStyle="Normal 2"/>
    <tableColumn id="157" xr3:uid="{405E5525-F6B2-4298-A30E-7B5937D267EF}" name="Column142" dataCellStyle="Normal 2"/>
    <tableColumn id="158" xr3:uid="{2DA595DE-2E4D-404B-AEFC-54D0E934444E}" name="Column143" dataCellStyle="Normal 2"/>
    <tableColumn id="159" xr3:uid="{FF9EACD1-2AA6-417E-857D-97390D9A4F47}" name="Column144" dataCellStyle="Normal 2"/>
    <tableColumn id="160" xr3:uid="{68D952A0-1F25-4710-803D-EC9A8809EB97}" name="Column145" dataCellStyle="Normal 2"/>
    <tableColumn id="161" xr3:uid="{708ECC5F-DA24-4450-9639-4C87025D1BD1}" name="Column146" dataCellStyle="Normal 2"/>
    <tableColumn id="162" xr3:uid="{D31DE624-A611-4162-9E36-113BDB9B79E7}" name="Column147" dataCellStyle="Normal 2"/>
    <tableColumn id="163" xr3:uid="{62042634-5F2A-4E71-965C-85F57356FF47}" name="Column148" dataCellStyle="Normal 2"/>
    <tableColumn id="164" xr3:uid="{517E49C6-E67E-444C-86A4-EE205BEA15D5}" name="Column149" dataCellStyle="Normal 2"/>
    <tableColumn id="165" xr3:uid="{016068F5-153A-456E-B8A8-7D9EFD9A3F50}" name="Column150" dataCellStyle="Normal 2"/>
    <tableColumn id="166" xr3:uid="{9A3F60C9-620C-4F39-866D-2DA209C74F43}" name="Column151" dataCellStyle="Normal 2"/>
    <tableColumn id="167" xr3:uid="{B549112C-9469-42B6-8BA5-7D5C2F9A55A5}" name="Column152" dataCellStyle="Normal 2"/>
    <tableColumn id="168" xr3:uid="{57EE8C1A-080D-41E0-AF04-549F10D31A09}" name="Column153" dataCellStyle="Normal 2"/>
    <tableColumn id="169" xr3:uid="{99C45364-F22A-4F26-851B-B46C11E74BDA}" name="Column154" dataCellStyle="Normal 2"/>
    <tableColumn id="170" xr3:uid="{554E0706-B9AA-493D-9D5E-0D359C3B551C}" name="Column155" dataCellStyle="Normal 2"/>
    <tableColumn id="171" xr3:uid="{DF0C3FF4-9112-4AD5-871C-FE7D35AE3BFF}" name="Column156" dataCellStyle="Normal 2"/>
    <tableColumn id="172" xr3:uid="{95B7FD71-BA96-45EB-BB84-C60392829E66}" name="Column157" dataCellStyle="Normal 2"/>
    <tableColumn id="173" xr3:uid="{A695A64B-CB3B-4DEE-8488-68032380D4CE}" name="Column158" dataCellStyle="Normal 2"/>
    <tableColumn id="174" xr3:uid="{A46F0554-0F9F-476B-87BF-84EDB4EB4A81}" name="Column159" dataCellStyle="Normal 2"/>
    <tableColumn id="175" xr3:uid="{2FA8C029-3B5B-4533-8055-ECE5119BC207}" name="Column160" dataCellStyle="Normal 2"/>
    <tableColumn id="176" xr3:uid="{944A6DF1-5483-4220-A067-FDFB8FC38A9B}" name="Column161" dataCellStyle="Normal 2"/>
    <tableColumn id="177" xr3:uid="{ACB5A4D6-F3B8-4A05-AF58-1C5FD747C702}" name="Column162" dataCellStyle="Normal 2"/>
    <tableColumn id="178" xr3:uid="{8FAE5A24-B51A-4DD6-883F-5751F24A525E}" name="Column163" dataCellStyle="Normal 2"/>
    <tableColumn id="179" xr3:uid="{7BB2275D-7756-465C-8818-C30C87172604}" name="Column164" dataCellStyle="Normal 2"/>
    <tableColumn id="180" xr3:uid="{F8F8E178-9F57-47EA-978F-0C7924F508D2}" name="Column165" dataCellStyle="Normal 2"/>
    <tableColumn id="181" xr3:uid="{B42DE36D-19F8-4248-8D7A-377A01DDA0BE}" name="Column166" dataCellStyle="Normal 2"/>
    <tableColumn id="182" xr3:uid="{4004180F-3F46-4B77-8A28-615D121264E9}" name="Column167" dataCellStyle="Normal 2"/>
    <tableColumn id="183" xr3:uid="{DBA9FBA4-B3D3-4A9F-8B72-3EB9F76D0F8C}" name="Column168" dataCellStyle="Normal 2"/>
    <tableColumn id="184" xr3:uid="{6F62E473-F96D-4504-B5A7-4C231306C09B}" name="Column169" dataCellStyle="Normal 2"/>
    <tableColumn id="185" xr3:uid="{C03B71DF-61EB-4B5B-B4C4-0B3F7300EC96}" name="Column170" dataCellStyle="Normal 2"/>
    <tableColumn id="186" xr3:uid="{4F558F70-81FF-4DBD-BD92-C70EDDFC4EBC}" name="Column171" dataCellStyle="Normal 2"/>
    <tableColumn id="187" xr3:uid="{09BB017E-2873-498B-9EDE-EE1E71C7B020}" name="Column172" dataCellStyle="Normal 2"/>
    <tableColumn id="188" xr3:uid="{7B6CAD88-2BA4-4EB1-BE48-02CD7F322448}" name="Column173" dataCellStyle="Normal 2"/>
    <tableColumn id="189" xr3:uid="{BD9454B3-FE8A-4C28-BE40-1169D25DF740}" name="Column174" dataCellStyle="Normal 2"/>
    <tableColumn id="190" xr3:uid="{CE0A3A28-1BE5-47BF-BA85-F250738BB516}" name="Column175" dataCellStyle="Normal 2"/>
    <tableColumn id="191" xr3:uid="{B8A41E49-BF5B-4D27-985E-DA957923659B}" name="Column176" dataCellStyle="Normal 2"/>
    <tableColumn id="192" xr3:uid="{EE832FE2-E80C-4E2B-BBA1-6BEB81F9D85A}" name="Column177" dataCellStyle="Normal 2"/>
    <tableColumn id="193" xr3:uid="{BB21A64D-6A33-4B1B-84CA-44973DDEE088}" name="Column178" dataCellStyle="Normal 2"/>
    <tableColumn id="194" xr3:uid="{C07E5653-DDBE-4E7C-8289-A3506A57BBBF}" name="Column179" dataCellStyle="Normal 2"/>
    <tableColumn id="195" xr3:uid="{0492341B-49FB-4678-B803-96777B293BA9}" name="Column180" dataCellStyle="Normal 2"/>
    <tableColumn id="196" xr3:uid="{F7E2F007-D127-41CF-AAEE-AE0BB6F6E3E4}" name="Column181" dataCellStyle="Normal 2"/>
    <tableColumn id="197" xr3:uid="{9F4F5A43-0B63-4700-ACFE-58BCB9240071}" name="Column182" dataCellStyle="Normal 2"/>
    <tableColumn id="198" xr3:uid="{370EFFD7-6E63-4A4A-95F4-32338232E443}" name="Column183" dataCellStyle="Normal 2"/>
    <tableColumn id="199" xr3:uid="{13E5EC60-A2DC-44FA-ABCC-3F6CB2F32401}" name="Column184" dataCellStyle="Normal 2"/>
    <tableColumn id="200" xr3:uid="{35C9D89D-6146-43BA-BABF-8B785683EA5E}" name="Column185" dataCellStyle="Normal 2"/>
    <tableColumn id="201" xr3:uid="{5BBECD39-3E3D-4BD1-8875-1B467EFAB744}" name="Column186" dataCellStyle="Normal 2"/>
    <tableColumn id="202" xr3:uid="{F93C9597-3117-4F4E-8F85-9F7CBC25FFD2}" name="Column187" dataCellStyle="Normal 2"/>
    <tableColumn id="203" xr3:uid="{791AAFE9-EA7C-4084-9B8A-AE6E871D3CE2}" name="Column188" dataCellStyle="Normal 2"/>
    <tableColumn id="204" xr3:uid="{6071004D-332C-442D-A5AD-01B11C62A035}" name="Column189" dataCellStyle="Normal 2"/>
    <tableColumn id="205" xr3:uid="{5E673E89-5517-4F06-B9B0-69CD9C6FCCE6}" name="Column190" dataCellStyle="Normal 2"/>
    <tableColumn id="206" xr3:uid="{41C439FB-4A8F-4144-A90C-8A82A4BF179E}" name="Column191" dataCellStyle="Normal 2"/>
    <tableColumn id="207" xr3:uid="{2FCB569F-786E-4D7D-9FB4-25D95D5A2187}" name="Column192" dataCellStyle="Normal 2"/>
    <tableColumn id="208" xr3:uid="{A5775748-1D69-496F-B4EF-714A678AFA1E}" name="Column193" dataCellStyle="Normal 2"/>
    <tableColumn id="209" xr3:uid="{01E676B1-C633-4AD8-9EA8-54F0C22E71F3}" name="Column194" dataCellStyle="Normal 2"/>
    <tableColumn id="210" xr3:uid="{97BE3B02-F73A-479C-8C84-C3EF1744944E}" name="Column195" dataCellStyle="Normal 2"/>
    <tableColumn id="211" xr3:uid="{39FE5B2F-E002-4B23-976B-5537ED087105}" name="Column196" dataCellStyle="Normal 2"/>
    <tableColumn id="212" xr3:uid="{1CA134AE-C67B-4556-AEB5-33A1E4CEC498}" name="Column197" dataCellStyle="Normal 2"/>
    <tableColumn id="213" xr3:uid="{3E00D5A5-F089-4151-8717-8C0950A76B84}" name="Column198" dataCellStyle="Normal 2"/>
    <tableColumn id="214" xr3:uid="{D3E5B5AC-754B-42E7-BA56-53EA7A9FCDBF}" name="Column199" dataCellStyle="Normal 2"/>
    <tableColumn id="215" xr3:uid="{6E4E820E-2121-4D7B-9A41-541FE332CFDC}" name="Column200" dataCellStyle="Normal 2"/>
    <tableColumn id="216" xr3:uid="{D33E8773-C926-4C2E-A8CF-83DA9B47F556}" name="Column201" dataCellStyle="Normal 2"/>
    <tableColumn id="217" xr3:uid="{54ABAC07-C62E-4A9A-BA79-9384C01EB760}" name="Column202" dataCellStyle="Normal 2"/>
    <tableColumn id="218" xr3:uid="{FA31C1F7-FA10-42AF-9752-49D7C9ED08E1}" name="Column203" dataCellStyle="Normal 2"/>
    <tableColumn id="219" xr3:uid="{9A8B5C7E-4E82-464B-A3CF-F97368EC80DA}" name="Column204" dataCellStyle="Normal 2"/>
    <tableColumn id="220" xr3:uid="{57463D2B-BC78-4645-A70C-214E9BDE9BD4}" name="Column205" dataCellStyle="Normal 2"/>
    <tableColumn id="221" xr3:uid="{FF5AB677-6751-4EAD-B8C0-2905D93A8AFA}" name="Column206" dataCellStyle="Normal 2"/>
    <tableColumn id="222" xr3:uid="{39B1998E-1948-4B7D-A3C7-75D7797E6A48}" name="Column207" dataCellStyle="Normal 2"/>
    <tableColumn id="223" xr3:uid="{50E26638-D1FF-49E1-9D29-BC842ED7B6EA}" name="Column208" dataCellStyle="Normal 2"/>
    <tableColumn id="224" xr3:uid="{54D26EBC-6F61-45CB-8759-57605E9761EE}" name="Column209" dataCellStyle="Normal 2"/>
    <tableColumn id="225" xr3:uid="{2982D879-4666-4496-807C-CE2CFC236BD3}" name="Column210" dataCellStyle="Normal 2"/>
    <tableColumn id="226" xr3:uid="{50A0BB06-012D-4D88-99BC-23E2FFB579B6}" name="Column211" dataCellStyle="Normal 2"/>
    <tableColumn id="227" xr3:uid="{5543DF21-6E96-4821-ACA9-B57DA41C5063}" name="Column212" dataCellStyle="Normal 2"/>
    <tableColumn id="228" xr3:uid="{8C010DF3-18AC-46A5-84BD-317A14A27DBD}" name="Column213" dataCellStyle="Normal 2"/>
    <tableColumn id="229" xr3:uid="{F3EA727B-B0FB-46B0-BC81-66B73DAD344E}" name="Column214" dataCellStyle="Normal 2"/>
    <tableColumn id="230" xr3:uid="{7D2407FC-E942-41E4-B2AA-7F2AE255314E}" name="Column215" dataCellStyle="Normal 2"/>
    <tableColumn id="231" xr3:uid="{DF537AA0-50A7-462B-8670-4E15B1C8D749}" name="Column216" dataCellStyle="Normal 2"/>
    <tableColumn id="232" xr3:uid="{A5EE6492-6F21-4E2A-B519-83272B270548}" name="Column217" dataCellStyle="Normal 2"/>
    <tableColumn id="233" xr3:uid="{9ABC43A5-0F32-48A2-ADEF-B9AD19FBCA61}" name="Column218" dataCellStyle="Normal 2"/>
    <tableColumn id="234" xr3:uid="{9F61AC83-9FEF-462B-B5BA-B28C748FE57C}" name="Column219" dataCellStyle="Normal 2"/>
    <tableColumn id="235" xr3:uid="{6693C3F5-433F-44B2-92E7-6C69AB1A5BC6}" name="Column220" dataCellStyle="Normal 2"/>
    <tableColumn id="236" xr3:uid="{04A42E39-DCB5-4250-AA5B-F23678F47341}" name="Column221" dataCellStyle="Normal 2"/>
    <tableColumn id="237" xr3:uid="{3BA5C3E5-FB44-4844-A266-996429D7DA6F}" name="Column222" dataCellStyle="Normal 2"/>
    <tableColumn id="238" xr3:uid="{43D75CCC-0DF1-40CC-AC29-2B34644F532D}" name="Column223" dataCellStyle="Normal 2"/>
    <tableColumn id="239" xr3:uid="{AA3C1E2F-ABB6-49E4-90EE-4BDFBE41B819}" name="Column224" dataCellStyle="Normal 2"/>
    <tableColumn id="240" xr3:uid="{72EFA8B5-BE12-4F06-A5CF-40187A6AA120}" name="Column225" dataCellStyle="Normal 2"/>
    <tableColumn id="241" xr3:uid="{1AA74953-1A88-4B84-B10B-11EFAE560579}" name="Column226" dataCellStyle="Normal 2"/>
    <tableColumn id="242" xr3:uid="{969EA094-AF5E-4088-AA58-D0B53F33A6B7}" name="Column227" dataCellStyle="Normal 2"/>
    <tableColumn id="243" xr3:uid="{38632AF8-894B-4661-B6BB-D25DBCAAF6D7}" name="Column228" dataCellStyle="Normal 2"/>
    <tableColumn id="244" xr3:uid="{70E5EF14-8C55-4194-881C-A62B0B459055}" name="Column229" dataCellStyle="Normal 2"/>
    <tableColumn id="245" xr3:uid="{8E465DCF-0EAA-4172-88DF-312156DE2C2B}" name="Column230" dataCellStyle="Normal 2"/>
    <tableColumn id="246" xr3:uid="{130EA240-4EAA-4527-B964-38EF7D4109F8}" name="Column231" dataCellStyle="Normal 2"/>
    <tableColumn id="247" xr3:uid="{438C94BE-5089-4F74-B96E-C8690067A008}" name="Column232" dataCellStyle="Normal 2"/>
    <tableColumn id="248" xr3:uid="{9E9AA33C-F3F7-4BA1-97D0-D7E54BAD1F04}" name="Column233" dataCellStyle="Normal 2"/>
    <tableColumn id="249" xr3:uid="{3112DDAD-F010-42E0-BEA5-E5928DED24C2}" name="Column234" dataCellStyle="Normal 2"/>
    <tableColumn id="250" xr3:uid="{79AC6AB4-004D-4C29-A406-EFBB73DDD177}" name="Column235" dataCellStyle="Normal 2"/>
    <tableColumn id="251" xr3:uid="{2FE3D86F-F399-49B5-B026-3AB461CEA41F}" name="Column236" dataCellStyle="Normal 2"/>
    <tableColumn id="252" xr3:uid="{5D32E4DD-CD78-48BA-ABBD-B39847319569}" name="Column237" dataCellStyle="Normal 2"/>
    <tableColumn id="253" xr3:uid="{5F6AC5B2-11C7-4F26-A1C7-B577B6172924}" name="Column238" dataCellStyle="Normal 2"/>
    <tableColumn id="254" xr3:uid="{747281A2-C80B-45CD-A946-B3DEB5AABAE7}" name="Column239" dataCellStyle="Normal 2"/>
    <tableColumn id="255" xr3:uid="{A79592A9-4A3C-4205-BBA4-D4D658621332}" name="Column240" dataCellStyle="Normal 2"/>
    <tableColumn id="256" xr3:uid="{274D700E-8B6C-442A-9237-92145860B51A}" name="Column241" dataCellStyle="Normal 2"/>
    <tableColumn id="257" xr3:uid="{5C617A2B-6FB2-43F9-8640-82681EF36A30}" name="Column242" dataCellStyle="Normal 2"/>
    <tableColumn id="258" xr3:uid="{77DB513B-AC2A-4F44-BA7E-4A9E6DDBEA51}" name="Column243" dataCellStyle="Normal 2"/>
    <tableColumn id="259" xr3:uid="{F9DCBB72-12DC-420F-8C2F-88A6B02C23C7}" name="Column244" dataCellStyle="Normal 2"/>
    <tableColumn id="260" xr3:uid="{20FB3671-7E36-441F-8071-E852E59E894A}" name="Column245" dataCellStyle="Normal 2"/>
    <tableColumn id="261" xr3:uid="{33260970-B36D-4272-A9F5-5843A6AFEE9D}" name="Column246" dataCellStyle="Normal 2"/>
    <tableColumn id="262" xr3:uid="{E0879EB1-9EDA-4754-A57B-017270EBA028}" name="Column247" dataCellStyle="Normal 2"/>
    <tableColumn id="263" xr3:uid="{1006817D-CEE2-49A7-89F4-1F9494DA4D8D}" name="Column248" dataCellStyle="Normal 2"/>
    <tableColumn id="264" xr3:uid="{4F6BF085-A3B9-4FC0-881F-D9BE23B19E0D}" name="Column249" dataCellStyle="Normal 2"/>
    <tableColumn id="265" xr3:uid="{5F7C89D4-41BB-46CC-84CD-F8E66552E990}" name="Column250" dataCellStyle="Normal 2"/>
    <tableColumn id="266" xr3:uid="{B2AFB53C-9469-4BDD-8F09-409AE96B1610}" name="Column251" dataCellStyle="Normal 2"/>
    <tableColumn id="267" xr3:uid="{A23D1AEC-F9A5-40CD-AC51-8B57CCF81280}" name="Column252" dataCellStyle="Normal 2"/>
    <tableColumn id="268" xr3:uid="{B36E2A2A-6257-4E0D-AC0D-87281E9F7364}" name="Column253" dataCellStyle="Normal 2"/>
    <tableColumn id="269" xr3:uid="{52DE54C6-A643-46C6-87F4-617875E4C00B}" name="Column254" dataCellStyle="Normal 2"/>
    <tableColumn id="270" xr3:uid="{FB6A4EC5-9797-4D31-97D5-B62BCDD6E17F}" name="Column255" dataCellStyle="Normal 2"/>
    <tableColumn id="271" xr3:uid="{863228EF-D7D3-4BC8-9EDF-B3BEDECDE157}" name="Column256" dataCellStyle="Normal 2"/>
    <tableColumn id="272" xr3:uid="{2D853106-B531-430A-9046-7440FCE68147}" name="Column257" dataCellStyle="Normal 2"/>
    <tableColumn id="273" xr3:uid="{79FFFB20-84C7-4ED5-A81F-C3CD2DFD51B9}" name="Column258" dataCellStyle="Normal 2"/>
    <tableColumn id="274" xr3:uid="{1AE356BA-C731-4CEF-B819-13D358CCF733}" name="Column259" dataCellStyle="Normal 2"/>
    <tableColumn id="275" xr3:uid="{64805393-FE0A-42A3-9D3B-6B758E110006}" name="Column260" dataCellStyle="Normal 2"/>
    <tableColumn id="276" xr3:uid="{5365C39C-E59D-4F77-9B92-7907BE74DA72}" name="Column261" dataCellStyle="Normal 2"/>
    <tableColumn id="277" xr3:uid="{5006A887-96E7-4F9C-AA9F-9E06CFA9F4D8}" name="Column262" dataCellStyle="Normal 2"/>
    <tableColumn id="278" xr3:uid="{57930256-FB95-4464-A86D-2E0A75B09A5A}" name="Column263" dataCellStyle="Normal 2"/>
    <tableColumn id="279" xr3:uid="{E6506E13-A435-4D04-A266-3B5E6297E4E8}" name="Column264" dataCellStyle="Normal 2"/>
    <tableColumn id="280" xr3:uid="{89352A3B-B00A-4CB1-9954-F1C6E54D2988}" name="Column265" dataCellStyle="Normal 2"/>
    <tableColumn id="281" xr3:uid="{68DBC621-3208-46D6-B1E0-F5E9C01ECC54}" name="Column266" dataCellStyle="Normal 2"/>
    <tableColumn id="282" xr3:uid="{5051A61D-0FF6-4772-81B7-882DC7E2749B}" name="Column267" dataCellStyle="Normal 2"/>
    <tableColumn id="283" xr3:uid="{EE37947A-FB56-489B-A3F5-5ACEB21F91E7}" name="Column268" dataCellStyle="Normal 2"/>
    <tableColumn id="284" xr3:uid="{D2155EF2-BAF8-46FE-8366-870D3B674B17}" name="Column269" dataCellStyle="Normal 2"/>
    <tableColumn id="285" xr3:uid="{2310B1A1-57E9-46F3-83AF-67528B01BB02}" name="Column270" dataCellStyle="Normal 2"/>
    <tableColumn id="286" xr3:uid="{023C36C6-F4C8-4CEC-9946-5E574DD0738E}" name="Column271" dataCellStyle="Normal 2"/>
    <tableColumn id="287" xr3:uid="{B1B94D61-0793-424D-9EB9-11068233A968}" name="Column272" dataCellStyle="Normal 2"/>
    <tableColumn id="288" xr3:uid="{1DBB3CF8-6C9C-485B-AE4B-E9F10A5B6048}" name="Column273" dataCellStyle="Normal 2"/>
    <tableColumn id="289" xr3:uid="{0156F46F-D319-4F54-95A0-2DB8966CDD03}" name="Column274" dataCellStyle="Normal 2"/>
    <tableColumn id="290" xr3:uid="{061A10FD-A075-4217-9E87-6186C182EF3F}" name="Column275" dataCellStyle="Normal 2"/>
    <tableColumn id="291" xr3:uid="{6CED7BA8-0EFF-4E17-9425-3B35CF065836}" name="Column276" dataCellStyle="Normal 2"/>
    <tableColumn id="292" xr3:uid="{1418ABA3-7E70-4911-A6D9-2840AE73046A}" name="Column277" dataCellStyle="Normal 2"/>
    <tableColumn id="293" xr3:uid="{D42064C5-4A32-4822-AA4E-112D0BEC1E23}" name="Column278" dataCellStyle="Normal 2"/>
    <tableColumn id="294" xr3:uid="{D16083DD-D897-4B93-B351-A9B4E0DB24D9}" name="Column279" dataCellStyle="Normal 2"/>
    <tableColumn id="295" xr3:uid="{B4D74F08-09B1-4CB1-B5CE-CADD07E96F64}" name="Column280" dataCellStyle="Normal 2"/>
    <tableColumn id="296" xr3:uid="{6B4AD71B-4DF7-485F-8BA8-726BD5F2F452}" name="Column281" dataCellStyle="Normal 2"/>
    <tableColumn id="297" xr3:uid="{F91E0563-610A-4AC3-9810-E1ACE2A298A4}" name="Column282" dataCellStyle="Normal 2"/>
    <tableColumn id="298" xr3:uid="{5DD5B940-F147-46D4-A0AE-5334007A0173}" name="Column283" dataCellStyle="Normal 2"/>
    <tableColumn id="299" xr3:uid="{5A5EEBEB-3BDE-4FE0-B7F4-018DEBFD4A58}" name="Column284" dataCellStyle="Normal 2"/>
    <tableColumn id="300" xr3:uid="{AB85A52C-DFC4-4824-B8FA-B196533F1971}" name="Column285" dataCellStyle="Normal 2"/>
    <tableColumn id="301" xr3:uid="{2D93C115-3013-4087-B1DB-B6631ADBEA72}" name="Column286" dataCellStyle="Normal 2"/>
    <tableColumn id="302" xr3:uid="{F57D351A-4A7B-4D79-B159-494323101DB1}" name="Column287" dataCellStyle="Normal 2"/>
    <tableColumn id="303" xr3:uid="{84A1D97C-D9D2-428E-9261-E703DD87BE70}" name="Column288" dataCellStyle="Normal 2"/>
    <tableColumn id="304" xr3:uid="{951CD331-5CBB-4C1E-BF0B-AE2A2DAA44E1}" name="Column289" dataCellStyle="Normal 2"/>
    <tableColumn id="305" xr3:uid="{FF5F2814-B929-486D-AED6-3E5C7EC4BFF5}" name="Column290" dataCellStyle="Normal 2"/>
    <tableColumn id="306" xr3:uid="{28AA5247-429F-4BE8-ACCB-412C48E17D92}" name="Column291" dataCellStyle="Normal 2"/>
    <tableColumn id="307" xr3:uid="{8DA2D106-B037-402D-981E-F50107EB8BF5}" name="Column292" dataCellStyle="Normal 2"/>
    <tableColumn id="308" xr3:uid="{09969BAE-2EAD-4A76-A7DA-4ED1D7B40C5F}" name="Column293" dataCellStyle="Normal 2"/>
    <tableColumn id="309" xr3:uid="{D3D31786-10F7-4654-A819-5889859AD98A}" name="Column294" dataCellStyle="Normal 2"/>
    <tableColumn id="310" xr3:uid="{3EFADAFA-BA35-4E87-9714-D028BB8D34DD}" name="Column295" dataCellStyle="Normal 2"/>
    <tableColumn id="311" xr3:uid="{0B20AA42-C139-4984-8032-48EEC663C2B4}" name="Column296" dataCellStyle="Normal 2"/>
    <tableColumn id="312" xr3:uid="{95626020-28CE-40C8-98F7-D7D8A8EC39BF}" name="Column297" dataCellStyle="Normal 2"/>
    <tableColumn id="313" xr3:uid="{6F522073-BDE9-47DD-9991-74B768FED7C0}" name="Column298" dataCellStyle="Normal 2"/>
    <tableColumn id="314" xr3:uid="{FE0B75E8-218D-495E-A158-D27F22D99488}" name="Column299" dataCellStyle="Normal 2"/>
    <tableColumn id="315" xr3:uid="{B3ABA17B-D690-4328-B4A0-739F05F0289E}" name="Column300" dataCellStyle="Normal 2"/>
    <tableColumn id="316" xr3:uid="{5E61E315-5A0E-4C30-96CE-8C52AE89CF09}" name="Column301" dataCellStyle="Normal 2"/>
    <tableColumn id="317" xr3:uid="{595008E1-92AB-434E-8307-031B6D669A2D}" name="Column302" dataCellStyle="Normal 2"/>
    <tableColumn id="318" xr3:uid="{99715E62-9008-4B50-B9AD-53125B643FEA}" name="Column303" dataCellStyle="Normal 2"/>
    <tableColumn id="319" xr3:uid="{18A89141-7A29-4380-83BA-B1F01903DD83}" name="Column304" dataCellStyle="Normal 2"/>
    <tableColumn id="320" xr3:uid="{F6733ACA-8414-43E6-B72C-EB496403ED53}" name="Column305" dataCellStyle="Normal 2"/>
    <tableColumn id="321" xr3:uid="{E4D800A9-B320-4413-95F2-3627516E37FD}" name="Column306" dataCellStyle="Normal 2"/>
    <tableColumn id="322" xr3:uid="{D17429C0-991D-4C70-AFCD-12DB40B3C2A2}" name="Column307" dataCellStyle="Normal 2"/>
    <tableColumn id="323" xr3:uid="{BAB30EF8-4A58-4538-9B53-7951FB6A9FD7}" name="Column308" dataCellStyle="Normal 2"/>
    <tableColumn id="324" xr3:uid="{385B471B-EDEF-47D8-B9C8-645702F32240}" name="Column309" dataCellStyle="Normal 2"/>
    <tableColumn id="325" xr3:uid="{47288998-645C-46DA-AAF7-D9338F0F8349}" name="Column310" dataCellStyle="Normal 2"/>
    <tableColumn id="326" xr3:uid="{6F644E4C-1A02-414E-9731-6475E5866746}" name="Column311" dataCellStyle="Normal 2"/>
    <tableColumn id="327" xr3:uid="{4D41DA32-BDF0-421D-A73A-ECA4877B2AAA}" name="Column312" dataCellStyle="Normal 2"/>
    <tableColumn id="328" xr3:uid="{672281E4-569E-40A8-AFEE-15143C9412B5}" name="Column313" dataCellStyle="Normal 2"/>
    <tableColumn id="329" xr3:uid="{3D01F85E-731A-412A-8646-4E492EE86EE6}" name="Column314" dataCellStyle="Normal 2"/>
    <tableColumn id="330" xr3:uid="{3A589798-283A-4C33-A6CB-C6B55246B436}" name="Column315" dataCellStyle="Normal 2"/>
    <tableColumn id="331" xr3:uid="{A6D79E6F-50AE-4648-BF4A-12EF54DCE453}" name="Column316" dataCellStyle="Normal 2"/>
    <tableColumn id="332" xr3:uid="{18CBE9D2-7370-4C9C-8174-DA2913C7C248}" name="Column317" dataCellStyle="Normal 2"/>
    <tableColumn id="333" xr3:uid="{3EA49E06-AF3F-445C-8C17-C7BDAE9BB732}" name="Column318" dataCellStyle="Normal 2"/>
    <tableColumn id="334" xr3:uid="{8A722B1B-6670-4973-82FD-F20FEE7ABB85}" name="Column319" dataCellStyle="Normal 2"/>
    <tableColumn id="335" xr3:uid="{6A8E6DF6-DEF3-4223-8C20-56F054CE60E7}" name="Column320" dataCellStyle="Normal 2"/>
    <tableColumn id="336" xr3:uid="{573BB772-9C43-4E71-84D6-101009E11B06}" name="Column321" dataCellStyle="Normal 2"/>
    <tableColumn id="337" xr3:uid="{E89B3461-43D6-4EF9-9C24-6EDDCB24C843}" name="Column322" dataCellStyle="Normal 2"/>
    <tableColumn id="338" xr3:uid="{0F683605-E97D-4C86-AE6D-803D6AADB701}" name="Column323" dataCellStyle="Normal 2"/>
    <tableColumn id="339" xr3:uid="{9A10C675-DD41-48FF-BA75-2491EE6A730E}" name="Column324" dataCellStyle="Normal 2"/>
    <tableColumn id="340" xr3:uid="{C2564388-A7F4-4458-B5B8-DED6D0475E76}" name="Column325" dataCellStyle="Normal 2"/>
    <tableColumn id="341" xr3:uid="{549CFCAE-DFE5-4171-83DD-C9D23DE8DCFE}" name="Column326" dataCellStyle="Normal 2"/>
    <tableColumn id="342" xr3:uid="{C9847B1B-C366-4DC3-9342-25C83B3A8834}" name="Column327" dataCellStyle="Normal 2"/>
    <tableColumn id="343" xr3:uid="{D84373E3-4275-4B15-AD0F-B5B1F6DF6209}" name="Column328" dataCellStyle="Normal 2"/>
    <tableColumn id="344" xr3:uid="{CE5D6F99-E5C2-47FA-9E92-626EC171BA8A}" name="Column329" dataCellStyle="Normal 2"/>
    <tableColumn id="345" xr3:uid="{A6B92C14-4FEC-4C46-91A3-6AB3E4F38A89}" name="Column330" dataCellStyle="Normal 2"/>
    <tableColumn id="346" xr3:uid="{F2D394B5-927B-471B-BDBF-2FD91334FA55}" name="Column331" dataCellStyle="Normal 2"/>
    <tableColumn id="347" xr3:uid="{0F3C394C-311E-4CCD-ACD1-A35D01E34716}" name="Column332" dataCellStyle="Normal 2"/>
    <tableColumn id="348" xr3:uid="{E8D3BD1F-77DD-4AA1-96F8-A72B18C277DB}" name="Column333" dataCellStyle="Normal 2"/>
    <tableColumn id="349" xr3:uid="{0938E41D-429F-4B39-AC2C-852F4FF0A69E}" name="Column334" dataCellStyle="Normal 2"/>
    <tableColumn id="350" xr3:uid="{74CD3AC5-8DCE-44EB-8BF9-DD6898354C1E}" name="Column335" dataCellStyle="Normal 2"/>
    <tableColumn id="351" xr3:uid="{CE479998-CAE1-4E70-A34D-A10D5D76812F}" name="Column336" dataCellStyle="Normal 2"/>
    <tableColumn id="352" xr3:uid="{0A2AFFE7-96E2-4699-AD62-692766865D66}" name="Column337" dataCellStyle="Normal 2"/>
    <tableColumn id="353" xr3:uid="{D8DBBC7E-01BD-473C-A16E-8B328C40EAC0}" name="Column338" dataCellStyle="Normal 2"/>
    <tableColumn id="354" xr3:uid="{18DE7531-FD04-480A-B45C-C51597D4D787}" name="Column339" dataCellStyle="Normal 2"/>
    <tableColumn id="355" xr3:uid="{A2DDD093-F97E-46E9-93F9-285F9A20D9A2}" name="Column340" dataCellStyle="Normal 2"/>
    <tableColumn id="356" xr3:uid="{E8735ED5-91B1-40EF-B9AB-C524E4007383}" name="Column341" dataCellStyle="Normal 2"/>
    <tableColumn id="357" xr3:uid="{BE0C1AD5-D2D7-4724-9C78-3DC1FB019AC7}" name="Column342" dataCellStyle="Normal 2"/>
    <tableColumn id="358" xr3:uid="{8EA57508-C14D-4413-9294-7D4D426B2B56}" name="Column343" dataCellStyle="Normal 2"/>
    <tableColumn id="359" xr3:uid="{24FB368B-7580-437C-84FD-5C0F53273399}" name="Column344" dataCellStyle="Normal 2"/>
    <tableColumn id="360" xr3:uid="{6A3A2CA6-09BB-4A9C-9E62-E49B58221480}" name="Column345" dataCellStyle="Normal 2"/>
    <tableColumn id="361" xr3:uid="{A85DE8E4-E782-4889-9C33-46064B6BA20C}" name="Column346" dataCellStyle="Normal 2"/>
    <tableColumn id="362" xr3:uid="{8B6A297F-C5DE-49AE-9DAF-E79130FC50D4}" name="Column347" dataCellStyle="Normal 2"/>
    <tableColumn id="363" xr3:uid="{8BC152E6-65AA-493C-A99F-4640CADEE133}" name="Column348" dataCellStyle="Normal 2"/>
    <tableColumn id="364" xr3:uid="{ADD5C7F4-5739-4B46-83A0-5F148C8AD886}" name="Column349" dataCellStyle="Normal 2"/>
    <tableColumn id="365" xr3:uid="{EA4C3B42-B70F-4BB2-8F95-3A6B8698C697}" name="Column350" dataCellStyle="Normal 2"/>
    <tableColumn id="366" xr3:uid="{94FB3D45-1A8C-49CA-9F39-75399B3FB4E8}" name="Column351" dataCellStyle="Normal 2"/>
    <tableColumn id="367" xr3:uid="{535567C6-191C-4D71-8D22-4DB5E0411D35}" name="Column352" dataCellStyle="Normal 2"/>
    <tableColumn id="368" xr3:uid="{4EDF1175-20CD-47DF-8F1B-0D26DC4AD481}" name="Column353" dataCellStyle="Normal 2"/>
    <tableColumn id="369" xr3:uid="{139DADD9-D6AF-4123-98BA-17126B525E69}" name="Column354" dataCellStyle="Normal 2"/>
    <tableColumn id="370" xr3:uid="{BCEBA539-CC7C-4E6F-9B6C-A1D3D2D29F89}" name="Column355" dataCellStyle="Normal 2"/>
    <tableColumn id="371" xr3:uid="{3E3A49D3-6C3C-48E9-AC0F-28AEDE3B54B5}" name="Column356" dataCellStyle="Normal 2"/>
    <tableColumn id="372" xr3:uid="{4B261B6F-640E-4413-83AB-C0533B2A7F3E}" name="Column357" dataCellStyle="Normal 2"/>
    <tableColumn id="373" xr3:uid="{F0E79D34-FA78-45A0-ABF5-A0A8A7145049}" name="Column358" dataCellStyle="Normal 2"/>
    <tableColumn id="374" xr3:uid="{88B44F38-6DF8-427A-AE40-AA174E5444C9}" name="Column359" dataCellStyle="Normal 2"/>
    <tableColumn id="375" xr3:uid="{22630B65-3457-4109-A652-E7A272320A88}" name="Column360" dataCellStyle="Normal 2"/>
    <tableColumn id="376" xr3:uid="{BB316E03-C826-4D10-80C9-75039C1CCF6C}" name="Column361" dataCellStyle="Normal 2"/>
    <tableColumn id="377" xr3:uid="{38C177A4-1145-4D94-A28E-D98C346FC4D0}" name="Column362" dataCellStyle="Normal 2"/>
    <tableColumn id="378" xr3:uid="{297FE943-8646-47B6-8150-77A7A0A3AD91}" name="Column363" dataCellStyle="Normal 2"/>
    <tableColumn id="379" xr3:uid="{6545CDD5-451C-4578-8003-D7F47F1D3160}" name="Column364" dataCellStyle="Normal 2"/>
    <tableColumn id="380" xr3:uid="{8935D62B-FA8F-4745-B72D-8F489428BB59}" name="Column365" dataCellStyle="Normal 2"/>
    <tableColumn id="381" xr3:uid="{48154B6C-B78F-4FB0-9C9C-47235FC30E6F}" name="Column366" dataCellStyle="Normal 2"/>
    <tableColumn id="382" xr3:uid="{ABE243C9-23F7-4DD0-A6FF-EA9FC468D6C5}" name="Column367" dataCellStyle="Normal 2"/>
    <tableColumn id="383" xr3:uid="{16F8A83D-5A77-4A6F-B018-46068E24D532}" name="Column368" dataCellStyle="Normal 2"/>
    <tableColumn id="384" xr3:uid="{AA5784CE-9D9C-47CE-A608-0E4114040732}" name="Column369" dataCellStyle="Normal 2"/>
    <tableColumn id="385" xr3:uid="{455514C5-723B-46B4-9E60-4A45E528866F}" name="Column370" dataCellStyle="Normal 2"/>
    <tableColumn id="386" xr3:uid="{5B36FB22-7335-43B0-887D-6336F7A27039}" name="Column371" dataCellStyle="Normal 2"/>
    <tableColumn id="387" xr3:uid="{45A99429-DB8B-48D7-A735-D2BBFD18A0AA}" name="Column372" dataCellStyle="Normal 2"/>
    <tableColumn id="388" xr3:uid="{231C94A8-5230-47EA-9D7D-6A8274B7AB8E}" name="Column373" dataCellStyle="Normal 2"/>
    <tableColumn id="389" xr3:uid="{40CEA89C-6C62-4390-AA0C-BF4526C17BAC}" name="Column374" dataCellStyle="Normal 2"/>
    <tableColumn id="390" xr3:uid="{F095B81D-845F-4561-9A62-0A82B2442055}" name="Column375" dataCellStyle="Normal 2"/>
    <tableColumn id="391" xr3:uid="{22259352-3213-4E63-989A-E52BB7AE3A50}" name="Column376" dataCellStyle="Normal 2"/>
    <tableColumn id="392" xr3:uid="{0FD0C6B3-AA4E-4E9E-86D8-E749EA0A3851}" name="Column377" dataCellStyle="Normal 2"/>
    <tableColumn id="393" xr3:uid="{EDB2EF05-A588-4193-90DC-B69180823708}" name="Column378" dataCellStyle="Normal 2"/>
    <tableColumn id="394" xr3:uid="{176C197A-F0D4-4625-8B5C-32A2950055D4}" name="Column379" dataCellStyle="Normal 2"/>
    <tableColumn id="395" xr3:uid="{440BDD7B-987C-4620-B2D9-5A52F5EECA77}" name="Column380" dataCellStyle="Normal 2"/>
    <tableColumn id="396" xr3:uid="{C82FF1B6-00C8-4D2E-94F9-780E4D9AF9BA}" name="Column381" dataCellStyle="Normal 2"/>
    <tableColumn id="397" xr3:uid="{CBFBF0D8-171B-498B-AB2C-76D66C327BA3}" name="Column382" dataCellStyle="Normal 2"/>
    <tableColumn id="398" xr3:uid="{FC177814-94E2-4D04-BEFA-315489D5CED9}" name="Column383" dataCellStyle="Normal 2"/>
    <tableColumn id="399" xr3:uid="{6FDDE9E4-06F5-4B1F-875A-70B27301C4BF}" name="Column384" dataCellStyle="Normal 2"/>
    <tableColumn id="400" xr3:uid="{A2AB0CD3-1A1E-4D91-85BA-787AF7444F0D}" name="Column385" dataCellStyle="Normal 2"/>
    <tableColumn id="401" xr3:uid="{DAA3FF82-3528-4CDB-9678-182F8A8ADF3C}" name="Column386" dataCellStyle="Normal 2"/>
    <tableColumn id="402" xr3:uid="{50C2FD90-954E-4BB7-9B1B-52D70B89BC76}" name="Column387" dataCellStyle="Normal 2"/>
    <tableColumn id="403" xr3:uid="{A107359D-1675-401B-8001-540BE6B334D8}" name="Column388" dataCellStyle="Normal 2"/>
    <tableColumn id="404" xr3:uid="{DFCC2D15-EE21-4E57-942F-FB8B610073A6}" name="Column389" dataCellStyle="Normal 2"/>
    <tableColumn id="405" xr3:uid="{3402EC4B-363D-472B-A04C-EE655717DD01}" name="Column390" dataCellStyle="Normal 2"/>
    <tableColumn id="406" xr3:uid="{1146912E-0E67-4001-8C84-8B6FB52E4EC7}" name="Column391" dataCellStyle="Normal 2"/>
    <tableColumn id="407" xr3:uid="{2C85B508-B473-4F99-96BA-3AEB1B932A17}" name="Column392" dataCellStyle="Normal 2"/>
    <tableColumn id="408" xr3:uid="{9CB5B89D-546B-4705-AA51-E265C6AACC5C}" name="Column393" dataCellStyle="Normal 2"/>
    <tableColumn id="409" xr3:uid="{966ABDB4-9971-4BF9-8B4C-3DC9A159B21B}" name="Column394" dataCellStyle="Normal 2"/>
    <tableColumn id="410" xr3:uid="{732C6241-FA9A-4235-BCD1-0AEC3A9272BE}" name="Column395" dataCellStyle="Normal 2"/>
    <tableColumn id="411" xr3:uid="{A6983E77-69D1-454E-9158-483C2343168B}" name="Column396" dataCellStyle="Normal 2"/>
    <tableColumn id="412" xr3:uid="{DDC49D95-B1A1-4AF4-8B68-4EBE4D9229A9}" name="Column397" dataCellStyle="Normal 2"/>
    <tableColumn id="413" xr3:uid="{8BFDF21D-2E25-46F9-9F7A-01E5EF002036}" name="Column398" dataCellStyle="Normal 2"/>
    <tableColumn id="414" xr3:uid="{FC2BD82F-2BED-47F1-AD38-055BA3B0CDCE}" name="Column399" dataCellStyle="Normal 2"/>
    <tableColumn id="415" xr3:uid="{B85A5A59-CE14-4F28-B0DF-05095E7A5E58}" name="Column400" dataCellStyle="Normal 2"/>
    <tableColumn id="416" xr3:uid="{6F0DF6A8-B133-4B0F-9179-2B4AF5F40D28}" name="Column401" dataCellStyle="Normal 2"/>
    <tableColumn id="417" xr3:uid="{543D9F0A-2613-46F4-9CCC-863B1E69C669}" name="Column402" dataCellStyle="Normal 2"/>
    <tableColumn id="418" xr3:uid="{1F034852-71AB-49EA-98D1-545269367B07}" name="Column403" dataCellStyle="Normal 2"/>
    <tableColumn id="419" xr3:uid="{2CB7FEDB-9B11-4248-BC13-FED29C01A66D}" name="Column404" dataCellStyle="Normal 2"/>
    <tableColumn id="420" xr3:uid="{24622C5D-F81E-43FF-A9DC-E3490CAD6D1B}" name="Column405" dataCellStyle="Normal 2"/>
    <tableColumn id="421" xr3:uid="{DAD3038C-EFD1-468B-94A1-FCCF7D3DAFCE}" name="Column406" dataCellStyle="Normal 2"/>
    <tableColumn id="422" xr3:uid="{E0E072B3-510F-453B-8474-B6AC109553E3}" name="Column407" dataCellStyle="Normal 2"/>
    <tableColumn id="423" xr3:uid="{4214802B-0B8E-4ED1-9B93-9FC049162795}" name="Column408" dataCellStyle="Normal 2"/>
    <tableColumn id="424" xr3:uid="{63EA6D43-B6F5-49FA-AFBF-C78AA2654DE1}" name="Column409" dataCellStyle="Normal 2"/>
    <tableColumn id="425" xr3:uid="{30DB49E7-AF79-4833-B331-5D2CC54C64E5}" name="Column410" dataCellStyle="Normal 2"/>
    <tableColumn id="426" xr3:uid="{EF58EE17-AD25-4B1F-BA3C-F1DBBC02EF35}" name="Column411" dataCellStyle="Normal 2"/>
    <tableColumn id="427" xr3:uid="{3D88027A-F008-4BE5-95BD-D89A96C1B65C}" name="Column412" dataCellStyle="Normal 2"/>
    <tableColumn id="428" xr3:uid="{922DEB30-A25E-4C65-9BA2-7ABBA319CA6F}" name="Column413" dataCellStyle="Normal 2"/>
    <tableColumn id="429" xr3:uid="{459A9E34-7768-4761-937D-99C07661A0B9}" name="Column414" dataCellStyle="Normal 2"/>
    <tableColumn id="430" xr3:uid="{EB1E891B-C690-424B-A323-FDD7175BE3FA}" name="Column415" dataCellStyle="Normal 2"/>
    <tableColumn id="431" xr3:uid="{27923828-4E1E-4C3C-B5B8-997E077056B7}" name="Column416" dataCellStyle="Normal 2"/>
    <tableColumn id="432" xr3:uid="{854D10D8-CAC8-4F48-80A0-AA644CDFAA5C}" name="Column417" dataCellStyle="Normal 2"/>
    <tableColumn id="433" xr3:uid="{6283FD49-C718-4D29-A1C6-BAC5E4528E32}" name="Column418" dataCellStyle="Normal 2"/>
    <tableColumn id="434" xr3:uid="{94773B32-9AE6-4883-832C-A45EDD533E46}" name="Column419" dataCellStyle="Normal 2"/>
    <tableColumn id="435" xr3:uid="{3285CEC9-3F7A-47EE-A4C8-5313ACA78BF1}" name="Column420" dataCellStyle="Normal 2"/>
    <tableColumn id="436" xr3:uid="{58D7A679-C3D0-4863-9A6D-C67EA1C98756}" name="Column421" dataCellStyle="Normal 2"/>
    <tableColumn id="437" xr3:uid="{B484C004-42BF-42C9-8955-A0EE03450522}" name="Column422" dataCellStyle="Normal 2"/>
    <tableColumn id="438" xr3:uid="{978AA2F7-E015-4F6D-BC81-39A7ACEC8135}" name="Column423" dataCellStyle="Normal 2"/>
    <tableColumn id="439" xr3:uid="{0A5C52E0-8059-43EF-9768-C3F3FBB53955}" name="Column424" dataCellStyle="Normal 2"/>
    <tableColumn id="440" xr3:uid="{24820C3C-9BD0-4B81-9580-F0B4D38EB98F}" name="Column425" dataCellStyle="Normal 2"/>
    <tableColumn id="441" xr3:uid="{8A0C2A88-0991-49A6-9B76-E153205C9344}" name="Column426" dataCellStyle="Normal 2"/>
    <tableColumn id="442" xr3:uid="{BE3D070B-541C-48F2-92D9-DBA7ECF471AE}" name="Column427" dataCellStyle="Normal 2"/>
    <tableColumn id="443" xr3:uid="{620739DF-910B-418D-BBFB-5E24ECE1BFE6}" name="Column428" dataCellStyle="Normal 2"/>
    <tableColumn id="444" xr3:uid="{F2E5D37B-EE28-4A26-9230-FD029B838796}" name="Column429" dataCellStyle="Normal 2"/>
    <tableColumn id="445" xr3:uid="{A5FBECB4-97CB-4C20-AC65-497F576C0B28}" name="Column430" dataCellStyle="Normal 2"/>
    <tableColumn id="446" xr3:uid="{3B15E092-2634-48E1-A718-E895ED87CD5B}" name="Column431" dataCellStyle="Normal 2"/>
    <tableColumn id="447" xr3:uid="{E1C1DEA1-7041-4535-9978-16DA8C0ED4A2}" name="Column432" dataCellStyle="Normal 2"/>
    <tableColumn id="448" xr3:uid="{026BA696-DE89-4D57-98E8-75E5D8D84F00}" name="Column433" dataCellStyle="Normal 2"/>
    <tableColumn id="449" xr3:uid="{D972597A-C405-4327-B556-7B3B3D37A2AE}" name="Column434" dataCellStyle="Normal 2"/>
    <tableColumn id="450" xr3:uid="{887C9D73-2443-4F1D-907C-6A45BCE8D294}" name="Column435" dataCellStyle="Normal 2"/>
    <tableColumn id="451" xr3:uid="{2CA257CB-1514-4FCB-B358-57E96FA9E3A5}" name="Column436" dataCellStyle="Normal 2"/>
    <tableColumn id="452" xr3:uid="{156897E2-0552-402F-9E76-365CCA39DE61}" name="Column437" dataCellStyle="Normal 2"/>
    <tableColumn id="453" xr3:uid="{5EDE3510-0EDE-4357-85A4-2D6362399B14}" name="Column438" dataCellStyle="Normal 2"/>
    <tableColumn id="454" xr3:uid="{E1357137-71DB-479C-B36D-681AC635FD2F}" name="Column439" dataCellStyle="Normal 2"/>
    <tableColumn id="455" xr3:uid="{A34C7889-BC36-47B7-9218-8CF412032109}" name="Column440" dataCellStyle="Normal 2"/>
    <tableColumn id="456" xr3:uid="{AF0FD2BA-806A-4449-B283-E3A5D8C267FB}" name="Column441" dataCellStyle="Normal 2"/>
    <tableColumn id="457" xr3:uid="{FC5FF729-8756-442A-AF94-FB87B00E13D5}" name="Column442" dataCellStyle="Normal 2"/>
    <tableColumn id="458" xr3:uid="{4C55FFBA-63D2-469F-B203-D98330A6FB54}" name="Column443" dataCellStyle="Normal 2"/>
    <tableColumn id="459" xr3:uid="{3EB7BF27-D7E5-435C-BE5D-CCA8421A1D11}" name="Column444" dataCellStyle="Normal 2"/>
    <tableColumn id="460" xr3:uid="{90E3B5DD-58C3-43C9-A9F9-947710C8DAAC}" name="Column445" dataCellStyle="Normal 2"/>
    <tableColumn id="461" xr3:uid="{8323B1E3-E1D8-455D-9CDA-C800BCFBBD6D}" name="Column446" dataCellStyle="Normal 2"/>
    <tableColumn id="462" xr3:uid="{F4382738-2E60-4D0F-9525-F6B4C764775B}" name="Column447" dataCellStyle="Normal 2"/>
    <tableColumn id="463" xr3:uid="{8B54DAC3-AAFD-4B7B-8715-3836D90DC781}" name="Column448" dataCellStyle="Normal 2"/>
    <tableColumn id="464" xr3:uid="{95570EDD-6AEF-4D9C-A7EF-871963774CE5}" name="Column449" dataCellStyle="Normal 2"/>
    <tableColumn id="465" xr3:uid="{B0164998-A48C-43CF-9F7E-AC7B5AD57121}" name="Column450" dataCellStyle="Normal 2"/>
    <tableColumn id="466" xr3:uid="{72C18898-5FA9-4521-A983-ED273A5328E2}" name="Column451" dataCellStyle="Normal 2"/>
    <tableColumn id="467" xr3:uid="{22CF5DE3-5E73-4B09-AE94-D7EFB582654B}" name="Column452" dataCellStyle="Normal 2"/>
    <tableColumn id="468" xr3:uid="{9E3DDDEB-9D4A-4A21-987D-0132A6C47107}" name="Column453" dataCellStyle="Normal 2"/>
    <tableColumn id="469" xr3:uid="{4D2E5A18-0799-4691-8F47-1B21D738765A}" name="Column454" dataCellStyle="Normal 2"/>
    <tableColumn id="470" xr3:uid="{92C3739E-61BC-49F3-894D-6BD5005CD4E4}" name="Column455" dataCellStyle="Normal 2"/>
    <tableColumn id="471" xr3:uid="{0AC03D9C-E0BE-4215-83D5-52329E8AD787}" name="Column456" dataCellStyle="Normal 2"/>
    <tableColumn id="472" xr3:uid="{8FF4A2F3-AC67-4852-9154-F1238FA69941}" name="Column457" dataCellStyle="Normal 2"/>
    <tableColumn id="473" xr3:uid="{5AB1EDC7-D813-4456-A0E4-5DC604A6FFE0}" name="Column458" dataCellStyle="Normal 2"/>
    <tableColumn id="474" xr3:uid="{1721A0AC-17E1-4864-A93C-C59C5F26AC02}" name="Column459" dataCellStyle="Normal 2"/>
    <tableColumn id="475" xr3:uid="{B9230B9C-C929-4DD7-AD28-8F9A438C6A5E}" name="Column460" dataCellStyle="Normal 2"/>
    <tableColumn id="476" xr3:uid="{99DDAD1D-F7AB-4554-B12A-0C18E51DE59C}" name="Column461" dataCellStyle="Normal 2"/>
    <tableColumn id="477" xr3:uid="{47ACE7C2-8726-45DE-AB83-F6DF4BB28B33}" name="Column462" dataCellStyle="Normal 2"/>
    <tableColumn id="478" xr3:uid="{1A0D0328-B67B-43CD-B627-D6ECD48B5C81}" name="Column463" dataCellStyle="Normal 2"/>
    <tableColumn id="479" xr3:uid="{87F0C517-6422-4DD3-9322-BD682187B1CA}" name="Column464" dataCellStyle="Normal 2"/>
    <tableColumn id="480" xr3:uid="{DAAB6A22-27EA-4D4E-B198-E7AD3B00B729}" name="Column465" dataCellStyle="Normal 2"/>
    <tableColumn id="481" xr3:uid="{D3BA83EF-E6AE-45FF-BB82-F0126A25255C}" name="Column466" dataCellStyle="Normal 2"/>
    <tableColumn id="482" xr3:uid="{8782B5A3-1B47-4F27-9E3B-7B4F34A6A686}" name="Column467" dataCellStyle="Normal 2"/>
    <tableColumn id="483" xr3:uid="{4B8B6C9E-ECFB-4129-A082-F6926A8B1716}" name="Column468" dataCellStyle="Normal 2"/>
    <tableColumn id="484" xr3:uid="{77AF2440-8A37-40E3-A592-FA3BD5629D25}" name="Column469" dataCellStyle="Normal 2"/>
    <tableColumn id="485" xr3:uid="{457F230C-EA4C-4C68-9C14-F97AB1E5AB02}" name="Column470" dataCellStyle="Normal 2"/>
    <tableColumn id="486" xr3:uid="{9CA67689-C753-4EC6-ADC5-0D997F79778E}" name="Column471" dataCellStyle="Normal 2"/>
    <tableColumn id="487" xr3:uid="{D263B64A-823B-43D2-90D9-515B3D390BC2}" name="Column472" dataCellStyle="Normal 2"/>
    <tableColumn id="488" xr3:uid="{6C5045C4-7E0F-4C3A-9659-813FF678A2C7}" name="Column473" dataCellStyle="Normal 2"/>
    <tableColumn id="489" xr3:uid="{1FB97C81-EF74-4F0B-BF9A-A5A25362C345}" name="Column474" dataCellStyle="Normal 2"/>
    <tableColumn id="490" xr3:uid="{A7C76E95-3358-4D81-832A-11A253C640B3}" name="Column475" dataCellStyle="Normal 2"/>
    <tableColumn id="491" xr3:uid="{4E9B7137-ECA4-45AE-8D22-10B1A233837B}" name="Column476" dataCellStyle="Normal 2"/>
    <tableColumn id="492" xr3:uid="{C9D022DE-1EA1-48E1-83C6-DB04A7C08B4A}" name="Column477" dataCellStyle="Normal 2"/>
    <tableColumn id="493" xr3:uid="{C623D45D-8057-43AB-8A58-9754752CF9B0}" name="Column478" dataCellStyle="Normal 2"/>
    <tableColumn id="494" xr3:uid="{CDA0C530-51F7-47E1-97D7-3D76FF5EA41D}" name="Column479" dataCellStyle="Normal 2"/>
    <tableColumn id="495" xr3:uid="{5A1F3F0F-FB9F-40D1-ABF0-2255628817FA}" name="Column480" dataCellStyle="Normal 2"/>
    <tableColumn id="496" xr3:uid="{51CF5120-7453-4F5C-AD13-1B6FF22CDB11}" name="Column481" dataCellStyle="Normal 2"/>
    <tableColumn id="497" xr3:uid="{E79EB491-106D-4B40-B0FD-1D93CC694C0F}" name="Column482" dataCellStyle="Normal 2"/>
    <tableColumn id="498" xr3:uid="{6799EC2E-6C29-481F-A742-B6D694304013}" name="Column483" dataCellStyle="Normal 2"/>
    <tableColumn id="499" xr3:uid="{BB1EED81-EF0A-42D6-B14F-8438A1D19B8C}" name="Column484" dataCellStyle="Normal 2"/>
    <tableColumn id="500" xr3:uid="{BCCACF73-1C7C-49E9-8A69-24023C43ED48}" name="Column485" dataCellStyle="Normal 2"/>
    <tableColumn id="501" xr3:uid="{D16DBEB5-22A2-461F-8D9D-01CEF5947760}" name="Column486" dataCellStyle="Normal 2"/>
    <tableColumn id="502" xr3:uid="{09C85D2C-C154-4CFF-B2E5-64066B5F31E3}" name="Column487" dataCellStyle="Normal 2"/>
    <tableColumn id="503" xr3:uid="{0C7A8540-3607-4AE1-82C6-1E70E88B4BFD}" name="Column488" dataCellStyle="Normal 2"/>
    <tableColumn id="504" xr3:uid="{AC159430-EDD9-40D0-A15D-BB1577A2BE49}" name="Column489" dataCellStyle="Normal 2"/>
    <tableColumn id="505" xr3:uid="{348EB3A9-5FB0-48A5-858C-F08A9012248F}" name="Column490" dataCellStyle="Normal 2"/>
    <tableColumn id="506" xr3:uid="{029249A4-2B2A-4DD8-A138-F3E2FA4A3329}" name="Column491" dataCellStyle="Normal 2"/>
    <tableColumn id="507" xr3:uid="{77341662-A40F-4E94-A8CE-190EF7271308}" name="Column492" dataCellStyle="Normal 2"/>
    <tableColumn id="508" xr3:uid="{7D8D9F74-6293-46EB-8CDE-2F18A6528A8E}" name="Column493" dataCellStyle="Normal 2"/>
    <tableColumn id="509" xr3:uid="{10CDA86D-24F6-42D4-B034-0AA1C1CCD575}" name="Column494" dataCellStyle="Normal 2"/>
    <tableColumn id="510" xr3:uid="{AD854EBF-F284-47CB-B2E1-BBD96FD3F29E}" name="Column495" dataCellStyle="Normal 2"/>
    <tableColumn id="511" xr3:uid="{056DF4AE-17E2-4953-806B-0E04176B6671}" name="Column496" dataCellStyle="Normal 2"/>
    <tableColumn id="512" xr3:uid="{B2C118A9-8B5C-4149-A54B-DD6A904A420C}" name="Column497" dataCellStyle="Normal 2"/>
    <tableColumn id="513" xr3:uid="{59E9881E-C291-42C2-A4E3-57F5F009A1E2}" name="Column498" dataCellStyle="Normal 2"/>
    <tableColumn id="514" xr3:uid="{93B7C413-630E-42F9-BB2F-9786455AD7E7}" name="Column499" dataCellStyle="Normal 2"/>
    <tableColumn id="515" xr3:uid="{743E8949-DFA9-4FD9-8516-C8C2E28781F2}" name="Column500" dataCellStyle="Normal 2"/>
    <tableColumn id="516" xr3:uid="{E383FE4D-DC35-4DF1-AA82-3000C6C7A4EE}" name="Column501" dataCellStyle="Normal 2"/>
    <tableColumn id="517" xr3:uid="{2D8EBBBA-D8CF-4CD9-9ECE-0E08590098E2}" name="Column502" dataCellStyle="Normal 2"/>
    <tableColumn id="518" xr3:uid="{EDA74D37-C40A-46AB-B335-C6AAD8B12C8D}" name="Column503" dataCellStyle="Normal 2"/>
    <tableColumn id="519" xr3:uid="{B3BA34A3-CD2C-4F78-AA2A-1BED68C01481}" name="Column504" dataCellStyle="Normal 2"/>
    <tableColumn id="520" xr3:uid="{BEFE5940-B987-490C-84E4-DFB35A6CD523}" name="Column505" dataCellStyle="Normal 2"/>
    <tableColumn id="521" xr3:uid="{D13DE1FD-23F4-47DE-B0AB-F4D23FA58D0E}" name="Column506" dataCellStyle="Normal 2"/>
    <tableColumn id="522" xr3:uid="{DF37D392-3755-4812-899B-A91944B24A9E}" name="Column507" dataCellStyle="Normal 2"/>
    <tableColumn id="523" xr3:uid="{B51951BE-6A72-42BE-93F5-299D9B3124A9}" name="Column508" dataCellStyle="Normal 2"/>
    <tableColumn id="524" xr3:uid="{518191A6-7318-42B6-A49E-6AC96CA2A104}" name="Column509" dataCellStyle="Normal 2"/>
    <tableColumn id="525" xr3:uid="{D3766C1B-B6A7-48F7-B510-D7706175547E}" name="Column510" dataCellStyle="Normal 2"/>
    <tableColumn id="526" xr3:uid="{878D69B4-6496-4344-A0B8-C4A90E94E7E8}" name="Column511" dataCellStyle="Normal 2"/>
    <tableColumn id="527" xr3:uid="{65B7C75E-1150-48EB-8D19-8B3034FD3674}" name="Column512" dataCellStyle="Normal 2"/>
    <tableColumn id="528" xr3:uid="{B154401F-191C-4B41-9F9C-DA0AE350E3AB}" name="Column513" dataCellStyle="Normal 2"/>
    <tableColumn id="529" xr3:uid="{CA606D5B-CA14-49E7-9D96-1B88CB7C8267}" name="Column514" dataCellStyle="Normal 2"/>
    <tableColumn id="530" xr3:uid="{594B5403-D5DE-4B08-B716-E2980215029C}" name="Column515" dataCellStyle="Normal 2"/>
    <tableColumn id="531" xr3:uid="{8E15E6BF-1B16-4C13-AB60-503E36E3966E}" name="Column516" dataCellStyle="Normal 2"/>
    <tableColumn id="532" xr3:uid="{9EDFF25B-74AF-4C9F-B026-524D640B5275}" name="Column517" dataCellStyle="Normal 2"/>
    <tableColumn id="533" xr3:uid="{BC86588F-B1E2-4638-A94D-0A3F5D2F7218}" name="Column518" dataCellStyle="Normal 2"/>
    <tableColumn id="534" xr3:uid="{B4C1628F-81A4-4C60-8D00-253EF9C825E2}" name="Column519" dataCellStyle="Normal 2"/>
    <tableColumn id="535" xr3:uid="{5224C732-5502-46D7-AC66-DE5723382960}" name="Column520" dataCellStyle="Normal 2"/>
    <tableColumn id="536" xr3:uid="{D20D7B92-B01C-458B-BCEF-850B013B426D}" name="Column521" dataCellStyle="Normal 2"/>
    <tableColumn id="537" xr3:uid="{1EE794BD-C59A-41A3-A7B7-1E85AF75EADE}" name="Column522" dataCellStyle="Normal 2"/>
    <tableColumn id="538" xr3:uid="{3EFA4F34-6BC2-4478-898F-6B9D475F8DF0}" name="Column523" dataCellStyle="Normal 2"/>
    <tableColumn id="539" xr3:uid="{AED7DF33-567B-42D4-9CDE-3DF69A642581}" name="Column524" dataCellStyle="Normal 2"/>
    <tableColumn id="540" xr3:uid="{F1470EB4-4515-49B8-9A2F-386832B7809D}" name="Column525" dataCellStyle="Normal 2"/>
    <tableColumn id="541" xr3:uid="{05400056-0F28-4CAE-AB57-877F0101F807}" name="Column526" dataCellStyle="Normal 2"/>
    <tableColumn id="542" xr3:uid="{CC35063D-D188-494F-B823-E7B3A6C3D87E}" name="Column527" dataCellStyle="Normal 2"/>
    <tableColumn id="543" xr3:uid="{4A9B0613-02B7-41B3-8923-1F7946602EF6}" name="Column528" dataCellStyle="Normal 2"/>
    <tableColumn id="544" xr3:uid="{CFCEFEA3-5543-4D77-9B76-731FE75F44F6}" name="Column529" dataCellStyle="Normal 2"/>
    <tableColumn id="545" xr3:uid="{BAF79451-E6BB-4266-B2B8-C041B4878408}" name="Column530" dataCellStyle="Normal 2"/>
    <tableColumn id="546" xr3:uid="{B5AC0CD4-CDBC-47E6-898D-DE25F12DCE22}" name="Column531" dataCellStyle="Normal 2"/>
    <tableColumn id="547" xr3:uid="{F43B157F-E6EE-4CEB-A0D1-F43888893093}" name="Column532" dataCellStyle="Normal 2"/>
    <tableColumn id="548" xr3:uid="{8D66A85A-B3E8-4348-9D07-CEF8AD9E002A}" name="Column533" dataCellStyle="Normal 2"/>
    <tableColumn id="549" xr3:uid="{F629692F-D98E-4DD5-8009-7A541DF4A88E}" name="Column534" dataCellStyle="Normal 2"/>
    <tableColumn id="550" xr3:uid="{DB5B3190-F1C2-449B-BC8E-02F58F5A13D9}" name="Column535" dataCellStyle="Normal 2"/>
    <tableColumn id="551" xr3:uid="{D9A1C9F9-0615-4358-A351-2B566E0AF8DC}" name="Column536" dataCellStyle="Normal 2"/>
    <tableColumn id="552" xr3:uid="{C6172ADF-61BB-4188-A4AC-E229465D114D}" name="Column537" dataCellStyle="Normal 2"/>
    <tableColumn id="553" xr3:uid="{3FBD77D8-2DA6-4DCC-926F-A373BCFA5B67}" name="Column538" dataCellStyle="Normal 2"/>
    <tableColumn id="554" xr3:uid="{4F810C9C-F61A-4A40-AD38-9C1BE461B757}" name="Column539" dataCellStyle="Normal 2"/>
    <tableColumn id="555" xr3:uid="{C55D20A0-F86E-49E2-A282-6032D6FFE9A1}" name="Column540" dataCellStyle="Normal 2"/>
    <tableColumn id="556" xr3:uid="{16E55A45-A839-4D13-B6E9-26C40BA03A40}" name="Column541" dataCellStyle="Normal 2"/>
    <tableColumn id="557" xr3:uid="{8FF7EC37-FA2D-4FDA-974C-D64FBDD585CB}" name="Column542" dataCellStyle="Normal 2"/>
    <tableColumn id="558" xr3:uid="{9B47BAF9-E375-4A25-BFC8-C71A45017101}" name="Column543" dataCellStyle="Normal 2"/>
    <tableColumn id="559" xr3:uid="{5E3A33AB-544C-405C-91A2-3D4D9D28C1B0}" name="Column544" dataCellStyle="Normal 2"/>
    <tableColumn id="560" xr3:uid="{8935126A-4A47-43BD-B854-7FF48BAC1D52}" name="Column545" dataCellStyle="Normal 2"/>
    <tableColumn id="561" xr3:uid="{DA031678-058C-4670-B762-A041F88396E8}" name="Column546" dataCellStyle="Normal 2"/>
    <tableColumn id="562" xr3:uid="{26C19A58-3FB8-4EF9-A878-4CE1E2B044F0}" name="Column547" dataCellStyle="Normal 2"/>
    <tableColumn id="563" xr3:uid="{C472021E-5566-4AF4-A300-1AFFE55E5BAB}" name="Column548" dataCellStyle="Normal 2"/>
    <tableColumn id="564" xr3:uid="{2C39059D-F489-473D-80FD-FEC7FC99F26B}" name="Column549" dataCellStyle="Normal 2"/>
    <tableColumn id="565" xr3:uid="{69D747C7-879C-45AC-B14A-9CF77B60E343}" name="Column550" dataCellStyle="Normal 2"/>
    <tableColumn id="566" xr3:uid="{68830977-6849-4C62-AC64-9B19CA13B085}" name="Column551" dataCellStyle="Normal 2"/>
    <tableColumn id="567" xr3:uid="{4595617A-17C0-4A8D-86D9-704C5A770913}" name="Column552" dataCellStyle="Normal 2"/>
    <tableColumn id="568" xr3:uid="{DAED28FF-CC4A-46AC-8E23-E4E87E61CFFD}" name="Column553" dataCellStyle="Normal 2"/>
    <tableColumn id="569" xr3:uid="{122382D2-E4D0-4FEB-B1E4-C1161A19F3D9}" name="Column554" dataCellStyle="Normal 2"/>
    <tableColumn id="570" xr3:uid="{5E71775E-109D-4EE9-BC87-A65F8701D241}" name="Column555" dataCellStyle="Normal 2"/>
    <tableColumn id="571" xr3:uid="{AD7E3ABB-4119-47F8-9CBC-D168A4A44801}" name="Column556" dataCellStyle="Normal 2"/>
    <tableColumn id="572" xr3:uid="{F512EE14-5332-4741-9D56-67525C9A9D9E}" name="Column557" dataCellStyle="Normal 2"/>
    <tableColumn id="573" xr3:uid="{03CF9864-59EC-4E41-BE42-BF1B9BAFF37D}" name="Column558" dataCellStyle="Normal 2"/>
    <tableColumn id="574" xr3:uid="{F161344C-5D2C-4879-8376-C48A3F65EAC8}" name="Column559" dataCellStyle="Normal 2"/>
    <tableColumn id="575" xr3:uid="{48B6424A-C855-465D-B43B-BF953FD6CDD9}" name="Column560" dataCellStyle="Normal 2"/>
    <tableColumn id="576" xr3:uid="{2235DE0E-F56E-4666-BDB5-D3082960803A}" name="Column561" dataCellStyle="Normal 2"/>
    <tableColumn id="577" xr3:uid="{32662D43-0356-447A-B37D-46E5B1068AA3}" name="Column562" dataCellStyle="Normal 2"/>
    <tableColumn id="578" xr3:uid="{C15A7A74-4F78-41FF-B4EA-81C2EB8D7819}" name="Column563" dataCellStyle="Normal 2"/>
    <tableColumn id="579" xr3:uid="{123F6B12-3734-4BFF-BC8D-771C18354F08}" name="Column564" dataCellStyle="Normal 2"/>
    <tableColumn id="580" xr3:uid="{62482AD6-01E6-4C7B-87B2-A434B12BE323}" name="Column565" dataCellStyle="Normal 2"/>
    <tableColumn id="581" xr3:uid="{C18650A8-7FD2-495C-B2BA-92A543270C69}" name="Column566" dataCellStyle="Normal 2"/>
    <tableColumn id="582" xr3:uid="{1E1A4496-C08B-46B1-8DB2-473D435D528F}" name="Column567" dataCellStyle="Normal 2"/>
    <tableColumn id="583" xr3:uid="{22067B00-5252-40BC-B36C-362F53588751}" name="Column568" dataCellStyle="Normal 2"/>
    <tableColumn id="584" xr3:uid="{EEF047EE-4899-491E-A547-4D5C2C4AC0DF}" name="Column569" dataCellStyle="Normal 2"/>
    <tableColumn id="585" xr3:uid="{45BC890B-B1E1-43C0-A55B-D0DB8F79F99B}" name="Column570" dataCellStyle="Normal 2"/>
    <tableColumn id="586" xr3:uid="{3C0B2367-14E1-472D-A6CF-F307BD16EB50}" name="Column571" dataCellStyle="Normal 2"/>
    <tableColumn id="587" xr3:uid="{E9573AAA-5CCA-428C-BE52-70EC537B8092}" name="Column572" dataCellStyle="Normal 2"/>
    <tableColumn id="588" xr3:uid="{89588BC7-AD76-4146-BFE8-98C1D5D4E7A1}" name="Column573" dataCellStyle="Normal 2"/>
    <tableColumn id="589" xr3:uid="{0D879D1B-F92E-4A26-8914-1570DF25A55B}" name="Column574" dataCellStyle="Normal 2"/>
    <tableColumn id="590" xr3:uid="{10477677-922B-47CE-AD10-3335DFFB10BB}" name="Column575" dataCellStyle="Normal 2"/>
    <tableColumn id="591" xr3:uid="{EA1ACDD4-9182-43A8-94AF-AA574D31CF5A}" name="Column576" dataCellStyle="Normal 2"/>
    <tableColumn id="592" xr3:uid="{D8FA275C-8F4A-45A6-BAEA-ADE8FE4B4E00}" name="Column577" dataCellStyle="Normal 2"/>
    <tableColumn id="593" xr3:uid="{9F856923-9004-4BFD-BD54-EB2CDD20C9A4}" name="Column578" dataCellStyle="Normal 2"/>
    <tableColumn id="594" xr3:uid="{4C3363E8-79A9-4EF1-A7C0-56E38DBFE042}" name="Column579" dataCellStyle="Normal 2"/>
    <tableColumn id="595" xr3:uid="{2F1268F6-5225-4F58-9622-CE0FD4C0483B}" name="Column580" dataCellStyle="Normal 2"/>
    <tableColumn id="596" xr3:uid="{3A6618AB-E4CB-4E3F-B78E-9FE93A3458F6}" name="Column581" dataCellStyle="Normal 2"/>
    <tableColumn id="597" xr3:uid="{B6E71265-0344-4557-B5ED-AB1B19266EE4}" name="Column582" dataCellStyle="Normal 2"/>
    <tableColumn id="598" xr3:uid="{11634244-B65A-4EDD-B572-B4C4A661B360}" name="Column583" dataCellStyle="Normal 2"/>
    <tableColumn id="599" xr3:uid="{10F3E0EC-7567-4029-BE8E-A61C271D8625}" name="Column584" dataCellStyle="Normal 2"/>
    <tableColumn id="600" xr3:uid="{BA86798F-71C9-4E21-AE9D-17871A285148}" name="Column585" dataCellStyle="Normal 2"/>
    <tableColumn id="601" xr3:uid="{1E4B16A1-C7E6-49BF-8991-50BF326E5A49}" name="Column586" dataCellStyle="Normal 2"/>
    <tableColumn id="602" xr3:uid="{301EF317-A140-4CE6-B721-4FF19E69E721}" name="Column587" dataCellStyle="Normal 2"/>
    <tableColumn id="603" xr3:uid="{275CC141-20F9-46A9-B0F6-2416903238F2}" name="Column588" dataCellStyle="Normal 2"/>
    <tableColumn id="604" xr3:uid="{7517416E-1766-47D7-99CF-2EEBC6C47F47}" name="Column589" dataCellStyle="Normal 2"/>
    <tableColumn id="605" xr3:uid="{6F09442F-4C74-4FAF-8A71-91116566FEEC}" name="Column590" dataCellStyle="Normal 2"/>
    <tableColumn id="606" xr3:uid="{7AB390B1-D288-4735-BDAA-82A704E41777}" name="Column591" dataCellStyle="Normal 2"/>
    <tableColumn id="607" xr3:uid="{495CDB3A-4913-4FFC-8678-3CB9245F55AD}" name="Column592" dataCellStyle="Normal 2"/>
    <tableColumn id="608" xr3:uid="{9C7FD3B8-4740-493F-AF9E-95D0BA34DA15}" name="Column593" dataCellStyle="Normal 2"/>
    <tableColumn id="609" xr3:uid="{E4EDD6B8-C5CB-434D-9F71-F53CD2457015}" name="Column594" dataCellStyle="Normal 2"/>
    <tableColumn id="610" xr3:uid="{CBB07E97-67DE-4605-98FB-96194273F25C}" name="Column595" dataCellStyle="Normal 2"/>
    <tableColumn id="611" xr3:uid="{731CBF41-FB04-48FD-A784-5621FCD1E77C}" name="Column596" dataCellStyle="Normal 2"/>
    <tableColumn id="612" xr3:uid="{D3B964E1-F41D-451D-9CAD-A84A66E3745A}" name="Column597" dataCellStyle="Normal 2"/>
    <tableColumn id="613" xr3:uid="{1B3F67B3-C049-471E-9B69-6885C007B5E3}" name="Column598" dataCellStyle="Normal 2"/>
    <tableColumn id="614" xr3:uid="{81716F79-6C0B-4E30-86D4-B668F3F778FE}" name="Column599" dataCellStyle="Normal 2"/>
    <tableColumn id="615" xr3:uid="{59AA6E69-55CC-4DB6-A4C2-FFE981794E78}" name="Column600" dataCellStyle="Normal 2"/>
    <tableColumn id="616" xr3:uid="{16071DD4-894D-4CA1-922F-395DCD7AC55B}" name="Column601" dataCellStyle="Normal 2"/>
    <tableColumn id="617" xr3:uid="{86081D9E-056F-4EAE-B67B-3D95044F0CAB}" name="Column602" dataCellStyle="Normal 2"/>
    <tableColumn id="618" xr3:uid="{FCFB0667-9336-43A4-B8FE-8B03DE7B2663}" name="Column603" dataCellStyle="Normal 2"/>
    <tableColumn id="619" xr3:uid="{A9A0B5BA-F3A2-4441-8428-7FC305418DA4}" name="Column604" dataCellStyle="Normal 2"/>
    <tableColumn id="620" xr3:uid="{49C892BC-C342-4377-94E2-0EE8A4F137B8}" name="Column605" dataCellStyle="Normal 2"/>
    <tableColumn id="621" xr3:uid="{C6A1767F-98C0-438A-B9F1-72DA4825F435}" name="Column606" dataCellStyle="Normal 2"/>
    <tableColumn id="622" xr3:uid="{DDCFB9EA-6DCF-401E-A7D4-4A0732890559}" name="Column607" dataCellStyle="Normal 2"/>
    <tableColumn id="623" xr3:uid="{3A55A247-1957-4095-A9F6-75B5CBE90E6A}" name="Column608" dataCellStyle="Normal 2"/>
    <tableColumn id="624" xr3:uid="{0BBF8679-1B27-4313-AEEF-74AE60C6D3CC}" name="Column609" dataCellStyle="Normal 2"/>
    <tableColumn id="625" xr3:uid="{D2B7ED5F-70F2-4F63-8578-2D26208B9ACD}" name="Column610" dataCellStyle="Normal 2"/>
    <tableColumn id="626" xr3:uid="{30033FE2-1460-41F1-91A7-08F1B156B06A}" name="Column611" dataCellStyle="Normal 2"/>
    <tableColumn id="627" xr3:uid="{F4494439-59F8-4799-A2AB-EF711555B420}" name="Column612" dataCellStyle="Normal 2"/>
    <tableColumn id="628" xr3:uid="{0BE47E46-029E-4C16-A537-B4236923AE67}" name="Column613" dataCellStyle="Normal 2"/>
    <tableColumn id="629" xr3:uid="{500DA103-B548-4C2D-A241-71927B28F67C}" name="Column614" dataCellStyle="Normal 2"/>
    <tableColumn id="630" xr3:uid="{6F659B63-90DB-4688-829C-EE0C3091FB93}" name="Column615" dataCellStyle="Normal 2"/>
    <tableColumn id="631" xr3:uid="{20FE9301-17CF-46CD-8981-B5F38A542581}" name="Column616" dataCellStyle="Normal 2"/>
    <tableColumn id="632" xr3:uid="{1E7F370C-D5BE-4495-A41E-7AABAE2819AA}" name="Column617" dataCellStyle="Normal 2"/>
    <tableColumn id="633" xr3:uid="{CC099B1D-743E-44CF-B39D-0270BDFF549E}" name="Column618" dataCellStyle="Normal 2"/>
    <tableColumn id="634" xr3:uid="{F8591992-ED1C-4CF4-9627-C96A6B1CDB58}" name="Column619" dataCellStyle="Normal 2"/>
    <tableColumn id="635" xr3:uid="{587809ED-47AF-47F2-9867-720F4017D472}" name="Column620" dataCellStyle="Normal 2"/>
    <tableColumn id="636" xr3:uid="{4D7553C4-CD18-4B78-9C19-D1D65B9BCA5F}" name="Column621" dataCellStyle="Normal 2"/>
    <tableColumn id="637" xr3:uid="{242722BF-4E98-4CAC-A1FD-9DBCB0878F3D}" name="Column622" dataCellStyle="Normal 2"/>
    <tableColumn id="638" xr3:uid="{E2F6F0F5-F01C-4F72-9389-2F43F3ACB2B0}" name="Column623" dataCellStyle="Normal 2"/>
    <tableColumn id="639" xr3:uid="{518DE291-E74B-46C4-B98D-FFA687A65B87}" name="Column624" dataCellStyle="Normal 2"/>
    <tableColumn id="640" xr3:uid="{2250EEE4-E94E-4B8C-B82B-BDF18D936B1C}" name="Column625" dataCellStyle="Normal 2"/>
    <tableColumn id="641" xr3:uid="{0D84C582-07E8-4313-B7E6-41EC12BBB0A3}" name="Column626" dataCellStyle="Normal 2"/>
    <tableColumn id="642" xr3:uid="{9C48F5BB-9055-408D-9457-8C04C12A1F8F}" name="Column627" dataCellStyle="Normal 2"/>
    <tableColumn id="643" xr3:uid="{39108CA0-5E37-4686-9529-BD2997C6EA7E}" name="Column628" dataCellStyle="Normal 2"/>
    <tableColumn id="644" xr3:uid="{53BEDF60-B421-47AE-AD72-E3DA9C82FD6A}" name="Column629" dataCellStyle="Normal 2"/>
    <tableColumn id="645" xr3:uid="{EA3E104A-B835-47A3-9486-B394EF934328}" name="Column630" dataCellStyle="Normal 2"/>
    <tableColumn id="646" xr3:uid="{19CA5683-9FFC-4E52-896A-87AF5E399D8C}" name="Column631" dataCellStyle="Normal 2"/>
    <tableColumn id="647" xr3:uid="{AF3DA0C6-E448-42C2-A9C8-2F71ECB9CD98}" name="Column632" dataCellStyle="Normal 2"/>
    <tableColumn id="648" xr3:uid="{397F83D9-F053-4CC2-BEC7-1D67FF1E88AC}" name="Column633" dataCellStyle="Normal 2"/>
    <tableColumn id="649" xr3:uid="{CBF94322-2B2B-4613-8501-71E5BDE120BD}" name="Column634" dataCellStyle="Normal 2"/>
    <tableColumn id="650" xr3:uid="{5F373A31-9626-420B-91E4-4362822269C6}" name="Column635" dataCellStyle="Normal 2"/>
    <tableColumn id="651" xr3:uid="{DB91887D-EDA3-4BA8-8D2B-9A6BF5D69CFE}" name="Column636" dataCellStyle="Normal 2"/>
    <tableColumn id="652" xr3:uid="{C57CE200-891B-424E-BFE0-E7AF42BC4BEF}" name="Column637" dataCellStyle="Normal 2"/>
    <tableColumn id="653" xr3:uid="{79445D47-0D8F-4B7E-84D8-70E7A3C0DD82}" name="Column638" dataCellStyle="Normal 2"/>
    <tableColumn id="654" xr3:uid="{32B8A34F-6CD8-4231-A3F7-BCFC71229B06}" name="Column639" dataCellStyle="Normal 2"/>
    <tableColumn id="655" xr3:uid="{8A10116A-B61F-46FA-B13C-03C82F2A82E7}" name="Column640" dataCellStyle="Normal 2"/>
    <tableColumn id="656" xr3:uid="{EACD1FB1-376E-43E4-BF1D-49C4F929CDFD}" name="Column641" dataCellStyle="Normal 2"/>
    <tableColumn id="657" xr3:uid="{0860634F-CA48-436C-AD53-4DAB09275EAD}" name="Column642" dataCellStyle="Normal 2"/>
    <tableColumn id="658" xr3:uid="{AA974E95-A362-4559-A95A-785B7582DAD1}" name="Column643" dataCellStyle="Normal 2"/>
    <tableColumn id="659" xr3:uid="{FE56AAC1-C85E-4941-AB57-64A7BF3DEDC2}" name="Column644" dataCellStyle="Normal 2"/>
    <tableColumn id="660" xr3:uid="{285459CD-337D-4BCA-8E1B-76021FA9C15A}" name="Column645" dataCellStyle="Normal 2"/>
    <tableColumn id="661" xr3:uid="{824851B0-4BDE-436C-B212-A0D911D3FCBF}" name="Column646" dataCellStyle="Normal 2"/>
    <tableColumn id="662" xr3:uid="{9CBAFF31-3A09-4995-9333-FE2556E5955F}" name="Column647" dataCellStyle="Normal 2"/>
    <tableColumn id="663" xr3:uid="{EE1EA158-F3AB-4063-8725-5A05F774B1C4}" name="Column648" dataCellStyle="Normal 2"/>
    <tableColumn id="664" xr3:uid="{85133BA4-61C4-4B4B-80C8-BA25B2417289}" name="Column649" dataCellStyle="Normal 2"/>
    <tableColumn id="665" xr3:uid="{369AB122-8851-45F0-A671-090D8DE42274}" name="Column650" dataCellStyle="Normal 2"/>
    <tableColumn id="666" xr3:uid="{F75DFBD3-3D72-40E1-B614-B136324FCE6E}" name="Column651" dataCellStyle="Normal 2"/>
    <tableColumn id="667" xr3:uid="{BE6F7063-B5D1-4070-A1C5-4FD3104B445E}" name="Column652" dataCellStyle="Normal 2"/>
    <tableColumn id="668" xr3:uid="{23675C9A-07DB-4756-AC31-9317A127F05C}" name="Column653" dataCellStyle="Normal 2"/>
    <tableColumn id="669" xr3:uid="{75FCB440-1494-402D-A755-9211359DEA2A}" name="Column654" dataCellStyle="Normal 2"/>
    <tableColumn id="670" xr3:uid="{62E04DFF-6328-4572-ABA9-F99B25F13018}" name="Column655" dataCellStyle="Normal 2"/>
    <tableColumn id="671" xr3:uid="{C8E9133B-E9A0-47A2-BD5F-513C23DCFD05}" name="Column656" dataCellStyle="Normal 2"/>
    <tableColumn id="672" xr3:uid="{82A2991B-EA6A-402C-B0FE-27CBB918EC97}" name="Column657" dataCellStyle="Normal 2"/>
    <tableColumn id="673" xr3:uid="{88546A17-C0A7-48AB-9AD1-0CA3E76B25E6}" name="Column658" dataCellStyle="Normal 2"/>
    <tableColumn id="674" xr3:uid="{99793758-B920-4649-B29F-8A3563C53B76}" name="Column659" dataCellStyle="Normal 2"/>
    <tableColumn id="675" xr3:uid="{9E2F2419-1B77-4CC1-8385-A4F78AC0A033}" name="Column660" dataCellStyle="Normal 2"/>
    <tableColumn id="676" xr3:uid="{D15E16AC-ADFC-4596-9357-F12D65C0CB2C}" name="Column661" dataCellStyle="Normal 2"/>
    <tableColumn id="677" xr3:uid="{1D89EFEA-08E8-4A54-A0B2-0F5107D0563E}" name="Column662" dataCellStyle="Normal 2"/>
    <tableColumn id="678" xr3:uid="{E2082E6E-F635-4DFC-BE12-5D4EDBF2E010}" name="Column663" dataCellStyle="Normal 2"/>
    <tableColumn id="679" xr3:uid="{FB8F88AC-7D65-45EE-B3A5-DF5D3E000635}" name="Column664" dataCellStyle="Normal 2"/>
    <tableColumn id="680" xr3:uid="{847B182D-4339-4670-8B5A-63E0032D3AF2}" name="Column665" dataCellStyle="Normal 2"/>
    <tableColumn id="681" xr3:uid="{AC95C374-580A-48DD-ACB0-E371D4153CA3}" name="Column666" dataCellStyle="Normal 2"/>
    <tableColumn id="682" xr3:uid="{47D26F90-12BF-4832-A439-CD9D0E167C67}" name="Column667" dataCellStyle="Normal 2"/>
    <tableColumn id="683" xr3:uid="{B0E92254-B543-4948-9FCF-47AF68E45D9A}" name="Column668" dataCellStyle="Normal 2"/>
    <tableColumn id="684" xr3:uid="{8A5338D0-E2C9-4E14-8A28-A8D9294CA610}" name="Column669" dataCellStyle="Normal 2"/>
    <tableColumn id="685" xr3:uid="{2BAB4716-CC71-4BD2-8465-C7FE65C20BC8}" name="Column670" dataCellStyle="Normal 2"/>
    <tableColumn id="686" xr3:uid="{2182C1DB-F882-4C4E-8140-9B256F14246B}" name="Column671" dataCellStyle="Normal 2"/>
    <tableColumn id="687" xr3:uid="{63B01090-7879-431B-BFE3-3FE7A4351934}" name="Column672" dataCellStyle="Normal 2"/>
    <tableColumn id="688" xr3:uid="{0B846DBB-05D9-4982-A26C-76A7B337B1A3}" name="Column673" dataCellStyle="Normal 2"/>
    <tableColumn id="689" xr3:uid="{4C34202C-B188-4273-82D4-487ECBD81853}" name="Column674" dataCellStyle="Normal 2"/>
    <tableColumn id="690" xr3:uid="{26318760-53D1-49CA-9CC0-CE0FFAC667C5}" name="Column675" dataCellStyle="Normal 2"/>
    <tableColumn id="691" xr3:uid="{CF6405CD-F1FB-433F-BE99-BA0C4CEF9C0D}" name="Column676" dataCellStyle="Normal 2"/>
    <tableColumn id="692" xr3:uid="{C20765E2-EC0A-418E-ACEB-B9F6189CBDEE}" name="Column677" dataCellStyle="Normal 2"/>
    <tableColumn id="693" xr3:uid="{2A0AD9EB-08C9-4C6B-8E1C-0B35B4FCE6FD}" name="Column678" dataCellStyle="Normal 2"/>
    <tableColumn id="694" xr3:uid="{A0AF4CEB-C432-4197-BCAE-1D230D6BB2EC}" name="Column679" dataCellStyle="Normal 2"/>
    <tableColumn id="695" xr3:uid="{B0264D1C-AD95-4F0A-9092-A3B03C7AD32D}" name="Column680" dataCellStyle="Normal 2"/>
    <tableColumn id="696" xr3:uid="{A3242ACA-56F1-4724-AFED-0612FCD3CBA6}" name="Column681" dataCellStyle="Normal 2"/>
    <tableColumn id="697" xr3:uid="{D4EFDE1A-3458-4BB1-8EA2-C24AB42B6322}" name="Column682" dataCellStyle="Normal 2"/>
    <tableColumn id="698" xr3:uid="{27F655BC-3152-4C23-8422-11E541F7DCFF}" name="Column683" dataCellStyle="Normal 2"/>
    <tableColumn id="699" xr3:uid="{EF09BB0C-0E1C-47C7-8AD5-B1A810AF13CF}" name="Column684" dataCellStyle="Normal 2"/>
    <tableColumn id="700" xr3:uid="{8D359E1F-38CC-488C-BD13-FED5C81E7122}" name="Column685" dataCellStyle="Normal 2"/>
    <tableColumn id="701" xr3:uid="{CD3F7B48-4A65-44D2-A4AC-D1EEA0F26B01}" name="Column686" dataCellStyle="Normal 2"/>
    <tableColumn id="702" xr3:uid="{550ABD50-7029-41AA-B8EB-B64CC9D222CE}" name="Column687" dataCellStyle="Normal 2"/>
    <tableColumn id="703" xr3:uid="{822D4BBF-2B30-4B84-9170-E9194C805083}" name="Column688" dataCellStyle="Normal 2"/>
    <tableColumn id="704" xr3:uid="{8C4C3F74-EAAE-464B-8996-BAF7523EEAB5}" name="Column689" dataCellStyle="Normal 2"/>
    <tableColumn id="705" xr3:uid="{02EF9F4B-8393-40ED-BF22-3DE19960CA09}" name="Column690" dataCellStyle="Normal 2"/>
    <tableColumn id="706" xr3:uid="{D8250ACA-0459-4793-8F82-EF519D87C76A}" name="Column691" dataCellStyle="Normal 2"/>
    <tableColumn id="707" xr3:uid="{42A737CE-A085-4345-A30E-2C2B5AFF0BB2}" name="Column692" dataCellStyle="Normal 2"/>
    <tableColumn id="708" xr3:uid="{D2F6D811-E549-494E-968F-B86D8322BCC3}" name="Column693" dataCellStyle="Normal 2"/>
    <tableColumn id="709" xr3:uid="{69897CB3-C372-4A5E-BE8B-A00340223201}" name="Column694" dataCellStyle="Normal 2"/>
    <tableColumn id="710" xr3:uid="{6D2E5A0D-E1A0-4484-B71D-B747527B275F}" name="Column695" dataCellStyle="Normal 2"/>
    <tableColumn id="711" xr3:uid="{1FDB54F3-0AB4-4C00-A6FC-E9167A21DC36}" name="Column696" dataCellStyle="Normal 2"/>
    <tableColumn id="712" xr3:uid="{ECDB3BCB-7728-4551-AAB9-CFCFF3BD7747}" name="Column697" dataCellStyle="Normal 2"/>
    <tableColumn id="713" xr3:uid="{81F3515F-D92C-4C4D-B96F-3FFCC07DD2B7}" name="Column698" dataCellStyle="Normal 2"/>
    <tableColumn id="714" xr3:uid="{A1293FA7-0B08-447A-87BD-61DDE31991ED}" name="Column699" dataCellStyle="Normal 2"/>
    <tableColumn id="715" xr3:uid="{4FC3C2D7-C1EF-431E-9F4E-B653630BCB31}" name="Column700" dataCellStyle="Normal 2"/>
    <tableColumn id="716" xr3:uid="{F7EB077D-12D4-4E6D-9D14-BA721B572C63}" name="Column701" dataCellStyle="Normal 2"/>
    <tableColumn id="717" xr3:uid="{1C91DD08-EEC3-4561-B900-3B6397A38973}" name="Column702" dataCellStyle="Normal 2"/>
    <tableColumn id="718" xr3:uid="{DAF2B510-DE0F-4C39-95BB-08DD745D7470}" name="Column703" dataCellStyle="Normal 2"/>
    <tableColumn id="719" xr3:uid="{C81C23A6-F2FD-4440-AFD1-439BD707FF72}" name="Column704" dataCellStyle="Normal 2"/>
    <tableColumn id="720" xr3:uid="{806364C5-087B-476B-92E8-9176098C3785}" name="Column705" dataCellStyle="Normal 2"/>
    <tableColumn id="721" xr3:uid="{0F5C1F62-1E50-45D8-8BE4-31CD5BA0D86E}" name="Column706" dataCellStyle="Normal 2"/>
    <tableColumn id="722" xr3:uid="{5A3EE960-3BA8-44E3-A861-CB9262196320}" name="Column707" dataCellStyle="Normal 2"/>
    <tableColumn id="723" xr3:uid="{0D69AE38-6D97-4220-ADF8-67C702775471}" name="Column708" dataCellStyle="Normal 2"/>
    <tableColumn id="724" xr3:uid="{25456FC4-3071-4C85-816A-43A4514DF206}" name="Column709" dataCellStyle="Normal 2"/>
    <tableColumn id="725" xr3:uid="{248514E9-CCFC-4827-9EFC-574FFC931586}" name="Column710" dataCellStyle="Normal 2"/>
    <tableColumn id="726" xr3:uid="{9DBAA477-F242-47F4-B0A4-C1198A56C24F}" name="Column711" dataCellStyle="Normal 2"/>
    <tableColumn id="727" xr3:uid="{2A2C2ECE-C033-4C2A-B924-A115E660E76B}" name="Column712" dataCellStyle="Normal 2"/>
    <tableColumn id="728" xr3:uid="{AD17FBBF-5172-4576-BDFC-F73B3CCEF6EA}" name="Column713" dataCellStyle="Normal 2"/>
    <tableColumn id="729" xr3:uid="{A269E58E-0A0C-4EA9-AB3B-1B8DF4CF9477}" name="Column714" dataCellStyle="Normal 2"/>
    <tableColumn id="730" xr3:uid="{AEE4D677-DF5A-42CE-8F2F-19038743DA70}" name="Column715" dataCellStyle="Normal 2"/>
    <tableColumn id="731" xr3:uid="{BF21F8CC-6DF7-462E-9148-2F0FAC9979B8}" name="Column716" dataCellStyle="Normal 2"/>
    <tableColumn id="732" xr3:uid="{DC17947E-6214-4F77-91C5-50BDFF20C50F}" name="Column717" dataCellStyle="Normal 2"/>
    <tableColumn id="733" xr3:uid="{67BBB4A9-BAFF-436A-A34C-B493F39A9766}" name="Column718" dataCellStyle="Normal 2"/>
    <tableColumn id="734" xr3:uid="{E3C3581C-9DB7-4BB4-8A83-45C91EDE1DFE}" name="Column719" dataCellStyle="Normal 2"/>
    <tableColumn id="735" xr3:uid="{4398CCA2-2785-4689-8EA3-C6FE2B916599}" name="Column720" dataCellStyle="Normal 2"/>
    <tableColumn id="736" xr3:uid="{E213E440-CD71-4D96-BBE4-67E9D0E2E640}" name="Column721" dataCellStyle="Normal 2"/>
    <tableColumn id="737" xr3:uid="{CED59FDD-DF29-4C2C-908B-C973590C3DA9}" name="Column722" dataCellStyle="Normal 2"/>
    <tableColumn id="738" xr3:uid="{A58D007C-EB84-4447-AC3A-DD17531837A2}" name="Column723" dataCellStyle="Normal 2"/>
    <tableColumn id="739" xr3:uid="{401AA63B-4724-4A40-9F60-6A1D7D652391}" name="Column724" dataCellStyle="Normal 2"/>
    <tableColumn id="740" xr3:uid="{28476E99-239B-4288-9AF1-14B00F446FF3}" name="Column725" dataCellStyle="Normal 2"/>
    <tableColumn id="741" xr3:uid="{10E4CC68-A6ED-4CA0-9216-1C552BF7BA27}" name="Column726" dataCellStyle="Normal 2"/>
    <tableColumn id="742" xr3:uid="{538CE61A-646D-49E3-A80E-309513488FCC}" name="Column727" dataCellStyle="Normal 2"/>
    <tableColumn id="743" xr3:uid="{237D4B07-0536-44C1-901A-AAA370E76369}" name="Column728" dataCellStyle="Normal 2"/>
    <tableColumn id="744" xr3:uid="{284B2D9F-C084-41A2-A0D1-3A7B797990EC}" name="Column729" dataCellStyle="Normal 2"/>
    <tableColumn id="745" xr3:uid="{50A33CF1-E166-49E7-80F7-A956EC34431F}" name="Column730" dataCellStyle="Normal 2"/>
    <tableColumn id="746" xr3:uid="{5FB6400F-C53A-44E7-91C9-34D44ADF53F1}" name="Column731" dataCellStyle="Normal 2"/>
    <tableColumn id="747" xr3:uid="{36844CED-3C79-4E51-91FA-8E58B0AA8FF2}" name="Column732" dataCellStyle="Normal 2"/>
    <tableColumn id="748" xr3:uid="{F7FEF812-B06E-43C9-B918-67371CF8122F}" name="Column733" dataCellStyle="Normal 2"/>
    <tableColumn id="749" xr3:uid="{C4E4245F-2F0B-4D47-8B13-BBFB2DC457A8}" name="Column734" dataCellStyle="Normal 2"/>
    <tableColumn id="750" xr3:uid="{69C768B4-1A98-4FE5-810F-E8390D82758D}" name="Column735" dataCellStyle="Normal 2"/>
    <tableColumn id="751" xr3:uid="{0696CA3C-664F-44A9-93FD-77070B2E2549}" name="Column736" dataCellStyle="Normal 2"/>
    <tableColumn id="752" xr3:uid="{A4973775-86FD-4E0A-9FB9-5B6A5D2E5CCD}" name="Column737" dataCellStyle="Normal 2"/>
    <tableColumn id="753" xr3:uid="{6A400CA9-7DA5-448C-8789-325F1ABED20A}" name="Column738" dataCellStyle="Normal 2"/>
    <tableColumn id="754" xr3:uid="{B60B26B8-5537-4597-B186-23FDD798482B}" name="Column739" dataCellStyle="Normal 2"/>
    <tableColumn id="755" xr3:uid="{9AC8CDB0-8EE8-4948-8844-08A01099DAA8}" name="Column740" dataCellStyle="Normal 2"/>
    <tableColumn id="756" xr3:uid="{A0410BEA-A6C0-4DE2-B05C-220B68A16F44}" name="Column741" dataCellStyle="Normal 2"/>
    <tableColumn id="757" xr3:uid="{C3F31E1E-459A-4406-8058-CD28A4B5793D}" name="Column742" dataCellStyle="Normal 2"/>
    <tableColumn id="758" xr3:uid="{DC9D972F-CD2A-4383-B164-581A427249E3}" name="Column743" dataCellStyle="Normal 2"/>
    <tableColumn id="759" xr3:uid="{256EC932-6DDC-42EF-A1B5-1E07D891FD27}" name="Column744" dataCellStyle="Normal 2"/>
    <tableColumn id="760" xr3:uid="{80ABBFCE-4D54-42EC-8711-6EED52E8F6A1}" name="Column745" dataCellStyle="Normal 2"/>
    <tableColumn id="761" xr3:uid="{7C247296-8B49-4E36-A93C-FAD8C85A7DFB}" name="Column746" dataCellStyle="Normal 2"/>
    <tableColumn id="762" xr3:uid="{F37F522A-1BD9-4603-BFC4-EA3FA7C79BFE}" name="Column747" dataCellStyle="Normal 2"/>
    <tableColumn id="763" xr3:uid="{C9A6154F-BF69-4E0D-A9AD-B9D199146D66}" name="Column748" dataCellStyle="Normal 2"/>
    <tableColumn id="764" xr3:uid="{413C46C2-4C07-42B3-8503-6DD431E97524}" name="Column749" dataCellStyle="Normal 2"/>
    <tableColumn id="765" xr3:uid="{A9DAA1A0-3A22-4288-8969-59A8628E96BE}" name="Column750" dataCellStyle="Normal 2"/>
    <tableColumn id="766" xr3:uid="{D734DF24-79B5-4D53-B520-A9CC36F623AF}" name="Column751" dataCellStyle="Normal 2"/>
    <tableColumn id="767" xr3:uid="{86ABD792-1649-47C0-A67B-95A2836FCFF8}" name="Column752" dataCellStyle="Normal 2"/>
    <tableColumn id="768" xr3:uid="{4A111905-CA2C-4D11-AE92-9EBA4F75251A}" name="Column753" dataCellStyle="Normal 2"/>
    <tableColumn id="769" xr3:uid="{AADF050B-C5AD-4CED-9508-952473CA83EB}" name="Column754" dataCellStyle="Normal 2"/>
    <tableColumn id="770" xr3:uid="{D20F6FAA-DA7F-4E70-9363-A532D0A4B6AF}" name="Column755" dataCellStyle="Normal 2"/>
    <tableColumn id="771" xr3:uid="{1347FC5D-EE54-495F-979E-F8938133A8F3}" name="Column756" dataCellStyle="Normal 2"/>
    <tableColumn id="772" xr3:uid="{6DDDFAEB-BF67-4757-A1E5-C4582EC0035B}" name="Column757" dataCellStyle="Normal 2"/>
    <tableColumn id="773" xr3:uid="{FDCED3A5-4098-4E25-94F2-F61F79E9C846}" name="Column758" dataCellStyle="Normal 2"/>
    <tableColumn id="774" xr3:uid="{4A3D9E67-13E6-4EDA-A7A0-A12C75BCC3BD}" name="Column759" dataCellStyle="Normal 2"/>
    <tableColumn id="775" xr3:uid="{F27F0F06-3A82-404F-B7D7-216A2EBA90CB}" name="Column760" dataCellStyle="Normal 2"/>
    <tableColumn id="776" xr3:uid="{F8A6AA63-0A43-48FE-9C8C-612E0D2B5CF5}" name="Column761" dataCellStyle="Normal 2"/>
    <tableColumn id="777" xr3:uid="{A0F5E6CB-96F3-4900-961B-EB375626354B}" name="Column762" dataCellStyle="Normal 2"/>
    <tableColumn id="778" xr3:uid="{362082EE-097B-44F2-AB59-08B89F9F1708}" name="Column763" dataCellStyle="Normal 2"/>
    <tableColumn id="779" xr3:uid="{C8A6EDA0-F8F9-4016-804C-DB90497AA0E5}" name="Column764" dataCellStyle="Normal 2"/>
    <tableColumn id="780" xr3:uid="{31852593-4C45-4E40-A77D-F71DC53AE39F}" name="Column765" dataCellStyle="Normal 2"/>
    <tableColumn id="781" xr3:uid="{AD609D4B-EF2A-497D-9619-7B825B6B1982}" name="Column766" dataCellStyle="Normal 2"/>
    <tableColumn id="782" xr3:uid="{3B5B8A6A-A0FB-45B0-8493-5B63F94CF163}" name="Column767" dataCellStyle="Normal 2"/>
    <tableColumn id="783" xr3:uid="{07595622-4734-4375-A3ED-91567BABA273}" name="Column768" dataCellStyle="Normal 2"/>
    <tableColumn id="784" xr3:uid="{13B94833-B4C7-4DF2-ADA7-C972DAAF2A2D}" name="Column769" dataCellStyle="Normal 2"/>
    <tableColumn id="785" xr3:uid="{E10E0C17-858C-493F-8D2A-1CBD3300EEB0}" name="Column770" dataCellStyle="Normal 2"/>
    <tableColumn id="786" xr3:uid="{4FD39752-750D-4925-8B8E-502F3793E08C}" name="Column771" dataCellStyle="Normal 2"/>
    <tableColumn id="787" xr3:uid="{3AF5DFF8-82BC-4EAB-B21B-0D4F5D46843D}" name="Column772" dataCellStyle="Normal 2"/>
    <tableColumn id="788" xr3:uid="{1CED3DCB-7C68-4CBC-B681-DC36EFF3AEDB}" name="Column773" dataCellStyle="Normal 2"/>
    <tableColumn id="789" xr3:uid="{218E5534-CD53-4862-9BE2-57DB47E9C879}" name="Column774" dataCellStyle="Normal 2"/>
    <tableColumn id="790" xr3:uid="{8DD45057-581E-4CE3-ADB7-05DBDDE62B57}" name="Column775" dataCellStyle="Normal 2"/>
    <tableColumn id="791" xr3:uid="{54B7AFE3-3F39-4304-B342-8FC4FF2C54C7}" name="Column776" dataCellStyle="Normal 2"/>
    <tableColumn id="792" xr3:uid="{E9C8B364-683A-45D6-8450-A54EC84FD6EB}" name="Column777" dataCellStyle="Normal 2"/>
    <tableColumn id="793" xr3:uid="{DE44E579-C05E-49B9-A660-3F3B516896A6}" name="Column778" dataCellStyle="Normal 2"/>
    <tableColumn id="794" xr3:uid="{F8F69778-CBA6-4E3A-862B-B799C77D1E15}" name="Column779" dataCellStyle="Normal 2"/>
    <tableColumn id="795" xr3:uid="{2F1AB4A7-29BE-4FA3-A503-97BFF2357EDD}" name="Column780" dataCellStyle="Normal 2"/>
    <tableColumn id="796" xr3:uid="{55508951-B62B-4404-BEFA-E71CEFF91584}" name="Column781" dataCellStyle="Normal 2"/>
    <tableColumn id="797" xr3:uid="{35E5B00F-83F1-4D4C-9358-3876EDB8D37D}" name="Column782" dataCellStyle="Normal 2"/>
    <tableColumn id="798" xr3:uid="{0323E474-792E-4755-A0C0-065D7E8286FD}" name="Column783" dataCellStyle="Normal 2"/>
    <tableColumn id="799" xr3:uid="{D10B3DDB-46ED-4811-A67B-22CC8B7E7FE5}" name="Column784" dataCellStyle="Normal 2"/>
    <tableColumn id="800" xr3:uid="{E55900B4-C7C6-4A8D-8152-0C01ACB2DB65}" name="Column785" dataCellStyle="Normal 2"/>
    <tableColumn id="801" xr3:uid="{DF4410DB-7043-4A8F-914C-E7A25097EF69}" name="Column786" dataCellStyle="Normal 2"/>
    <tableColumn id="802" xr3:uid="{52CBEBD5-9162-41A2-82E9-C4698EC5FF99}" name="Column787" dataCellStyle="Normal 2"/>
    <tableColumn id="803" xr3:uid="{1E0941DB-A58C-4338-8A85-33F3D8A372E5}" name="Column788" dataCellStyle="Normal 2"/>
    <tableColumn id="804" xr3:uid="{06738EA2-051F-434E-A21C-EA5B1B65CB9A}" name="Column789" dataCellStyle="Normal 2"/>
    <tableColumn id="805" xr3:uid="{A6751A39-F894-432C-B0CE-6547B1E18418}" name="Column790" dataCellStyle="Normal 2"/>
    <tableColumn id="806" xr3:uid="{BB112018-8659-44FD-8D96-E25A947AB22D}" name="Column791" dataCellStyle="Normal 2"/>
    <tableColumn id="807" xr3:uid="{F9BCBB92-412E-44F2-B3A4-99415C2148E2}" name="Column792" dataCellStyle="Normal 2"/>
    <tableColumn id="808" xr3:uid="{82B3A1B0-2405-4728-BE5C-B1DD25AAAF06}" name="Column793" dataCellStyle="Normal 2"/>
    <tableColumn id="809" xr3:uid="{EADA871E-3CDF-47A8-A9FE-0738806E5D7E}" name="Column794" dataCellStyle="Normal 2"/>
    <tableColumn id="810" xr3:uid="{060AE49E-8984-4ADA-858E-BEE1F011BB69}" name="Column795" dataCellStyle="Normal 2"/>
    <tableColumn id="811" xr3:uid="{EEFA36F4-4B03-4B09-8AD8-FD0F1601E413}" name="Column796" dataCellStyle="Normal 2"/>
    <tableColumn id="812" xr3:uid="{DAB539C4-5463-4457-BE48-5A33126B750D}" name="Column797" dataCellStyle="Normal 2"/>
    <tableColumn id="813" xr3:uid="{800171B6-DFD3-4144-B492-D7F1C4FEF8C4}" name="Column798" dataCellStyle="Normal 2"/>
    <tableColumn id="814" xr3:uid="{4E5B351E-29A3-45BA-8185-F6BE374D1629}" name="Column799" dataCellStyle="Normal 2"/>
    <tableColumn id="815" xr3:uid="{71F4246D-A24B-4AB2-88D0-1033EE073FA7}" name="Column800" dataCellStyle="Normal 2"/>
    <tableColumn id="816" xr3:uid="{DFDF6F0F-CB7E-4215-A7B9-1E7C67E1CD9C}" name="Column801" dataCellStyle="Normal 2"/>
    <tableColumn id="817" xr3:uid="{9E9B88D3-C6C8-4EBC-B49C-A54769AC7D47}" name="Column802" dataCellStyle="Normal 2"/>
    <tableColumn id="818" xr3:uid="{9CB06A06-B6E3-4493-8AD1-E43E650C5251}" name="Column803" dataCellStyle="Normal 2"/>
    <tableColumn id="819" xr3:uid="{A1DBF013-697C-4E42-918B-7043A0F4C082}" name="Column804" dataCellStyle="Normal 2"/>
    <tableColumn id="820" xr3:uid="{2CF2FEB9-414D-464A-9EF3-0F84B6D39D71}" name="Column805" dataCellStyle="Normal 2"/>
    <tableColumn id="821" xr3:uid="{B96A4E60-0AC8-4E49-B18E-DF6C697F034E}" name="Column806" dataCellStyle="Normal 2"/>
    <tableColumn id="822" xr3:uid="{9CC13675-93A0-44C9-9A1A-A3D6CEC4616E}" name="Column807" dataCellStyle="Normal 2"/>
    <tableColumn id="823" xr3:uid="{AE336F6A-0841-49A1-BC66-4F1873EF826A}" name="Column808" dataCellStyle="Normal 2"/>
    <tableColumn id="824" xr3:uid="{85334267-E847-4DE7-A017-3D6FA91DCB30}" name="Column809" dataCellStyle="Normal 2"/>
    <tableColumn id="825" xr3:uid="{79123FEC-10C0-418A-80C9-0088F2AE04C7}" name="Column810" dataCellStyle="Normal 2"/>
    <tableColumn id="826" xr3:uid="{71D51515-A7E8-46A1-AC0D-13ECE358E319}" name="Column811" dataCellStyle="Normal 2"/>
    <tableColumn id="827" xr3:uid="{BF191028-C188-4887-8C53-B74BED3D43D7}" name="Column812" dataCellStyle="Normal 2"/>
    <tableColumn id="828" xr3:uid="{0135E0EA-EF3A-4691-A277-E50C64B63027}" name="Column813" dataCellStyle="Normal 2"/>
    <tableColumn id="829" xr3:uid="{BAD662BF-0575-441D-B7C5-E8346956D9CD}" name="Column814" dataCellStyle="Normal 2"/>
    <tableColumn id="830" xr3:uid="{273B3E6F-F248-45DD-B5FB-BD5A9A288947}" name="Column815" dataCellStyle="Normal 2"/>
    <tableColumn id="831" xr3:uid="{6DEAB80A-8736-4AC6-90CC-A14EE53199EA}" name="Column816" dataCellStyle="Normal 2"/>
    <tableColumn id="832" xr3:uid="{01563473-DECB-4150-BDE8-48A9FFE482D3}" name="Column817" dataCellStyle="Normal 2"/>
    <tableColumn id="833" xr3:uid="{30161172-4C65-4FE6-B37A-45BDEFB34B75}" name="Column818" dataCellStyle="Normal 2"/>
    <tableColumn id="834" xr3:uid="{D8F460D3-AC2A-43D2-A04F-4742D284159F}" name="Column819" dataCellStyle="Normal 2"/>
    <tableColumn id="835" xr3:uid="{309B6379-D6A1-4CA0-98DF-274EEE81CCEB}" name="Column820" dataCellStyle="Normal 2"/>
    <tableColumn id="836" xr3:uid="{2FFA0D38-7BD5-4A29-B363-737B0C354F6C}" name="Column821" dataCellStyle="Normal 2"/>
    <tableColumn id="837" xr3:uid="{A4701419-0ADA-44A3-8FD5-4E00BBE2E7E5}" name="Column822" dataCellStyle="Normal 2"/>
    <tableColumn id="838" xr3:uid="{D59D99DD-8FB3-4F7B-8158-B7118B7EF044}" name="Column823" dataCellStyle="Normal 2"/>
    <tableColumn id="839" xr3:uid="{CB58D6C7-5C47-4CC6-863B-AC15AEB879AD}" name="Column824" dataCellStyle="Normal 2"/>
    <tableColumn id="840" xr3:uid="{2B1C9C92-A706-4457-A345-A7C51DD456EF}" name="Column825" dataCellStyle="Normal 2"/>
    <tableColumn id="841" xr3:uid="{CC566D51-AD4E-4451-8849-124D753838D3}" name="Column826" dataCellStyle="Normal 2"/>
    <tableColumn id="842" xr3:uid="{03B7F621-947E-42D0-B46A-EE1AFC2CCA12}" name="Column827" dataCellStyle="Normal 2"/>
    <tableColumn id="843" xr3:uid="{82ED6F96-6736-4475-8FE4-E5EECFBB88A0}" name="Column828" dataCellStyle="Normal 2"/>
    <tableColumn id="844" xr3:uid="{AD8FEDA5-9897-4055-A2A3-9E929D7C3250}" name="Column829" dataCellStyle="Normal 2"/>
    <tableColumn id="845" xr3:uid="{EE25E265-E117-4F18-9685-BC2C4523CFAD}" name="Column830" dataCellStyle="Normal 2"/>
    <tableColumn id="846" xr3:uid="{6AF04B7C-D644-405C-8D95-15387DE46336}" name="Column831" dataCellStyle="Normal 2"/>
    <tableColumn id="847" xr3:uid="{AA404E58-E762-4529-9C60-AD8868A63531}" name="Column832" dataCellStyle="Normal 2"/>
    <tableColumn id="848" xr3:uid="{C047D0B7-A262-402B-B51D-D68207CEC403}" name="Column833" dataCellStyle="Normal 2"/>
    <tableColumn id="849" xr3:uid="{F43FC3F0-12BC-4AA4-84E1-FD407FEE2F83}" name="Column834" dataCellStyle="Normal 2"/>
    <tableColumn id="850" xr3:uid="{B124C80B-C3CD-4898-BA32-2E11AC72ECD9}" name="Column835" dataCellStyle="Normal 2"/>
    <tableColumn id="851" xr3:uid="{6B75198D-50D3-465F-9B2C-3D64B5101FE5}" name="Column836" dataCellStyle="Normal 2"/>
    <tableColumn id="852" xr3:uid="{B29EA596-1CFF-4A11-B174-E9774E812A40}" name="Column837" dataCellStyle="Normal 2"/>
    <tableColumn id="853" xr3:uid="{DA535172-1D41-4FFE-8E75-7BA25B329B6D}" name="Column838" dataCellStyle="Normal 2"/>
    <tableColumn id="854" xr3:uid="{2ECB103B-87C6-4CA0-97B6-70D53DF6DF39}" name="Column839" dataCellStyle="Normal 2"/>
    <tableColumn id="855" xr3:uid="{16FAC594-6C61-4097-81AA-E94ED1B4D90D}" name="Column840" dataCellStyle="Normal 2"/>
    <tableColumn id="856" xr3:uid="{ACC62427-E451-46A6-947E-7F7DA4915AD5}" name="Column841" dataCellStyle="Normal 2"/>
    <tableColumn id="857" xr3:uid="{E32EB29E-9536-443B-9ACF-97C27F3872C5}" name="Column842" dataCellStyle="Normal 2"/>
    <tableColumn id="858" xr3:uid="{1333C8E9-8AAA-42CE-A91D-6888D8613527}" name="Column843" dataCellStyle="Normal 2"/>
    <tableColumn id="859" xr3:uid="{301539E5-E2F7-4016-9762-A069803DC607}" name="Column844" dataCellStyle="Normal 2"/>
    <tableColumn id="860" xr3:uid="{FF9C53CA-2C91-4D82-88E9-6511E186A13A}" name="Column845" dataCellStyle="Normal 2"/>
    <tableColumn id="861" xr3:uid="{E247E093-51BF-4068-AB21-A3B8D68B8ED8}" name="Column846" dataCellStyle="Normal 2"/>
    <tableColumn id="862" xr3:uid="{3CB8ED36-3B64-4016-8AF6-7E461AFFC3BF}" name="Column847" dataCellStyle="Normal 2"/>
    <tableColumn id="863" xr3:uid="{401796C3-C09A-4A2F-BDD2-1AC409B821F0}" name="Column848" dataCellStyle="Normal 2"/>
    <tableColumn id="864" xr3:uid="{38B1AE43-6D90-40AE-9D92-39EAC39CE2FE}" name="Column849" dataCellStyle="Normal 2"/>
    <tableColumn id="865" xr3:uid="{FF97EC42-EF99-41F2-BDFB-53795CB17B52}" name="Column850" dataCellStyle="Normal 2"/>
    <tableColumn id="866" xr3:uid="{14983D26-7B64-40E4-BB23-4804B0817C6E}" name="Column851" dataCellStyle="Normal 2"/>
    <tableColumn id="867" xr3:uid="{72196754-69A7-4540-AEA1-8E1E92F50176}" name="Column852" dataCellStyle="Normal 2"/>
    <tableColumn id="868" xr3:uid="{E68A452E-9EB7-4527-9D47-BB9F723CD2FE}" name="Column853" dataCellStyle="Normal 2"/>
    <tableColumn id="869" xr3:uid="{24BDB279-4E14-4026-BED0-D6C11B9D9878}" name="Column854" dataCellStyle="Normal 2"/>
    <tableColumn id="870" xr3:uid="{FD0CFD42-D63E-4463-B2F5-3658DDD6780D}" name="Column855" dataCellStyle="Normal 2"/>
    <tableColumn id="871" xr3:uid="{BA6CC306-785D-4FE4-B493-E15A4A533727}" name="Column856" dataCellStyle="Normal 2"/>
    <tableColumn id="872" xr3:uid="{F7961A76-8C88-4284-8824-6CB0CEE6742D}" name="Column857" dataCellStyle="Normal 2"/>
    <tableColumn id="873" xr3:uid="{8C21F545-A5BC-4078-994A-107177F5094E}" name="Column858" dataCellStyle="Normal 2"/>
    <tableColumn id="874" xr3:uid="{3B95EA2D-6E36-4D2D-8C60-F1CFB96107EB}" name="Column859" dataCellStyle="Normal 2"/>
    <tableColumn id="875" xr3:uid="{1BA5C6C3-1FF3-4133-B2A2-BFFE2A233EE8}" name="Column860" dataCellStyle="Normal 2"/>
    <tableColumn id="876" xr3:uid="{D6AD9F0D-5D35-419E-A242-EE38EA0EDAEA}" name="Column861" dataCellStyle="Normal 2"/>
    <tableColumn id="877" xr3:uid="{68D65DAE-3EF3-4077-9D48-AB981588A2B3}" name="Column862" dataCellStyle="Normal 2"/>
    <tableColumn id="878" xr3:uid="{1963A400-0CF3-4D5A-A4A0-A840B7D501DD}" name="Column863" dataCellStyle="Normal 2"/>
    <tableColumn id="879" xr3:uid="{588842BB-B5CD-4667-9F71-153D153BFBCC}" name="Column864" dataCellStyle="Normal 2"/>
    <tableColumn id="880" xr3:uid="{4A271180-8CDA-48CF-890B-248CEC1C4D24}" name="Column865" dataCellStyle="Normal 2"/>
    <tableColumn id="881" xr3:uid="{9E57EB7D-0960-4C66-8732-699C0E58EE77}" name="Column866" dataCellStyle="Normal 2"/>
    <tableColumn id="882" xr3:uid="{D114321A-D5CE-4D40-80DD-D4ACD2C26BFB}" name="Column867" dataCellStyle="Normal 2"/>
    <tableColumn id="883" xr3:uid="{F557E11E-81E4-4385-AD65-D1F4F4F523FA}" name="Column868" dataCellStyle="Normal 2"/>
    <tableColumn id="884" xr3:uid="{CC9D488E-13B6-49A9-89A4-D777ED5C1FF8}" name="Column869" dataCellStyle="Normal 2"/>
    <tableColumn id="885" xr3:uid="{702078A2-C0CE-4D52-8F79-4942B42AD135}" name="Column870" dataCellStyle="Normal 2"/>
    <tableColumn id="886" xr3:uid="{155B896A-CD41-409E-98AA-56D8F1C68A50}" name="Column871" dataCellStyle="Normal 2"/>
    <tableColumn id="887" xr3:uid="{FB717AA2-7CB2-4582-9961-F3499BEFFFB2}" name="Column872" dataCellStyle="Normal 2"/>
    <tableColumn id="888" xr3:uid="{8EB637AB-4196-4B90-A702-0606E2FB7E78}" name="Column873" dataCellStyle="Normal 2"/>
    <tableColumn id="889" xr3:uid="{1FB32708-0AE9-4BED-8923-9D3BDA933EE3}" name="Column874" dataCellStyle="Normal 2"/>
    <tableColumn id="890" xr3:uid="{D8A102E5-5CA1-4ABF-8833-935BCAEA2D0A}" name="Column875" dataCellStyle="Normal 2"/>
    <tableColumn id="891" xr3:uid="{34A1E54E-4FDB-4B95-B4FD-37F43002CF9F}" name="Column876" dataCellStyle="Normal 2"/>
    <tableColumn id="892" xr3:uid="{C2EE57D3-A142-4E00-8EC2-914A374DB414}" name="Column877" dataCellStyle="Normal 2"/>
    <tableColumn id="893" xr3:uid="{D7F9744E-818B-4E5A-BA43-66938400A92E}" name="Column878" dataCellStyle="Normal 2"/>
    <tableColumn id="894" xr3:uid="{6CCAB79F-9705-4C7B-BA2D-992B47535E8D}" name="Column879" dataCellStyle="Normal 2"/>
    <tableColumn id="895" xr3:uid="{41D01E37-2DB6-4DF8-A287-4513FC9D05FA}" name="Column880" dataCellStyle="Normal 2"/>
    <tableColumn id="896" xr3:uid="{C4DCC8E2-AC7E-4227-8C39-378A139BFA96}" name="Column881" dataCellStyle="Normal 2"/>
    <tableColumn id="897" xr3:uid="{6A67C0B6-8510-45EE-AC92-E5577E96147C}" name="Column882" dataCellStyle="Normal 2"/>
    <tableColumn id="898" xr3:uid="{C7C93D33-DEC6-417C-BCD7-039A5ADA77C3}" name="Column883" dataCellStyle="Normal 2"/>
    <tableColumn id="899" xr3:uid="{D3D4595F-43DA-46D0-9F04-5D09BEF1F722}" name="Column884" dataCellStyle="Normal 2"/>
    <tableColumn id="900" xr3:uid="{9AB3EC98-F423-4E68-8927-9627F489FAFD}" name="Column885" dataCellStyle="Normal 2"/>
    <tableColumn id="901" xr3:uid="{38EF9B5A-3FCD-407F-B93D-7D0FAAF057FC}" name="Column886" dataCellStyle="Normal 2"/>
    <tableColumn id="902" xr3:uid="{F56C553C-A60E-471F-B5AF-E35F37C9363A}" name="Column887" dataCellStyle="Normal 2"/>
    <tableColumn id="903" xr3:uid="{733207F9-416D-498D-9A79-26CCE6F1443B}" name="Column888" dataCellStyle="Normal 2"/>
    <tableColumn id="904" xr3:uid="{557603AB-0FDA-43A6-BCE8-AABF40262CAA}" name="Column889" dataCellStyle="Normal 2"/>
    <tableColumn id="905" xr3:uid="{D77C0C4A-8850-4317-930B-1A3F5C4A6156}" name="Column890" dataCellStyle="Normal 2"/>
    <tableColumn id="906" xr3:uid="{04068280-1397-48BD-AE4D-A43680411E1A}" name="Column891" dataCellStyle="Normal 2"/>
    <tableColumn id="907" xr3:uid="{58495F58-420E-416D-91ED-C3E70DF3B18C}" name="Column892" dataCellStyle="Normal 2"/>
    <tableColumn id="908" xr3:uid="{7DE5A8E4-51C8-4B6A-BACE-0D8719E3CC8B}" name="Column893" dataCellStyle="Normal 2"/>
    <tableColumn id="909" xr3:uid="{D442F691-E438-48BE-B089-08CDF0881AC1}" name="Column894" dataCellStyle="Normal 2"/>
    <tableColumn id="910" xr3:uid="{B2BDB33F-3648-47FE-872C-8D32F774C501}" name="Column895" dataCellStyle="Normal 2"/>
    <tableColumn id="911" xr3:uid="{ED40A5F9-511C-4348-87B7-3BF045810EAF}" name="Column896" dataCellStyle="Normal 2"/>
    <tableColumn id="912" xr3:uid="{80C5999D-E794-4583-A315-8D80A02965E1}" name="Column897" dataCellStyle="Normal 2"/>
    <tableColumn id="913" xr3:uid="{B160059E-A76F-4CCC-9AA6-E11ED409A371}" name="Column898" dataCellStyle="Normal 2"/>
    <tableColumn id="914" xr3:uid="{2F429546-6427-4B4A-82F1-63185A756AE8}" name="Column899" dataCellStyle="Normal 2"/>
    <tableColumn id="915" xr3:uid="{ABF5A3B8-4BD2-48DA-8C6F-EE30385127AB}" name="Column900" dataCellStyle="Normal 2"/>
    <tableColumn id="916" xr3:uid="{A87F4EAA-EE35-4A8E-AB22-F7C4BD245E37}" name="Column901" dataCellStyle="Normal 2"/>
    <tableColumn id="917" xr3:uid="{29DD8AF3-1F40-4D30-9251-B19E1D163460}" name="Column902" dataCellStyle="Normal 2"/>
    <tableColumn id="918" xr3:uid="{6F889D4A-4AA3-476D-B910-5AEBE6CEEDCA}" name="Column903" dataCellStyle="Normal 2"/>
    <tableColumn id="919" xr3:uid="{8DAB8377-3BAE-4D32-8212-947203537E5B}" name="Column904" dataCellStyle="Normal 2"/>
    <tableColumn id="920" xr3:uid="{92A35EC6-6DC7-4FE8-8D74-C8911EC244E0}" name="Column905" dataCellStyle="Normal 2"/>
    <tableColumn id="921" xr3:uid="{B45AA13B-84EE-47FD-8F5A-0C835CB096D8}" name="Column906" dataCellStyle="Normal 2"/>
    <tableColumn id="922" xr3:uid="{12FD037B-4DDE-4952-AE55-50CE214B2816}" name="Column907" dataCellStyle="Normal 2"/>
    <tableColumn id="923" xr3:uid="{1FE28C4F-E444-4BEC-BE95-FFD7EA2A5359}" name="Column908" dataCellStyle="Normal 2"/>
    <tableColumn id="924" xr3:uid="{EF7F7D21-2D26-425D-9193-734CBE7B2231}" name="Column909" dataCellStyle="Normal 2"/>
    <tableColumn id="925" xr3:uid="{22344906-1252-4061-A723-CF0CF3ED0094}" name="Column910" dataCellStyle="Normal 2"/>
    <tableColumn id="926" xr3:uid="{91622694-E029-4194-B284-5706B81B4784}" name="Column911" dataCellStyle="Normal 2"/>
    <tableColumn id="927" xr3:uid="{38935E51-C808-4AAC-A6AC-D4815B452C79}" name="Column912" dataCellStyle="Normal 2"/>
    <tableColumn id="928" xr3:uid="{5A8DC678-EF8A-414D-9D61-DE1D3928E5DE}" name="Column913" dataCellStyle="Normal 2"/>
    <tableColumn id="929" xr3:uid="{58E85C62-D45F-4EAA-A906-57666BFE39F4}" name="Column914" dataCellStyle="Normal 2"/>
    <tableColumn id="930" xr3:uid="{12D2825A-FD63-42BF-AFF4-73F925ADC589}" name="Column915" dataCellStyle="Normal 2"/>
    <tableColumn id="931" xr3:uid="{E1353BF1-FF9F-4B56-B66C-D87D1F0EED45}" name="Column916" dataCellStyle="Normal 2"/>
    <tableColumn id="932" xr3:uid="{F17C5408-E115-4906-BBF5-D1BE221CE79B}" name="Column917" dataCellStyle="Normal 2"/>
    <tableColumn id="933" xr3:uid="{43CE9F4B-5628-4814-B7E5-B9CFD1F4D610}" name="Column918" dataCellStyle="Normal 2"/>
    <tableColumn id="934" xr3:uid="{85F6F95C-203D-408D-8DF9-FA50756E5269}" name="Column919" dataCellStyle="Normal 2"/>
    <tableColumn id="935" xr3:uid="{CF431273-5314-4022-BB75-ED24F3EADE16}" name="Column920" dataCellStyle="Normal 2"/>
    <tableColumn id="936" xr3:uid="{2FFE8305-1FBD-4C5B-89E9-F0992793442D}" name="Column921" dataCellStyle="Normal 2"/>
    <tableColumn id="937" xr3:uid="{233E9DED-93F7-4A30-AF4D-6E128896EA1E}" name="Column922" dataCellStyle="Normal 2"/>
    <tableColumn id="938" xr3:uid="{CF0B175A-D0C7-44FC-9CCA-067A1A1955BC}" name="Column923" dataCellStyle="Normal 2"/>
    <tableColumn id="939" xr3:uid="{3E4A1AC2-EC0B-4FB4-950A-C70FAF885687}" name="Column924" dataCellStyle="Normal 2"/>
    <tableColumn id="940" xr3:uid="{DB52FFC0-9E6B-4EF9-A3E5-FB4CDEB3DA1D}" name="Column925" dataCellStyle="Normal 2"/>
    <tableColumn id="941" xr3:uid="{FAD555E7-6631-4F56-A6F6-2526CEA24C25}" name="Column926" dataCellStyle="Normal 2"/>
    <tableColumn id="942" xr3:uid="{F7593EDD-12E9-4FFF-93AC-1EFE9B7503D1}" name="Column927" dataCellStyle="Normal 2"/>
    <tableColumn id="943" xr3:uid="{17A1414F-3CDB-48CD-86E6-D06F97E03F31}" name="Column928" dataCellStyle="Normal 2"/>
    <tableColumn id="944" xr3:uid="{4123561B-A80A-4DB4-B7FB-114F1F971596}" name="Column929" dataCellStyle="Normal 2"/>
    <tableColumn id="945" xr3:uid="{672AAF82-3B99-41FD-B3A6-D4DC482350F9}" name="Column930" dataCellStyle="Normal 2"/>
    <tableColumn id="946" xr3:uid="{7DB18CFC-42C3-4D2B-AE60-D3EDC216ABF8}" name="Column931" dataCellStyle="Normal 2"/>
    <tableColumn id="947" xr3:uid="{721BD362-E001-461D-B110-96B5789C633C}" name="Column932" dataCellStyle="Normal 2"/>
    <tableColumn id="948" xr3:uid="{5323086F-1450-452A-9380-9C71DFC3F71C}" name="Column933" dataCellStyle="Normal 2"/>
    <tableColumn id="949" xr3:uid="{7D3DBA32-D558-4AB0-892F-633700D5C062}" name="Column934" dataCellStyle="Normal 2"/>
    <tableColumn id="950" xr3:uid="{AA53A13E-B4E6-451A-8F8B-3B62D86A2CF3}" name="Column935" dataCellStyle="Normal 2"/>
    <tableColumn id="951" xr3:uid="{66C08A52-F3AF-4724-90D9-DFB9B6BDDA03}" name="Column936" dataCellStyle="Normal 2"/>
    <tableColumn id="952" xr3:uid="{46C13DD5-4611-48F2-BD32-F052C6F7D4E4}" name="Column937" dataCellStyle="Normal 2"/>
    <tableColumn id="953" xr3:uid="{712F9F8B-B5C7-489F-8B44-91840AF187AB}" name="Column938" dataCellStyle="Normal 2"/>
    <tableColumn id="954" xr3:uid="{7CA2F573-078E-4D1C-BE6E-C5AE94E481C2}" name="Column939" dataCellStyle="Normal 2"/>
    <tableColumn id="955" xr3:uid="{2C4E0EB7-AC16-4D51-AE8C-20F3E162F984}" name="Column940" dataCellStyle="Normal 2"/>
    <tableColumn id="956" xr3:uid="{62BDEEAC-FBA3-48C9-8F20-DD9DBF8B0450}" name="Column941" dataCellStyle="Normal 2"/>
    <tableColumn id="957" xr3:uid="{0054E860-2259-460E-A30F-ABB8F51210F9}" name="Column942" dataCellStyle="Normal 2"/>
    <tableColumn id="958" xr3:uid="{36B95D50-F706-40BF-9758-10D66813D401}" name="Column943" dataCellStyle="Normal 2"/>
    <tableColumn id="959" xr3:uid="{856BFED5-1B10-4830-9E3B-A9B64FE75F73}" name="Column944" dataCellStyle="Normal 2"/>
    <tableColumn id="960" xr3:uid="{210A40B5-E48C-4221-BBB3-E476C754DBCE}" name="Column945" dataCellStyle="Normal 2"/>
    <tableColumn id="961" xr3:uid="{6B85525D-FC21-4F2D-ADE8-8AEB234F0901}" name="Column946" dataCellStyle="Normal 2"/>
    <tableColumn id="962" xr3:uid="{01D7F336-A54B-4673-A527-89488E20AEA1}" name="Column947" dataCellStyle="Normal 2"/>
    <tableColumn id="963" xr3:uid="{9A98AB4E-EAC5-4759-88C9-A4B134F0C4CC}" name="Column948" dataCellStyle="Normal 2"/>
    <tableColumn id="964" xr3:uid="{B74DCA07-031D-43D0-9CFA-5D059ADF8860}" name="Column949" dataCellStyle="Normal 2"/>
    <tableColumn id="965" xr3:uid="{D13CD0D9-421B-4648-A380-0B14CEF656FE}" name="Column950" dataCellStyle="Normal 2"/>
    <tableColumn id="966" xr3:uid="{54E6AE2C-66E5-418E-874D-5EC09D8BA7EB}" name="Column951" dataCellStyle="Normal 2"/>
    <tableColumn id="967" xr3:uid="{63C29529-DE11-4646-BA96-619CABEF4964}" name="Column952" dataCellStyle="Normal 2"/>
    <tableColumn id="968" xr3:uid="{83714695-1D40-465F-BEB9-F96FBE5A9078}" name="Column953" dataCellStyle="Normal 2"/>
    <tableColumn id="969" xr3:uid="{DDF0AD54-9319-4595-8839-0DF7D8EBF1BC}" name="Column954" dataCellStyle="Normal 2"/>
    <tableColumn id="970" xr3:uid="{097DF4D4-78FE-4DE8-92C3-C0B68BA4966F}" name="Column955" dataCellStyle="Normal 2"/>
    <tableColumn id="971" xr3:uid="{96E4DF9F-3777-4C3F-BA35-9A3832E962FF}" name="Column956" dataCellStyle="Normal 2"/>
    <tableColumn id="972" xr3:uid="{F1203F41-1D82-4D89-91E9-9BC0B3147103}" name="Column957" dataCellStyle="Normal 2"/>
    <tableColumn id="973" xr3:uid="{8AC5B9DA-8D59-4FB3-8022-F266199EEEE0}" name="Column958" dataCellStyle="Normal 2"/>
    <tableColumn id="974" xr3:uid="{0A363F5C-90CA-4EE5-9F4A-90C08D5D0FAE}" name="Column959" dataCellStyle="Normal 2"/>
    <tableColumn id="975" xr3:uid="{EED9F387-7D57-4908-832A-D74F32F4E3FF}" name="Column960" dataCellStyle="Normal 2"/>
    <tableColumn id="976" xr3:uid="{77BD37AF-BF66-49FC-B22D-681A6C84999C}" name="Column961" dataCellStyle="Normal 2"/>
    <tableColumn id="977" xr3:uid="{6A60AB9E-7B90-4A85-B70D-0E13B0B723AF}" name="Column962" dataCellStyle="Normal 2"/>
    <tableColumn id="978" xr3:uid="{E74123A2-3797-44A9-A74A-5059A4D12506}" name="Column963" dataCellStyle="Normal 2"/>
    <tableColumn id="979" xr3:uid="{B251CF39-E579-4A22-AC6D-BF1ED550B963}" name="Column964" dataCellStyle="Normal 2"/>
    <tableColumn id="980" xr3:uid="{6E0A32A6-BA49-4539-82BA-01532A2D5094}" name="Column965" dataCellStyle="Normal 2"/>
    <tableColumn id="981" xr3:uid="{84B0EE4E-B320-4BDC-A932-25179990CB98}" name="Column966" dataCellStyle="Normal 2"/>
    <tableColumn id="982" xr3:uid="{49E09A5A-A873-4E2D-83CB-EF191B9BF573}" name="Column967" dataCellStyle="Normal 2"/>
    <tableColumn id="983" xr3:uid="{00B37856-CC9B-4E3D-941B-316DC9B6DF09}" name="Column968" dataCellStyle="Normal 2"/>
    <tableColumn id="984" xr3:uid="{2D1D3FAF-BE7C-4402-B8E0-827ADAFDC785}" name="Column969" dataCellStyle="Normal 2"/>
    <tableColumn id="985" xr3:uid="{7E56B892-9612-4883-A566-D3F43D432CCA}" name="Column970" dataCellStyle="Normal 2"/>
    <tableColumn id="986" xr3:uid="{3928AC1C-E6F9-47B8-A4F1-519092AD7FC9}" name="Column971" dataCellStyle="Normal 2"/>
    <tableColumn id="987" xr3:uid="{BD73B824-416B-4F10-9A48-40198915AD30}" name="Column972" dataCellStyle="Normal 2"/>
    <tableColumn id="988" xr3:uid="{9259C9CD-ACF2-4BB9-9856-0A3F4EC151F1}" name="Column973" dataCellStyle="Normal 2"/>
    <tableColumn id="989" xr3:uid="{1FE42808-01A1-4579-838A-06DCDB896862}" name="Column974" dataCellStyle="Normal 2"/>
    <tableColumn id="990" xr3:uid="{D01A8961-FB99-4026-AFA3-991B7ECF8A70}" name="Column975" dataCellStyle="Normal 2"/>
    <tableColumn id="991" xr3:uid="{31AE2057-30B1-4332-851A-BF48014647A2}" name="Column976" dataCellStyle="Normal 2"/>
    <tableColumn id="992" xr3:uid="{89E7A5D9-94B4-4F52-8FC4-E8D2C475D55D}" name="Column977" dataCellStyle="Normal 2"/>
    <tableColumn id="993" xr3:uid="{8E38F783-657F-42ED-862D-6FED9246C634}" name="Column978" dataCellStyle="Normal 2"/>
    <tableColumn id="994" xr3:uid="{EDA9B47B-8435-4D00-AECD-3BD5550EAFA9}" name="Column979" dataCellStyle="Normal 2"/>
    <tableColumn id="995" xr3:uid="{1927676A-A11F-4E2B-A02E-041288EF0FD7}" name="Column980" dataCellStyle="Normal 2"/>
    <tableColumn id="996" xr3:uid="{BB5DF6CC-F06C-40DE-B494-846B7CF4BC7F}" name="Column981" dataCellStyle="Normal 2"/>
    <tableColumn id="997" xr3:uid="{EA29993A-61AC-46FF-8740-7257E11C03E9}" name="Column982" dataCellStyle="Normal 2"/>
    <tableColumn id="998" xr3:uid="{231D304D-C3CC-4824-A2D3-BCB047BDB342}" name="Column983" dataCellStyle="Normal 2"/>
    <tableColumn id="999" xr3:uid="{F4E9785E-613B-42AE-8576-D52955AB82AC}" name="Column984" dataCellStyle="Normal 2"/>
    <tableColumn id="1000" xr3:uid="{0409ED54-6C04-45B1-BD87-6F32D912F10B}" name="Column985" dataCellStyle="Normal 2"/>
    <tableColumn id="1001" xr3:uid="{D202B3E4-0266-4902-9634-59345A146079}" name="Column986" dataCellStyle="Normal 2"/>
    <tableColumn id="1002" xr3:uid="{D26644C6-22EE-482B-BD22-B0C7087E9578}" name="Column987" dataCellStyle="Normal 2"/>
    <tableColumn id="1003" xr3:uid="{64332C75-5B3C-40AA-A9EA-A608CE002D84}" name="Column988" dataCellStyle="Normal 2"/>
    <tableColumn id="1004" xr3:uid="{B022E6D0-40CD-4409-9DFC-E163886E32D5}" name="Column989" dataCellStyle="Normal 2"/>
    <tableColumn id="1005" xr3:uid="{AC9A5E67-DA65-4D42-81BE-C42D4896F06D}" name="Column990" dataCellStyle="Normal 2"/>
    <tableColumn id="1006" xr3:uid="{A734B148-3307-41AB-B1BE-469920D2532F}" name="Column991" dataCellStyle="Normal 2"/>
    <tableColumn id="1007" xr3:uid="{E2F4895C-123F-487E-B46D-4329559F9F3E}" name="Column992" dataCellStyle="Normal 2"/>
    <tableColumn id="1008" xr3:uid="{A7ED3442-9C60-4298-8B10-CC60B7F24D4E}" name="Column993" dataCellStyle="Normal 2"/>
    <tableColumn id="1009" xr3:uid="{CDA6E9A4-3872-43FC-80C1-77524B3746EC}" name="Column994" dataCellStyle="Normal 2"/>
    <tableColumn id="1010" xr3:uid="{21A44056-B865-4553-BBCA-0213D2586D15}" name="Column995" dataCellStyle="Normal 2"/>
    <tableColumn id="1011" xr3:uid="{FFDECCF0-527E-4A90-A414-FC62DE44B751}" name="Column996" dataCellStyle="Normal 2"/>
    <tableColumn id="1012" xr3:uid="{EBF5A4A0-0884-46F3-B9D0-27D689E94C50}" name="Column997" dataCellStyle="Normal 2"/>
    <tableColumn id="1013" xr3:uid="{ED0B214D-C435-4BD6-81F1-186267E0FE94}" name="Column998" dataCellStyle="Normal 2"/>
    <tableColumn id="1014" xr3:uid="{63DDB4C2-5F03-4F47-9FF9-097352089838}" name="Column999" dataCellStyle="Normal 2"/>
    <tableColumn id="1015" xr3:uid="{1A90A4D4-4FA9-42A3-8E65-C992666C737A}" name="Column1000" dataCellStyle="Normal 2"/>
    <tableColumn id="1016" xr3:uid="{DFAED99C-8D06-4850-8E78-7746E52EB480}" name="Column1001" dataCellStyle="Normal 2"/>
    <tableColumn id="1017" xr3:uid="{2547A9DA-7798-4D46-ACEF-0076851BAF34}" name="Column1002" dataCellStyle="Normal 2"/>
    <tableColumn id="1018" xr3:uid="{281FC482-B239-4989-9AE5-3038048A5382}" name="Column1003" dataCellStyle="Normal 2"/>
    <tableColumn id="1019" xr3:uid="{F24D240B-B4FB-4C65-A783-0F3CA029E622}" name="Column1004" dataCellStyle="Normal 2"/>
    <tableColumn id="1020" xr3:uid="{CE180E09-EF74-4785-810F-CEA909F532BB}" name="Column1005" dataCellStyle="Normal 2"/>
    <tableColumn id="1021" xr3:uid="{E060037A-913E-498C-B7E9-30A7C8FFDDAC}" name="Column1006" dataCellStyle="Normal 2"/>
    <tableColumn id="1022" xr3:uid="{4D175265-1BCF-4191-90D9-8D0E3012CB35}" name="Column1007" dataCellStyle="Normal 2"/>
    <tableColumn id="1023" xr3:uid="{0E8413FF-EE4D-43AB-A9FE-962D7CA2BA50}" name="Column1008" dataCellStyle="Normal 2"/>
    <tableColumn id="1024" xr3:uid="{409C374C-4FC4-4B8C-8413-A389932B550D}" name="Column1009" dataCellStyle="Normal 2"/>
    <tableColumn id="1025" xr3:uid="{5E18BF4D-0098-4626-A663-2632760D7B86}" name="Column1010" dataCellStyle="Normal 2"/>
    <tableColumn id="1026" xr3:uid="{3498DAE3-9712-46DF-9B62-838D0CA762A4}" name="Column1011" dataCellStyle="Normal 2"/>
    <tableColumn id="1027" xr3:uid="{FD6C0C4F-76B4-4591-9CC6-83DD586870BD}" name="Column1012" dataCellStyle="Normal 2"/>
    <tableColumn id="1028" xr3:uid="{2578D41F-6C49-4566-A792-90F8F343591D}" name="Column1013" dataCellStyle="Normal 2"/>
    <tableColumn id="1029" xr3:uid="{8B0D5AE9-8C11-4EEB-8A04-F09E9DF74313}" name="Column1014" dataCellStyle="Normal 2"/>
    <tableColumn id="1030" xr3:uid="{6D7216AF-E936-48E7-90C1-8512167A1D96}" name="Column1015" dataCellStyle="Normal 2"/>
    <tableColumn id="1031" xr3:uid="{CFE83B22-A8C6-4DAA-A41D-084C88DEF97A}" name="Column1016" dataCellStyle="Normal 2"/>
    <tableColumn id="1032" xr3:uid="{F9E30E78-325D-4CC9-B6BD-C356EA5DA8D0}" name="Column1017" dataCellStyle="Normal 2"/>
    <tableColumn id="1033" xr3:uid="{E52F7507-D855-458E-A686-1E0D8790422F}" name="Column1018" dataCellStyle="Normal 2"/>
    <tableColumn id="1034" xr3:uid="{4D21E4C6-902B-4F11-BD50-AABBBCC44CAF}" name="Column1019" dataCellStyle="Normal 2"/>
    <tableColumn id="1035" xr3:uid="{A0224EFD-E1CF-4689-ABB0-B23EBBD98D1D}" name="Column1020" dataCellStyle="Normal 2"/>
    <tableColumn id="1036" xr3:uid="{2B68C628-BD38-4956-B6A9-B6C19EFEC8F4}" name="Column1021" dataCellStyle="Normal 2"/>
    <tableColumn id="1037" xr3:uid="{86A7D44A-8661-4E06-8E29-123C751DCE31}" name="Column1022" dataCellStyle="Normal 2"/>
    <tableColumn id="1038" xr3:uid="{56DF5DED-2FE2-4DF3-A8B5-CC222326E3F6}" name="Column1023" dataCellStyle="Normal 2"/>
    <tableColumn id="1039" xr3:uid="{16A49E59-EDCD-41A8-8F94-DE122139E9AB}" name="Column1024" dataCellStyle="Normal 2"/>
    <tableColumn id="1040" xr3:uid="{74E22C5C-0F79-4945-B4B6-CF2E3E4B27EB}" name="Column1025" dataCellStyle="Normal 2"/>
    <tableColumn id="1041" xr3:uid="{F9C54983-35A4-4EC0-8ACC-E0ACD7E57D28}" name="Column1026" dataCellStyle="Normal 2"/>
    <tableColumn id="1042" xr3:uid="{81B74DC7-EE84-496A-A99D-453C5241481F}" name="Column1027" dataCellStyle="Normal 2"/>
    <tableColumn id="1043" xr3:uid="{89E2082E-7679-46D2-972B-19857BE0D02D}" name="Column1028" dataCellStyle="Normal 2"/>
    <tableColumn id="1044" xr3:uid="{8B8AFC3C-93CD-43BA-8B4E-37A6055C7D6E}" name="Column1029" dataCellStyle="Normal 2"/>
    <tableColumn id="1045" xr3:uid="{C58AB316-33E8-4C7B-9C96-3E79C0B5976D}" name="Column1030" dataCellStyle="Normal 2"/>
    <tableColumn id="1046" xr3:uid="{C211C8B7-0B12-4AF3-A8A5-C53A3606FEEE}" name="Column1031" dataCellStyle="Normal 2"/>
    <tableColumn id="1047" xr3:uid="{770D9891-A438-41FE-8FE2-3666B44FBC3C}" name="Column1032" dataCellStyle="Normal 2"/>
    <tableColumn id="1048" xr3:uid="{1735E08D-1A3B-4E1B-88C7-2640018747DF}" name="Column1033" dataCellStyle="Normal 2"/>
    <tableColumn id="1049" xr3:uid="{ABF28375-185E-4D62-9275-4593C3160950}" name="Column1034" dataCellStyle="Normal 2"/>
    <tableColumn id="1050" xr3:uid="{A8ADBAC0-7A3A-4870-BC20-1EA23A8860E4}" name="Column1035" dataCellStyle="Normal 2"/>
    <tableColumn id="1051" xr3:uid="{6BE2F2A5-7498-4591-A5D7-32DB352833E4}" name="Column1036" dataCellStyle="Normal 2"/>
    <tableColumn id="1052" xr3:uid="{F029A982-F0EF-4B6F-8D03-B2B2A9DB1BF3}" name="Column1037" dataCellStyle="Normal 2"/>
    <tableColumn id="1053" xr3:uid="{9DCF806E-3588-4964-882A-FF6BC5CF9B38}" name="Column1038" dataCellStyle="Normal 2"/>
    <tableColumn id="1054" xr3:uid="{B8656EFD-F632-40EF-A1DA-CB29A23B288E}" name="Column1039" dataCellStyle="Normal 2"/>
    <tableColumn id="1055" xr3:uid="{4DC61CB2-8EA8-4E79-82E4-7B4ED747CA49}" name="Column1040" dataCellStyle="Normal 2"/>
    <tableColumn id="1056" xr3:uid="{74AD8B00-3149-4837-944F-C14E4951E379}" name="Column1041" dataCellStyle="Normal 2"/>
    <tableColumn id="1057" xr3:uid="{3E28D0B0-AEF2-4886-929A-4F4E2D178DC9}" name="Column1042" dataCellStyle="Normal 2"/>
    <tableColumn id="1058" xr3:uid="{3E9EA869-177C-48D9-B350-F43FD42EBF9D}" name="Column1043" dataCellStyle="Normal 2"/>
    <tableColumn id="1059" xr3:uid="{48AB3F94-04F8-4B79-A221-348C5301BEE8}" name="Column1044" dataCellStyle="Normal 2"/>
    <tableColumn id="1060" xr3:uid="{28519961-AABA-412C-919D-24E531BA6DCC}" name="Column1045" dataCellStyle="Normal 2"/>
    <tableColumn id="1061" xr3:uid="{029C2A22-F9E2-49BE-802E-2E9E3D3BCF45}" name="Column1046" dataCellStyle="Normal 2"/>
    <tableColumn id="1062" xr3:uid="{EBA383F8-B63F-4D54-879D-F914FB9C9776}" name="Column1047" dataCellStyle="Normal 2"/>
    <tableColumn id="1063" xr3:uid="{0FCEC189-67CE-4CB9-B6E4-1859F822065B}" name="Column1048" dataCellStyle="Normal 2"/>
    <tableColumn id="1064" xr3:uid="{1A515092-5023-40C7-830E-65A0A2CA6F75}" name="Column1049" dataCellStyle="Normal 2"/>
    <tableColumn id="1065" xr3:uid="{A71535F3-11B8-44A0-9C4B-058CD1F466E8}" name="Column1050" dataCellStyle="Normal 2"/>
    <tableColumn id="1066" xr3:uid="{A4749527-2702-4BA3-AFC8-DFC1A105C17F}" name="Column1051" dataCellStyle="Normal 2"/>
    <tableColumn id="1067" xr3:uid="{F58788CF-77E4-4F21-9E7C-2ABD7D694834}" name="Column1052" dataCellStyle="Normal 2"/>
    <tableColumn id="1068" xr3:uid="{55C186A0-1CB0-4E3C-A889-AD4A71A009BE}" name="Column1053" dataCellStyle="Normal 2"/>
    <tableColumn id="1069" xr3:uid="{FA07868E-22A5-41C2-BED3-4E4142FA3445}" name="Column1054" dataCellStyle="Normal 2"/>
    <tableColumn id="1070" xr3:uid="{1664EE82-E87B-4E4F-9BB8-F083F37E37D9}" name="Column1055" dataCellStyle="Normal 2"/>
    <tableColumn id="1071" xr3:uid="{A185B1E4-BE99-4AD9-B506-7DB16489DAC9}" name="Column1056" dataCellStyle="Normal 2"/>
    <tableColumn id="1072" xr3:uid="{7FE388CA-634B-4B88-A419-415593034D2E}" name="Column1057" dataCellStyle="Normal 2"/>
    <tableColumn id="1073" xr3:uid="{985F0AC7-8D30-4143-9EF6-46D471BE7851}" name="Column1058" dataCellStyle="Normal 2"/>
    <tableColumn id="1074" xr3:uid="{71022029-0727-4E2E-8442-073A307C650F}" name="Column1059" dataCellStyle="Normal 2"/>
    <tableColumn id="1075" xr3:uid="{55850EB0-D0D1-443C-B359-D5C97FBAA526}" name="Column1060" dataCellStyle="Normal 2"/>
    <tableColumn id="1076" xr3:uid="{1AF80DB9-B547-4501-BD8D-F6BCD11A0000}" name="Column1061" dataCellStyle="Normal 2"/>
    <tableColumn id="1077" xr3:uid="{3B09DDC1-E98F-4B51-A227-EDF40B2DA193}" name="Column1062" dataCellStyle="Normal 2"/>
    <tableColumn id="1078" xr3:uid="{71F65286-9068-4035-9CDC-642944228F9B}" name="Column1063" dataCellStyle="Normal 2"/>
    <tableColumn id="1079" xr3:uid="{66ACE943-A82C-42E2-8D3F-B963C2802FBE}" name="Column1064" dataCellStyle="Normal 2"/>
    <tableColumn id="1080" xr3:uid="{4074F01B-7849-4C7A-A129-E9DB54EDC714}" name="Column1065" dataCellStyle="Normal 2"/>
    <tableColumn id="1081" xr3:uid="{B22E2BDB-8B6A-4844-8BAA-A12601396504}" name="Column1066" dataCellStyle="Normal 2"/>
    <tableColumn id="1082" xr3:uid="{2F81658F-1C9A-4941-8B80-144CF1488F36}" name="Column1067" dataCellStyle="Normal 2"/>
    <tableColumn id="1083" xr3:uid="{1048F055-45D7-4BCE-909B-6DD7AB8C77DB}" name="Column1068" dataCellStyle="Normal 2"/>
    <tableColumn id="1084" xr3:uid="{1B26B896-DCF3-49FD-82A2-36F5F9EE083E}" name="Column1069" dataCellStyle="Normal 2"/>
    <tableColumn id="1085" xr3:uid="{7663294F-64A6-47A3-AB4D-59C9A71BDAF7}" name="Column1070" dataCellStyle="Normal 2"/>
    <tableColumn id="1086" xr3:uid="{685C80EF-F5FF-4B0A-9C4C-1886C4D70163}" name="Column1071" dataCellStyle="Normal 2"/>
    <tableColumn id="1087" xr3:uid="{36F56579-DA80-493C-A8F2-1ACB913135E3}" name="Column1072" dataCellStyle="Normal 2"/>
    <tableColumn id="1088" xr3:uid="{5644B38B-F7C4-484E-8A4D-E0DF0F3BC5EF}" name="Column1073" dataCellStyle="Normal 2"/>
    <tableColumn id="1089" xr3:uid="{1F48330B-CC6E-4E90-87CD-2BFD41EB623F}" name="Column1074" dataCellStyle="Normal 2"/>
    <tableColumn id="1090" xr3:uid="{E8B8FD58-70E2-4FC1-9C65-5280137634D9}" name="Column1075" dataCellStyle="Normal 2"/>
    <tableColumn id="1091" xr3:uid="{694E4414-F7D3-4269-93B7-F75715CFC7D3}" name="Column1076" dataCellStyle="Normal 2"/>
    <tableColumn id="1092" xr3:uid="{01C580C3-6B83-4700-9E8A-423668D4A268}" name="Column1077" dataCellStyle="Normal 2"/>
    <tableColumn id="1093" xr3:uid="{08A8883C-5A94-455D-AA6C-C8A8E838A14F}" name="Column1078" dataCellStyle="Normal 2"/>
    <tableColumn id="1094" xr3:uid="{74F46EAD-E707-4C41-9B4D-F4300C4D93FA}" name="Column1079" dataCellStyle="Normal 2"/>
    <tableColumn id="1095" xr3:uid="{58F9C763-62A4-4811-B212-830A46BD54B2}" name="Column1080" dataCellStyle="Normal 2"/>
    <tableColumn id="1096" xr3:uid="{C133FBFA-EF90-4A8C-9353-9F53AE1C743A}" name="Column1081" dataCellStyle="Normal 2"/>
    <tableColumn id="1097" xr3:uid="{CD477A04-1DF6-41D5-808E-965111170230}" name="Column1082" dataCellStyle="Normal 2"/>
    <tableColumn id="1098" xr3:uid="{A5169E41-C6A1-4F71-9322-C5A98ADDE67F}" name="Column1083" dataCellStyle="Normal 2"/>
    <tableColumn id="1099" xr3:uid="{CC797DC5-FB5C-4B76-8F4A-E012141D1531}" name="Column1084" dataCellStyle="Normal 2"/>
    <tableColumn id="1100" xr3:uid="{97F30933-8115-4A11-B442-4A7B09C6DC6D}" name="Column1085" dataCellStyle="Normal 2"/>
    <tableColumn id="1101" xr3:uid="{F284AFB9-2F51-4D0C-A733-4784CDA83545}" name="Column1086" dataCellStyle="Normal 2"/>
    <tableColumn id="1102" xr3:uid="{A3E17397-75B6-4926-9B7A-857332FA30E6}" name="Column1087" dataCellStyle="Normal 2"/>
    <tableColumn id="1103" xr3:uid="{8FEF43BF-07EC-47C6-B508-72782E188AF5}" name="Column1088" dataCellStyle="Normal 2"/>
    <tableColumn id="1104" xr3:uid="{413B2563-5507-4237-940D-37BCD6DF9249}" name="Column1089" dataCellStyle="Normal 2"/>
    <tableColumn id="1105" xr3:uid="{660496BA-9FA6-45CD-AC52-463754DB6312}" name="Column1090" dataCellStyle="Normal 2"/>
    <tableColumn id="1106" xr3:uid="{01BD7AE8-6ADF-4861-8B40-FECAB55D4D92}" name="Column1091" dataCellStyle="Normal 2"/>
    <tableColumn id="1107" xr3:uid="{4B265533-A4C7-4231-95F2-9343667AC838}" name="Column1092" dataCellStyle="Normal 2"/>
    <tableColumn id="1108" xr3:uid="{EA12586D-F188-4521-9377-96FD4E21E2D9}" name="Column1093" dataCellStyle="Normal 2"/>
    <tableColumn id="1109" xr3:uid="{348AE5CE-36D0-4B22-9934-4F8178CBF59F}" name="Column1094" dataCellStyle="Normal 2"/>
    <tableColumn id="1110" xr3:uid="{DF7945C4-B0C0-4109-9E4B-D3F08CFA8B51}" name="Column1095" dataCellStyle="Normal 2"/>
    <tableColumn id="1111" xr3:uid="{C021653B-5F08-44AD-8BF9-907DAC5E62B0}" name="Column1096" dataCellStyle="Normal 2"/>
    <tableColumn id="1112" xr3:uid="{5B69D943-A640-446C-8E75-80D88358F349}" name="Column1097" dataCellStyle="Normal 2"/>
    <tableColumn id="1113" xr3:uid="{2734B584-2674-44B8-986F-8C52D9F74CEC}" name="Column1098" dataCellStyle="Normal 2"/>
    <tableColumn id="1114" xr3:uid="{E42F0FD3-1F4E-4FD8-8745-BC53035C6FAB}" name="Column1099" dataCellStyle="Normal 2"/>
    <tableColumn id="1115" xr3:uid="{63B320DE-1B29-4F74-9F21-A09C24633C77}" name="Column1100" dataCellStyle="Normal 2"/>
    <tableColumn id="1116" xr3:uid="{DE2335F1-C40F-4EF7-8952-7AEE7370D0F8}" name="Column1101" dataCellStyle="Normal 2"/>
    <tableColumn id="1117" xr3:uid="{889F5A57-1FC3-43CE-91AC-0F26F3435592}" name="Column1102" dataCellStyle="Normal 2"/>
    <tableColumn id="1118" xr3:uid="{D42B4C91-4B04-482C-B6D5-889EF6F5AE0B}" name="Column1103" dataCellStyle="Normal 2"/>
    <tableColumn id="1119" xr3:uid="{0F74A383-E323-4FF9-B842-2C157DB08C05}" name="Column1104" dataCellStyle="Normal 2"/>
    <tableColumn id="1120" xr3:uid="{EBD6E4A3-D54E-4B87-9426-50BDF27ECC08}" name="Column1105" dataCellStyle="Normal 2"/>
    <tableColumn id="1121" xr3:uid="{D7BEB21C-E13E-43AE-A526-5B47607A1291}" name="Column1106" dataCellStyle="Normal 2"/>
    <tableColumn id="1122" xr3:uid="{EE4C00DE-3FF2-4F2B-8098-6122E160BDDB}" name="Column1107" dataCellStyle="Normal 2"/>
    <tableColumn id="1123" xr3:uid="{40BC0DF8-6EDE-4EF6-B3BA-E9739DACD8B3}" name="Column1108" dataCellStyle="Normal 2"/>
    <tableColumn id="1124" xr3:uid="{F5EE6714-D54F-4A51-BA3B-34925C641909}" name="Column1109" dataCellStyle="Normal 2"/>
    <tableColumn id="1125" xr3:uid="{557C022C-3D06-4069-85DD-879EDB5A8900}" name="Column1110" dataCellStyle="Normal 2"/>
    <tableColumn id="1126" xr3:uid="{4B7E5F3D-B067-41BD-8437-F840DB734E9E}" name="Column1111" dataCellStyle="Normal 2"/>
    <tableColumn id="1127" xr3:uid="{43A6CF84-DFFA-4E4E-AC3D-3E7C2EA75992}" name="Column1112" dataCellStyle="Normal 2"/>
    <tableColumn id="1128" xr3:uid="{A3DF18DD-170F-465C-A70A-B25F4AE3B5A3}" name="Column1113" dataCellStyle="Normal 2"/>
    <tableColumn id="1129" xr3:uid="{63AABA2F-9B3A-4BEB-9308-FE157196E080}" name="Column1114" dataCellStyle="Normal 2"/>
    <tableColumn id="1130" xr3:uid="{E8A7C4A2-854B-4701-8A17-6FF922D5C5D9}" name="Column1115" dataCellStyle="Normal 2"/>
    <tableColumn id="1131" xr3:uid="{833D70F6-B1AB-4138-A779-A0E7FADA940F}" name="Column1116" dataCellStyle="Normal 2"/>
    <tableColumn id="1132" xr3:uid="{1C2BDD9D-E3A5-4F70-928D-3CBE38BEE27C}" name="Column1117" dataCellStyle="Normal 2"/>
    <tableColumn id="1133" xr3:uid="{053DB5C4-FFAF-41CA-84DF-2588EDF241A9}" name="Column1118" dataCellStyle="Normal 2"/>
    <tableColumn id="1134" xr3:uid="{6A12393C-31B3-486E-8188-F3255C146706}" name="Column1119" dataCellStyle="Normal 2"/>
    <tableColumn id="1135" xr3:uid="{BD025C6C-A053-4759-BCA6-03E78A1D83E9}" name="Column1120" dataCellStyle="Normal 2"/>
    <tableColumn id="1136" xr3:uid="{3F5C63CB-7DB6-4094-9114-034FA4CC5F4E}" name="Column1121" dataCellStyle="Normal 2"/>
    <tableColumn id="1137" xr3:uid="{A38E13DD-D88C-4D89-855C-169772F70341}" name="Column1122" dataCellStyle="Normal 2"/>
    <tableColumn id="1138" xr3:uid="{A0C82C2F-14AD-4299-92CB-F5F986BA2909}" name="Column1123" dataCellStyle="Normal 2"/>
    <tableColumn id="1139" xr3:uid="{C0F1BFA6-FE6E-4ABC-AAA8-52DD2368BDF3}" name="Column1124" dataCellStyle="Normal 2"/>
    <tableColumn id="1140" xr3:uid="{5D98CC61-E4CD-4243-B03B-F9133E8AD8C0}" name="Column1125" dataCellStyle="Normal 2"/>
    <tableColumn id="1141" xr3:uid="{465479FA-09B9-4017-A111-79E5037DD673}" name="Column1126" dataCellStyle="Normal 2"/>
    <tableColumn id="1142" xr3:uid="{DEEE26BF-E064-4C90-BE3B-F0DB0FE88BB4}" name="Column1127" dataCellStyle="Normal 2"/>
    <tableColumn id="1143" xr3:uid="{DF4EB68A-8CBF-470C-A686-500100D07E84}" name="Column1128" dataCellStyle="Normal 2"/>
    <tableColumn id="1144" xr3:uid="{B822719F-D8DB-47C7-BA24-CEE32228E158}" name="Column1129" dataCellStyle="Normal 2"/>
    <tableColumn id="1145" xr3:uid="{E7EC43B0-4DDE-4CD3-9047-FFA93E8E213A}" name="Column1130" dataCellStyle="Normal 2"/>
    <tableColumn id="1146" xr3:uid="{9D63A3AF-0A40-4984-BF9A-0216226E467C}" name="Column1131" dataCellStyle="Normal 2"/>
    <tableColumn id="1147" xr3:uid="{DA7B1EEB-9956-453E-9C92-3C757372FEF7}" name="Column1132" dataCellStyle="Normal 2"/>
    <tableColumn id="1148" xr3:uid="{708535D3-17CC-4DE0-843A-0C41EA6C55B7}" name="Column1133" dataCellStyle="Normal 2"/>
    <tableColumn id="1149" xr3:uid="{256B6A5B-58C1-4F8C-8410-664F642AE356}" name="Column1134" dataCellStyle="Normal 2"/>
    <tableColumn id="1150" xr3:uid="{7CBE0CBF-04F7-493E-A6E9-FD86F94DCFAC}" name="Column1135" dataCellStyle="Normal 2"/>
    <tableColumn id="1151" xr3:uid="{D39FE093-2253-4863-A1FD-5D81E76E5A13}" name="Column1136" dataCellStyle="Normal 2"/>
    <tableColumn id="1152" xr3:uid="{213BE880-2C53-42EB-9BC4-763A1BDE892F}" name="Column1137" dataCellStyle="Normal 2"/>
    <tableColumn id="1153" xr3:uid="{E04E4B22-E657-40D3-AABD-99C9ED68485E}" name="Column1138" dataCellStyle="Normal 2"/>
    <tableColumn id="1154" xr3:uid="{337BF5DC-63C3-475F-A5FE-C19430FBE1A2}" name="Column1139" dataCellStyle="Normal 2"/>
    <tableColumn id="1155" xr3:uid="{38CB82DC-3154-46B8-91F1-33B0DEA81859}" name="Column1140" dataCellStyle="Normal 2"/>
    <tableColumn id="1156" xr3:uid="{B50E4571-D427-4B0A-86C4-6B73AF768E58}" name="Column1141" dataCellStyle="Normal 2"/>
    <tableColumn id="1157" xr3:uid="{9CDA5DD8-BA8A-4EE5-98E0-FDEC654FB522}" name="Column1142" dataCellStyle="Normal 2"/>
    <tableColumn id="1158" xr3:uid="{C4436479-2D20-42B6-A9C2-F7A4610B82D8}" name="Column1143" dataCellStyle="Normal 2"/>
    <tableColumn id="1159" xr3:uid="{4522006C-8506-4A1D-9CEE-038CE52CA2D4}" name="Column1144" dataCellStyle="Normal 2"/>
    <tableColumn id="1160" xr3:uid="{D771BE16-2AA7-42DC-BF13-3EC9DAA4BAC5}" name="Column1145" dataCellStyle="Normal 2"/>
    <tableColumn id="1161" xr3:uid="{493AEE00-F991-44E1-8E76-E234EFA5A14B}" name="Column1146" dataCellStyle="Normal 2"/>
    <tableColumn id="1162" xr3:uid="{CFBD7031-1227-48DA-9504-16B6FFD5FB65}" name="Column1147" dataCellStyle="Normal 2"/>
    <tableColumn id="1163" xr3:uid="{2F61D74D-E400-4190-9E0C-DD6670001597}" name="Column1148" dataCellStyle="Normal 2"/>
    <tableColumn id="1164" xr3:uid="{7B8CC68E-37A5-45C8-9109-3CB7C5FA263E}" name="Column1149" dataCellStyle="Normal 2"/>
    <tableColumn id="1165" xr3:uid="{DC724B33-C0AD-4C8C-BCDA-D97829B78406}" name="Column1150" dataCellStyle="Normal 2"/>
    <tableColumn id="1166" xr3:uid="{58CB7258-7328-4E37-96D7-AF9728972E49}" name="Column1151" dataCellStyle="Normal 2"/>
    <tableColumn id="1167" xr3:uid="{BCE82774-1AF4-4DFB-90EB-D22A74F71AB1}" name="Column1152" dataCellStyle="Normal 2"/>
    <tableColumn id="1168" xr3:uid="{1B4EDEB6-8DFD-4563-9FA5-887C75D6FF31}" name="Column1153" dataCellStyle="Normal 2"/>
    <tableColumn id="1169" xr3:uid="{6CE240DC-0335-4192-BFA0-318EA9A43CBC}" name="Column1154" dataCellStyle="Normal 2"/>
    <tableColumn id="1170" xr3:uid="{60D5BE9D-4A68-49C8-9FC8-660F90432BFF}" name="Column1155" dataCellStyle="Normal 2"/>
    <tableColumn id="1171" xr3:uid="{3369C580-306B-42A6-BB21-D46A69840014}" name="Column1156" dataCellStyle="Normal 2"/>
    <tableColumn id="1172" xr3:uid="{630B201A-B5C1-404D-A076-A29A21E2DF21}" name="Column1157" dataCellStyle="Normal 2"/>
    <tableColumn id="1173" xr3:uid="{1DE609AD-D7F5-46BD-B6FE-6B3B2E166EF2}" name="Column1158" dataCellStyle="Normal 2"/>
    <tableColumn id="1174" xr3:uid="{DEF4AA89-6317-4E60-9A26-067D1D9BB6FD}" name="Column1159" dataCellStyle="Normal 2"/>
    <tableColumn id="1175" xr3:uid="{8CBD837F-EFDD-4AA2-B7B7-F1C7B10145D5}" name="Column1160" dataCellStyle="Normal 2"/>
    <tableColumn id="1176" xr3:uid="{DFBE4C7F-9369-4D3C-915D-39C900B7417C}" name="Column1161" dataCellStyle="Normal 2"/>
    <tableColumn id="1177" xr3:uid="{36DBC46C-71A1-405B-8280-7EBA4B0622BA}" name="Column1162" dataCellStyle="Normal 2"/>
    <tableColumn id="1178" xr3:uid="{EDE46510-6B7C-4119-92F3-00D03276B339}" name="Column1163" dataCellStyle="Normal 2"/>
    <tableColumn id="1179" xr3:uid="{070CDC0C-6445-47D1-9E85-31D5BF6EBED3}" name="Column1164" dataCellStyle="Normal 2"/>
    <tableColumn id="1180" xr3:uid="{65AF9FBB-3D5A-45AD-8082-9C3EFCCE681E}" name="Column1165" dataCellStyle="Normal 2"/>
    <tableColumn id="1181" xr3:uid="{3F028065-43DE-48E0-BDCF-EE90E0BAD6FF}" name="Column1166" dataCellStyle="Normal 2"/>
    <tableColumn id="1182" xr3:uid="{6000BE2A-D4C5-4D99-BA82-F80953BBAA55}" name="Column1167" dataCellStyle="Normal 2"/>
    <tableColumn id="1183" xr3:uid="{89B17CC5-EC73-48E7-8067-073AC606E54F}" name="Column1168" dataCellStyle="Normal 2"/>
    <tableColumn id="1184" xr3:uid="{A821614C-6703-4BD4-BA15-61E242875E42}" name="Column1169" dataCellStyle="Normal 2"/>
    <tableColumn id="1185" xr3:uid="{11D1E0C7-C464-4290-B353-8967F8E38705}" name="Column1170" dataCellStyle="Normal 2"/>
    <tableColumn id="1186" xr3:uid="{67E2791A-426D-4BFA-A6C5-F0C6998C7D3B}" name="Column1171" dataCellStyle="Normal 2"/>
    <tableColumn id="1187" xr3:uid="{6B29039E-DC73-4979-8547-D0A09A245F92}" name="Column1172" dataCellStyle="Normal 2"/>
    <tableColumn id="1188" xr3:uid="{7B8564B4-8B05-410B-8694-3EBEF35734F6}" name="Column1173" dataCellStyle="Normal 2"/>
    <tableColumn id="1189" xr3:uid="{DD393F30-1594-4FA5-8A2B-0E388F0CD0E8}" name="Column1174" dataCellStyle="Normal 2"/>
    <tableColumn id="1190" xr3:uid="{123C5F45-1936-4521-9742-D850C0443DFB}" name="Column1175" dataCellStyle="Normal 2"/>
    <tableColumn id="1191" xr3:uid="{5EEB0436-F3FC-4A39-BDB9-BE736A464D6E}" name="Column1176" dataCellStyle="Normal 2"/>
    <tableColumn id="1192" xr3:uid="{F438E612-58FA-4C54-8C19-1EFBF18033AB}" name="Column1177" dataCellStyle="Normal 2"/>
    <tableColumn id="1193" xr3:uid="{E734D409-ABE4-4DD8-B002-C39CF8E3E162}" name="Column1178" dataCellStyle="Normal 2"/>
    <tableColumn id="1194" xr3:uid="{73FA48B5-05C4-42EF-82A9-A35BFF5AE0BF}" name="Column1179" dataCellStyle="Normal 2"/>
    <tableColumn id="1195" xr3:uid="{84A66F85-6684-429D-AE0D-17DD6480123C}" name="Column1180" dataCellStyle="Normal 2"/>
    <tableColumn id="1196" xr3:uid="{9059557C-3B27-4FAE-AF20-B388A485AB6A}" name="Column1181" dataCellStyle="Normal 2"/>
    <tableColumn id="1197" xr3:uid="{D6F44BE9-245B-490D-9728-45354E05CBC0}" name="Column1182" dataCellStyle="Normal 2"/>
    <tableColumn id="1198" xr3:uid="{E627CB8C-DCEE-40F2-9DDF-B3CF6EAAD4E0}" name="Column1183" dataCellStyle="Normal 2"/>
    <tableColumn id="1199" xr3:uid="{2E9FD504-B823-4531-8CA7-4DE2D4CADC6F}" name="Column1184" dataCellStyle="Normal 2"/>
    <tableColumn id="1200" xr3:uid="{EDD206DF-2D20-49DA-81C3-BB91693A629D}" name="Column1185" dataCellStyle="Normal 2"/>
    <tableColumn id="1201" xr3:uid="{09ABF75F-0847-499F-AF97-A7A71EFBD291}" name="Column1186" dataCellStyle="Normal 2"/>
    <tableColumn id="1202" xr3:uid="{BA90D348-D691-40A3-AD64-8D0930854743}" name="Column1187" dataCellStyle="Normal 2"/>
    <tableColumn id="1203" xr3:uid="{0EC62CBA-4831-4011-B1C1-54CB30B34AE9}" name="Column1188" dataCellStyle="Normal 2"/>
    <tableColumn id="1204" xr3:uid="{661B5E23-3C31-47A0-867A-FB09082949B1}" name="Column1189" dataCellStyle="Normal 2"/>
    <tableColumn id="1205" xr3:uid="{4EBC03EB-50A0-442E-B472-30795C4F653E}" name="Column1190" dataCellStyle="Normal 2"/>
    <tableColumn id="1206" xr3:uid="{AB5A4200-A2C8-4CD0-B39E-EB53A73CADC5}" name="Column1191" dataCellStyle="Normal 2"/>
    <tableColumn id="1207" xr3:uid="{060E1834-81EB-4333-9972-8856802B2600}" name="Column1192" dataCellStyle="Normal 2"/>
    <tableColumn id="1208" xr3:uid="{E855AD4F-D3BA-4D64-8A4F-0E6D209DE9C4}" name="Column1193" dataCellStyle="Normal 2"/>
    <tableColumn id="1209" xr3:uid="{A695352E-CD9E-44C3-AA2B-47051FB9DC6C}" name="Column1194" dataCellStyle="Normal 2"/>
    <tableColumn id="1210" xr3:uid="{F7AF13F0-AB8E-4C55-82CD-15DB799D24D0}" name="Column1195" dataCellStyle="Normal 2"/>
    <tableColumn id="1211" xr3:uid="{431F2A39-B127-4061-8DD8-1A3B397C0D6A}" name="Column1196" dataCellStyle="Normal 2"/>
    <tableColumn id="1212" xr3:uid="{70F1DBD2-95C4-478D-A20A-0EA9C621BB9A}" name="Column1197" dataCellStyle="Normal 2"/>
    <tableColumn id="1213" xr3:uid="{0DBE19A0-70A0-4422-AC34-F75DA722B4F9}" name="Column1198" dataCellStyle="Normal 2"/>
    <tableColumn id="1214" xr3:uid="{1BB1C000-CF81-4C9B-9260-E00F29A5373E}" name="Column1199" dataCellStyle="Normal 2"/>
    <tableColumn id="1215" xr3:uid="{E6D06275-4B5B-4C9F-BC2F-C330D4B6BA6D}" name="Column1200" dataCellStyle="Normal 2"/>
    <tableColumn id="1216" xr3:uid="{1FCE8149-04E5-48F2-B5A0-005537C7860D}" name="Column1201" dataCellStyle="Normal 2"/>
    <tableColumn id="1217" xr3:uid="{7DF75FED-CA90-40BA-A20E-916B93A188A4}" name="Column1202" dataCellStyle="Normal 2"/>
    <tableColumn id="1218" xr3:uid="{D0216BEC-4D39-414E-8335-49658F6C6005}" name="Column1203" dataCellStyle="Normal 2"/>
    <tableColumn id="1219" xr3:uid="{F2F2CA9D-A0FC-41CC-A91A-49F283B6488A}" name="Column1204" dataCellStyle="Normal 2"/>
    <tableColumn id="1220" xr3:uid="{60077406-5197-4120-8EAC-4E9C05118233}" name="Column1205" dataCellStyle="Normal 2"/>
    <tableColumn id="1221" xr3:uid="{B86639AA-0C36-4D24-8494-11A9E942527B}" name="Column1206" dataCellStyle="Normal 2"/>
    <tableColumn id="1222" xr3:uid="{A749B6B6-9F61-4040-9F17-6CFE0150C303}" name="Column1207" dataCellStyle="Normal 2"/>
    <tableColumn id="1223" xr3:uid="{E5E00659-E327-4F40-AFE8-175C0057730B}" name="Column1208" dataCellStyle="Normal 2"/>
    <tableColumn id="1224" xr3:uid="{993FEA77-D1F8-4409-91AD-6A907763810C}" name="Column1209" dataCellStyle="Normal 2"/>
    <tableColumn id="1225" xr3:uid="{42CE1B37-1ED6-412A-9894-9049C78A942D}" name="Column1210" dataCellStyle="Normal 2"/>
    <tableColumn id="1226" xr3:uid="{997AB50B-2F73-4848-8987-21E061CED951}" name="Column1211" dataCellStyle="Normal 2"/>
    <tableColumn id="1227" xr3:uid="{61C70B40-8827-44EB-B59E-7491DD1D3830}" name="Column1212" dataCellStyle="Normal 2"/>
    <tableColumn id="1228" xr3:uid="{62DA7ABA-43B6-40B9-B239-7E9E8A855805}" name="Column1213" dataCellStyle="Normal 2"/>
    <tableColumn id="1229" xr3:uid="{3B274A33-8E5B-4B2B-BC7D-2F5320544A94}" name="Column1214" dataCellStyle="Normal 2"/>
    <tableColumn id="1230" xr3:uid="{4BC175D3-BE61-44BE-9735-C363E737C3DA}" name="Column1215" dataCellStyle="Normal 2"/>
    <tableColumn id="1231" xr3:uid="{A37BDD7F-71C2-456A-B7B0-5ACA515D2898}" name="Column1216" dataCellStyle="Normal 2"/>
    <tableColumn id="1232" xr3:uid="{879B113E-963D-40D2-987C-BB63F52708D3}" name="Column1217" dataCellStyle="Normal 2"/>
    <tableColumn id="1233" xr3:uid="{9FFDA925-C2BF-4465-9435-3623246467DC}" name="Column1218" dataCellStyle="Normal 2"/>
    <tableColumn id="1234" xr3:uid="{7F0DB927-AF5C-4193-8D45-4A6F07483A9C}" name="Column1219" dataCellStyle="Normal 2"/>
    <tableColumn id="1235" xr3:uid="{5785B1DA-7989-4693-861B-F37EE2BC58F3}" name="Column1220" dataCellStyle="Normal 2"/>
    <tableColumn id="1236" xr3:uid="{486C555D-64EE-42DF-A37E-823B4D8589D4}" name="Column1221" dataCellStyle="Normal 2"/>
    <tableColumn id="1237" xr3:uid="{8027E257-A03B-48DD-8097-040C8BCB09E6}" name="Column1222" dataCellStyle="Normal 2"/>
    <tableColumn id="1238" xr3:uid="{E86B6AFD-CD6A-4A50-9B9D-C479F3CF68E2}" name="Column1223" dataCellStyle="Normal 2"/>
    <tableColumn id="1239" xr3:uid="{5B8AE5B5-CDE0-4882-B33E-02B37145D2C3}" name="Column1224" dataCellStyle="Normal 2"/>
    <tableColumn id="1240" xr3:uid="{B78A4E19-2043-43AC-986D-CE376D16A8C3}" name="Column1225" dataCellStyle="Normal 2"/>
    <tableColumn id="1241" xr3:uid="{9A5DB083-B99F-4518-99C6-1E33C2506149}" name="Column1226" dataCellStyle="Normal 2"/>
    <tableColumn id="1242" xr3:uid="{249D2F05-4F58-48F4-868A-ADF131078604}" name="Column1227" dataCellStyle="Normal 2"/>
    <tableColumn id="1243" xr3:uid="{BDAE7A7F-4396-4679-AC2E-04B8ECA39945}" name="Column1228" dataCellStyle="Normal 2"/>
    <tableColumn id="1244" xr3:uid="{1CE930C9-648E-40CD-8337-C6D01DA1E02F}" name="Column1229" dataCellStyle="Normal 2"/>
    <tableColumn id="1245" xr3:uid="{AC78BB96-E0C7-474C-816C-4275BAFB5551}" name="Column1230" dataCellStyle="Normal 2"/>
    <tableColumn id="1246" xr3:uid="{5AD26DFD-DC73-4BD1-895B-0E95EBECD6A4}" name="Column1231" dataCellStyle="Normal 2"/>
    <tableColumn id="1247" xr3:uid="{67D7BEF9-D3A9-4932-9E03-2A394DC7E476}" name="Column1232" dataCellStyle="Normal 2"/>
    <tableColumn id="1248" xr3:uid="{8F48744A-4D4C-4266-BF55-E7F2C1D935A0}" name="Column1233" dataCellStyle="Normal 2"/>
    <tableColumn id="1249" xr3:uid="{44C9323B-4002-43DF-A1CA-30CE76BF1B43}" name="Column1234" dataCellStyle="Normal 2"/>
    <tableColumn id="1250" xr3:uid="{D8E78A77-700C-498E-866E-0A8983E7730C}" name="Column1235" dataCellStyle="Normal 2"/>
    <tableColumn id="1251" xr3:uid="{BF76C4CF-14E2-4C0D-B004-A316A4BC1C40}" name="Column1236" dataCellStyle="Normal 2"/>
    <tableColumn id="1252" xr3:uid="{BA0C3EB1-DEF1-42F8-B58C-55DA56F20F1C}" name="Column1237" dataCellStyle="Normal 2"/>
    <tableColumn id="1253" xr3:uid="{193D5FB0-78D5-4847-8203-BD659BF87857}" name="Column1238" dataCellStyle="Normal 2"/>
    <tableColumn id="1254" xr3:uid="{722B90E7-F57F-43F2-B52A-DB9E03A78A88}" name="Column1239" dataCellStyle="Normal 2"/>
    <tableColumn id="1255" xr3:uid="{C5AB2A22-5DF9-4DF2-A26B-D51F4E60872A}" name="Column1240" dataCellStyle="Normal 2"/>
    <tableColumn id="1256" xr3:uid="{7CECE737-00FD-4861-B104-061B85702825}" name="Column1241" dataCellStyle="Normal 2"/>
    <tableColumn id="1257" xr3:uid="{BB28ADDE-D085-4BE5-9A00-669AD6B35B2A}" name="Column1242" dataCellStyle="Normal 2"/>
    <tableColumn id="1258" xr3:uid="{3B37B7FD-815E-4543-AE2B-9DB2C9D1BB77}" name="Column1243" dataCellStyle="Normal 2"/>
    <tableColumn id="1259" xr3:uid="{B94D735C-FF05-4B85-AC93-3F7C027CDCEC}" name="Column1244" dataCellStyle="Normal 2"/>
    <tableColumn id="1260" xr3:uid="{519A96DF-A9E5-4EE6-B592-2A196F4587FE}" name="Column1245" dataCellStyle="Normal 2"/>
    <tableColumn id="1261" xr3:uid="{A93ECA4A-9F72-4A42-8E41-F3CADCFC12BF}" name="Column1246" dataCellStyle="Normal 2"/>
    <tableColumn id="1262" xr3:uid="{F121B9FF-3804-499A-824F-B0F83686E27F}" name="Column1247" dataCellStyle="Normal 2"/>
    <tableColumn id="1263" xr3:uid="{36320248-91D1-4D45-A53A-1A94CECD3C14}" name="Column1248" dataCellStyle="Normal 2"/>
    <tableColumn id="1264" xr3:uid="{75AF1600-5F6C-4F22-A355-F40FFF83F6CA}" name="Column1249" dataCellStyle="Normal 2"/>
    <tableColumn id="1265" xr3:uid="{FB666D8F-52C8-400A-9A65-DEAEAC40E1D6}" name="Column1250" dataCellStyle="Normal 2"/>
    <tableColumn id="1266" xr3:uid="{66C86F16-BDFF-436A-B49C-E03025F1A1B3}" name="Column1251" dataCellStyle="Normal 2"/>
    <tableColumn id="1267" xr3:uid="{63ED0EA8-3646-4FD9-A4E3-FB4A6F815EB9}" name="Column1252" dataCellStyle="Normal 2"/>
    <tableColumn id="1268" xr3:uid="{9A7C6675-9C97-45CB-9C33-EC566F9FF2A4}" name="Column1253" dataCellStyle="Normal 2"/>
    <tableColumn id="1269" xr3:uid="{8DB8F31F-3D76-44B0-8BA3-7FC52C681832}" name="Column1254" dataCellStyle="Normal 2"/>
    <tableColumn id="1270" xr3:uid="{F7C1E02C-2697-400F-AD1D-74825FBB85CB}" name="Column1255" dataCellStyle="Normal 2"/>
    <tableColumn id="1271" xr3:uid="{1B484E9C-29D0-4C00-AE2A-D379E867A469}" name="Column1256" dataCellStyle="Normal 2"/>
    <tableColumn id="1272" xr3:uid="{18669D64-D6F8-4E69-88C3-593C13235A6E}" name="Column1257" dataCellStyle="Normal 2"/>
    <tableColumn id="1273" xr3:uid="{47FBA063-FD70-4EF4-83B6-606608014266}" name="Column1258" dataCellStyle="Normal 2"/>
    <tableColumn id="1274" xr3:uid="{8EB026BB-F1FA-4680-AB52-A784696BFD92}" name="Column1259" dataCellStyle="Normal 2"/>
    <tableColumn id="1275" xr3:uid="{7F7582FC-7559-4322-AF90-D7AB9E24BF50}" name="Column1260" dataCellStyle="Normal 2"/>
    <tableColumn id="1276" xr3:uid="{C1DA57D5-DBBD-42D8-8FCA-3C63A1EE4C05}" name="Column1261" dataCellStyle="Normal 2"/>
    <tableColumn id="1277" xr3:uid="{6229AB1B-A650-4650-8CB3-2622F482EB37}" name="Column1262" dataCellStyle="Normal 2"/>
    <tableColumn id="1278" xr3:uid="{561D64E5-4DEF-4089-A2FB-C9E098B10324}" name="Column1263" dataCellStyle="Normal 2"/>
    <tableColumn id="1279" xr3:uid="{49369855-3927-426E-B877-A43F6C3D3355}" name="Column1264" dataCellStyle="Normal 2"/>
    <tableColumn id="1280" xr3:uid="{1C63971C-2E19-4C9B-8143-A1EDBFC22DA9}" name="Column1265" dataCellStyle="Normal 2"/>
    <tableColumn id="1281" xr3:uid="{3FAFD093-A70D-4C39-A127-08C772545EAA}" name="Column1266" dataCellStyle="Normal 2"/>
    <tableColumn id="1282" xr3:uid="{93B93AC3-FD77-428E-8893-2BE8E3E5567C}" name="Column1267" dataCellStyle="Normal 2"/>
    <tableColumn id="1283" xr3:uid="{18A637A2-4F85-4369-ABDB-D422FE5545E6}" name="Column1268" dataCellStyle="Normal 2"/>
    <tableColumn id="1284" xr3:uid="{2219C79D-6FDD-4FBE-9C73-FAF04A1496FE}" name="Column1269" dataCellStyle="Normal 2"/>
    <tableColumn id="1285" xr3:uid="{F086F6FA-8FBA-4452-B210-2232399DB88F}" name="Column1270" dataCellStyle="Normal 2"/>
    <tableColumn id="1286" xr3:uid="{65311A3C-0EC1-4AE2-8DD8-04B6B629E1B8}" name="Column1271" dataCellStyle="Normal 2"/>
    <tableColumn id="1287" xr3:uid="{3A0DFB43-14BE-4E6C-8A66-760138B82BC5}" name="Column1272" dataCellStyle="Normal 2"/>
    <tableColumn id="1288" xr3:uid="{A78843C2-2210-4E8E-9564-BBAF261875DF}" name="Column1273" dataCellStyle="Normal 2"/>
    <tableColumn id="1289" xr3:uid="{E499EB7F-E9D4-4100-A3A8-9CF32BD8947C}" name="Column1274" dataCellStyle="Normal 2"/>
    <tableColumn id="1290" xr3:uid="{46C53C16-9267-4622-B690-A3688D6D6F08}" name="Column1275" dataCellStyle="Normal 2"/>
    <tableColumn id="1291" xr3:uid="{0CE70572-C27F-422C-9035-65DBA24EB4E9}" name="Column1276" dataCellStyle="Normal 2"/>
    <tableColumn id="1292" xr3:uid="{4AE2AFFC-5F31-40EE-838A-4EAF5C6B8B9A}" name="Column1277" dataCellStyle="Normal 2"/>
    <tableColumn id="1293" xr3:uid="{B0EF0CAB-FDD5-46BE-88E6-2630D5AF747C}" name="Column1278" dataCellStyle="Normal 2"/>
    <tableColumn id="1294" xr3:uid="{D08BC06E-F2C2-405C-8EB8-9AF2FD7C8696}" name="Column1279" dataCellStyle="Normal 2"/>
    <tableColumn id="1295" xr3:uid="{078A20FA-CD51-4B67-A5A5-8A1331771F39}" name="Column1280" dataCellStyle="Normal 2"/>
    <tableColumn id="1296" xr3:uid="{413E05DF-DD90-41E9-8BCC-0E1C1A6BB483}" name="Column1281" dataCellStyle="Normal 2"/>
    <tableColumn id="1297" xr3:uid="{492E6CD9-7EC1-4489-BF14-E1EBACD847D0}" name="Column1282" dataCellStyle="Normal 2"/>
    <tableColumn id="1298" xr3:uid="{2E38D1DA-C412-4D0C-B036-BF66333153BE}" name="Column1283" dataCellStyle="Normal 2"/>
    <tableColumn id="1299" xr3:uid="{11B0257F-0776-4862-8F1D-1404EF535BB3}" name="Column1284" dataCellStyle="Normal 2"/>
    <tableColumn id="1300" xr3:uid="{CD923437-1C5B-4A69-BA3D-A2E36EAE2D12}" name="Column1285" dataCellStyle="Normal 2"/>
    <tableColumn id="1301" xr3:uid="{0D17903F-55A0-4556-8F10-3B0EE5B3431A}" name="Column1286" dataCellStyle="Normal 2"/>
    <tableColumn id="1302" xr3:uid="{EF7112E9-20CB-4745-B39A-EDA1FD111D35}" name="Column1287" dataCellStyle="Normal 2"/>
    <tableColumn id="1303" xr3:uid="{249FEA08-75C4-46F5-A6B6-B6CA32B0D69A}" name="Column1288" dataCellStyle="Normal 2"/>
    <tableColumn id="1304" xr3:uid="{34EEB86F-558B-45C7-BF9B-6D28AD79AEA4}" name="Column1289" dataCellStyle="Normal 2"/>
    <tableColumn id="1305" xr3:uid="{5D594CFF-08AD-44EE-AE0E-CE61B24F9EE3}" name="Column1290" dataCellStyle="Normal 2"/>
    <tableColumn id="1306" xr3:uid="{283BE479-1C4A-499B-A2FE-79D9D007F05D}" name="Column1291" dataCellStyle="Normal 2"/>
    <tableColumn id="1307" xr3:uid="{B7CB8FB1-D48D-47BC-AA35-190F841F2E62}" name="Column1292" dataCellStyle="Normal 2"/>
    <tableColumn id="1308" xr3:uid="{F04742EF-015E-4DDC-A351-35493BF4E41D}" name="Column1293" dataCellStyle="Normal 2"/>
    <tableColumn id="1309" xr3:uid="{7BD3AE9A-4D8B-472D-BE08-6DEC63D0BFFB}" name="Column1294" dataCellStyle="Normal 2"/>
    <tableColumn id="1310" xr3:uid="{899E2410-F706-4E78-A3A0-47B292ABD12E}" name="Column1295" dataCellStyle="Normal 2"/>
    <tableColumn id="1311" xr3:uid="{4E0053AB-EAAD-4E78-ADC7-7D669D5B7E4C}" name="Column1296" dataCellStyle="Normal 2"/>
    <tableColumn id="1312" xr3:uid="{D7A6F263-CF38-48B9-B104-A9EE9E5678FC}" name="Column1297" dataCellStyle="Normal 2"/>
    <tableColumn id="1313" xr3:uid="{B941F9B4-614D-4A4F-998C-EF854E3115FB}" name="Column1298" dataCellStyle="Normal 2"/>
    <tableColumn id="1314" xr3:uid="{46F6A2C2-6C7F-4C68-BF87-E97F04E372D6}" name="Column1299" dataCellStyle="Normal 2"/>
    <tableColumn id="1315" xr3:uid="{359DD5DC-AD9B-4CF7-872F-0052785EEF62}" name="Column1300" dataCellStyle="Normal 2"/>
    <tableColumn id="1316" xr3:uid="{2B109C23-41C6-4977-9739-0F5E76753067}" name="Column1301" dataCellStyle="Normal 2"/>
    <tableColumn id="1317" xr3:uid="{5EA52D75-99F0-47A8-B6AF-B70A1BF1DFAF}" name="Column1302" dataCellStyle="Normal 2"/>
    <tableColumn id="1318" xr3:uid="{99E099DA-2795-4721-9731-E124E910F9A1}" name="Column1303" dataCellStyle="Normal 2"/>
    <tableColumn id="1319" xr3:uid="{33038FE8-15B7-438A-AB2E-79A2B86EBC28}" name="Column1304" dataCellStyle="Normal 2"/>
    <tableColumn id="1320" xr3:uid="{458C7A60-215F-4897-8F0C-CD231F1333D7}" name="Column1305" dataCellStyle="Normal 2"/>
    <tableColumn id="1321" xr3:uid="{651852DD-1452-48AB-AA13-B450954EAD34}" name="Column1306" dataCellStyle="Normal 2"/>
    <tableColumn id="1322" xr3:uid="{FEFA4A3C-94F9-4A0F-BF69-D97161E02128}" name="Column1307" dataCellStyle="Normal 2"/>
    <tableColumn id="1323" xr3:uid="{02D8C786-EE25-4D08-BC8B-4CB8E4953161}" name="Column1308" dataCellStyle="Normal 2"/>
    <tableColumn id="1324" xr3:uid="{0FF74C9C-C675-4BCA-B931-5DD19D094F39}" name="Column1309" dataCellStyle="Normal 2"/>
    <tableColumn id="1325" xr3:uid="{C971B01C-89CE-4864-8391-B7E5F54C91E0}" name="Column1310" dataCellStyle="Normal 2"/>
    <tableColumn id="1326" xr3:uid="{4EE0677F-E6D6-40F6-990F-0F66AD6FDFAE}" name="Column1311" dataCellStyle="Normal 2"/>
    <tableColumn id="1327" xr3:uid="{25848FB0-A391-4274-AA25-6D6653E5443E}" name="Column1312" dataCellStyle="Normal 2"/>
    <tableColumn id="1328" xr3:uid="{81FE07AD-98F8-4133-B879-EBF34FF896BC}" name="Column1313" dataCellStyle="Normal 2"/>
    <tableColumn id="1329" xr3:uid="{65C704A2-F13E-4D24-8D46-3FDD7F68014E}" name="Column1314" dataCellStyle="Normal 2"/>
    <tableColumn id="1330" xr3:uid="{96E03E45-EA68-4DF7-B532-4E75D562FFF0}" name="Column1315" dataCellStyle="Normal 2"/>
    <tableColumn id="1331" xr3:uid="{79A98688-AF81-43F2-907B-EA8106ED576C}" name="Column1316" dataCellStyle="Normal 2"/>
    <tableColumn id="1332" xr3:uid="{397D44F3-336D-4B68-92A7-AB342BAF2CFA}" name="Column1317" dataCellStyle="Normal 2"/>
    <tableColumn id="1333" xr3:uid="{AB93DA24-9D82-463D-897F-E1E026E0801F}" name="Column1318" dataCellStyle="Normal 2"/>
    <tableColumn id="1334" xr3:uid="{E49D849C-724A-4637-8A57-0EBB18050D23}" name="Column1319" dataCellStyle="Normal 2"/>
    <tableColumn id="1335" xr3:uid="{2B6C0F3F-B76B-444C-BE07-2DB75E0E8109}" name="Column1320" dataCellStyle="Normal 2"/>
    <tableColumn id="1336" xr3:uid="{BB1BC486-1CD8-43F2-A44E-B3F020F07750}" name="Column1321" dataCellStyle="Normal 2"/>
    <tableColumn id="1337" xr3:uid="{A63B24D9-F819-48C8-B61F-DB11C3312C02}" name="Column1322" dataCellStyle="Normal 2"/>
    <tableColumn id="1338" xr3:uid="{22464EC8-1470-4652-BA86-68A5605BB463}" name="Column1323" dataCellStyle="Normal 2"/>
    <tableColumn id="1339" xr3:uid="{7EB0F637-02DB-46AC-A570-7C512AFF5A7B}" name="Column1324" dataCellStyle="Normal 2"/>
    <tableColumn id="1340" xr3:uid="{1E41988C-8D31-4BBF-9325-1B2B36276161}" name="Column1325" dataCellStyle="Normal 2"/>
    <tableColumn id="1341" xr3:uid="{AD23B4AC-3EF9-414E-8EA1-9128F47547B2}" name="Column1326" dataCellStyle="Normal 2"/>
    <tableColumn id="1342" xr3:uid="{D5D4708F-5F00-45E7-ACD4-1E9B77542006}" name="Column1327" dataCellStyle="Normal 2"/>
    <tableColumn id="1343" xr3:uid="{9489A3E5-E7DC-4114-8DA4-9D36959AA221}" name="Column1328" dataCellStyle="Normal 2"/>
    <tableColumn id="1344" xr3:uid="{D69C81A3-730B-46CD-9705-4390E47F92CF}" name="Column1329" dataCellStyle="Normal 2"/>
    <tableColumn id="1345" xr3:uid="{15103234-CB52-4A34-AC7B-CE5F654D08C5}" name="Column1330" dataCellStyle="Normal 2"/>
    <tableColumn id="1346" xr3:uid="{5EBDF4F1-4525-4426-A5B6-1CFCE7DDD0B1}" name="Column1331" dataCellStyle="Normal 2"/>
    <tableColumn id="1347" xr3:uid="{35AA8BDE-D4DD-4050-9B9C-4BDFC9FC0184}" name="Column1332" dataCellStyle="Normal 2"/>
    <tableColumn id="1348" xr3:uid="{35DD52E3-E99E-4C7A-96D0-93685500B7D5}" name="Column1333" dataCellStyle="Normal 2"/>
    <tableColumn id="1349" xr3:uid="{1AAE9232-15DD-4293-9725-280F924ADFF9}" name="Column1334" dataCellStyle="Normal 2"/>
    <tableColumn id="1350" xr3:uid="{42C925B4-1931-40FB-BBF9-2D3312AD4287}" name="Column1335" dataCellStyle="Normal 2"/>
    <tableColumn id="1351" xr3:uid="{C7DBB178-1F55-4CF1-9E5D-A879B1F86996}" name="Column1336" dataCellStyle="Normal 2"/>
    <tableColumn id="1352" xr3:uid="{7DF6109A-18E1-4F63-A7CE-979F7CF87779}" name="Column1337" dataCellStyle="Normal 2"/>
    <tableColumn id="1353" xr3:uid="{58C77578-FAB8-40BD-BFEE-672E6CFD3B54}" name="Column1338" dataCellStyle="Normal 2"/>
    <tableColumn id="1354" xr3:uid="{CE7DB1F1-C4A7-40FF-9E47-2D61D766B053}" name="Column1339" dataCellStyle="Normal 2"/>
    <tableColumn id="1355" xr3:uid="{E7FD21A4-C494-4B7D-9ABB-A7D7A2B49D79}" name="Column1340" dataCellStyle="Normal 2"/>
    <tableColumn id="1356" xr3:uid="{2DBC7F87-DD9F-4F43-AC08-1D71F767CB54}" name="Column1341" dataCellStyle="Normal 2"/>
    <tableColumn id="1357" xr3:uid="{6589BECA-C474-424A-9191-553BC3450FBC}" name="Column1342" dataCellStyle="Normal 2"/>
    <tableColumn id="1358" xr3:uid="{9BD86CB4-B5F4-4B02-B1A1-33C96A4BA83F}" name="Column1343" dataCellStyle="Normal 2"/>
    <tableColumn id="1359" xr3:uid="{BFFEA099-D1A3-46DC-993C-9B5ECADFCE96}" name="Column1344" dataCellStyle="Normal 2"/>
    <tableColumn id="1360" xr3:uid="{F84EA362-C09B-402A-B4D8-88CC11F0B446}" name="Column1345" dataCellStyle="Normal 2"/>
    <tableColumn id="1361" xr3:uid="{65ECF91F-29F0-4450-94B4-DF256AB32C06}" name="Column1346" dataCellStyle="Normal 2"/>
    <tableColumn id="1362" xr3:uid="{7884E2BD-4BEC-4429-AA8B-E687B61D66A1}" name="Column1347" dataCellStyle="Normal 2"/>
    <tableColumn id="1363" xr3:uid="{86938C4D-C385-4943-8437-287B23E1F020}" name="Column1348" dataCellStyle="Normal 2"/>
    <tableColumn id="1364" xr3:uid="{85225F07-26ED-426E-AB15-36CF00F96793}" name="Column1349" dataCellStyle="Normal 2"/>
    <tableColumn id="1365" xr3:uid="{FAB7ADFF-65BD-4C71-B74E-B452938D2CEB}" name="Column1350" dataCellStyle="Normal 2"/>
    <tableColumn id="1366" xr3:uid="{D3BEC6B6-B818-4164-B91B-0930AD522594}" name="Column1351" dataCellStyle="Normal 2"/>
    <tableColumn id="1367" xr3:uid="{CC688F85-CBD9-416B-AAD6-5E7EFF9DB99E}" name="Column1352" dataCellStyle="Normal 2"/>
    <tableColumn id="1368" xr3:uid="{3F97B2CB-0F42-48D6-A75A-CB520D8AC035}" name="Column1353" dataCellStyle="Normal 2"/>
    <tableColumn id="1369" xr3:uid="{37CAC3F2-1418-42D6-AB7F-78A0F7B4A370}" name="Column1354" dataCellStyle="Normal 2"/>
    <tableColumn id="1370" xr3:uid="{C3C0D687-6632-4929-9104-FDD1EA42F6F6}" name="Column1355" dataCellStyle="Normal 2"/>
    <tableColumn id="1371" xr3:uid="{EE1A936F-C324-4BB1-A7FD-628792EF8934}" name="Column1356" dataCellStyle="Normal 2"/>
    <tableColumn id="1372" xr3:uid="{1D36FDDC-7F76-477D-ACEC-399BDF5BB40D}" name="Column1357" dataCellStyle="Normal 2"/>
    <tableColumn id="1373" xr3:uid="{69C1CAA9-AD2C-4391-8E20-1E8CB96D27BC}" name="Column1358" dataCellStyle="Normal 2"/>
    <tableColumn id="1374" xr3:uid="{FB1EF218-097F-47E7-AA91-4B3DDE15477A}" name="Column1359" dataCellStyle="Normal 2"/>
    <tableColumn id="1375" xr3:uid="{7DF28D97-C49D-42F8-99AE-E7A44E45D428}" name="Column1360" dataCellStyle="Normal 2"/>
    <tableColumn id="1376" xr3:uid="{1BC5A6AA-B4CC-46EA-89BB-867FC12286A5}" name="Column1361" dataCellStyle="Normal 2"/>
    <tableColumn id="1377" xr3:uid="{B3E7299C-976E-4739-A141-B4CFDB4F3682}" name="Column1362" dataCellStyle="Normal 2"/>
    <tableColumn id="1378" xr3:uid="{CBE377F5-C5C9-4397-A218-46D1C16867E3}" name="Column1363" dataCellStyle="Normal 2"/>
    <tableColumn id="1379" xr3:uid="{CC1669AE-A299-415B-8216-8A0A943F7926}" name="Column1364" dataCellStyle="Normal 2"/>
    <tableColumn id="1380" xr3:uid="{516D057D-10CE-4DAA-A714-7BC64A6ED959}" name="Column1365" dataCellStyle="Normal 2"/>
    <tableColumn id="1381" xr3:uid="{EAD8A118-AFDE-4F8C-A4E6-0F5A3787FB35}" name="Column1366" dataCellStyle="Normal 2"/>
    <tableColumn id="1382" xr3:uid="{088EE420-A3B7-4D53-99C5-AD9209B09012}" name="Column1367" dataCellStyle="Normal 2"/>
    <tableColumn id="1383" xr3:uid="{993E77BE-500D-4CD5-AEB1-1C69A604D1F5}" name="Column1368" dataCellStyle="Normal 2"/>
    <tableColumn id="1384" xr3:uid="{2BA8C6AB-C83B-4240-838F-A18D2AF199C5}" name="Column1369" dataCellStyle="Normal 2"/>
    <tableColumn id="1385" xr3:uid="{30E70715-47D7-4EF9-9C20-11606E358728}" name="Column1370" dataCellStyle="Normal 2"/>
    <tableColumn id="1386" xr3:uid="{278BC137-90C4-41C1-8DD8-CEEE685A3C07}" name="Column1371" dataCellStyle="Normal 2"/>
    <tableColumn id="1387" xr3:uid="{DCF52E32-01BA-47BB-A076-A165FB1E4711}" name="Column1372" dataCellStyle="Normal 2"/>
    <tableColumn id="1388" xr3:uid="{1ADEF79F-A93C-4713-B79F-91F611971987}" name="Column1373" dataCellStyle="Normal 2"/>
    <tableColumn id="1389" xr3:uid="{B7CFF833-3E61-4899-81B5-778145163427}" name="Column1374" dataCellStyle="Normal 2"/>
    <tableColumn id="1390" xr3:uid="{822E606B-C150-422A-89ED-35DEB42BE746}" name="Column1375" dataCellStyle="Normal 2"/>
    <tableColumn id="1391" xr3:uid="{9DB06EA8-756D-44E7-A651-7C544475DB0E}" name="Column1376" dataCellStyle="Normal 2"/>
    <tableColumn id="1392" xr3:uid="{C34FBAC5-022F-4623-A3BB-AAE617F251EF}" name="Column1377" dataCellStyle="Normal 2"/>
    <tableColumn id="1393" xr3:uid="{C1E850EC-BEEE-4AF7-B22E-26021FBDDCA8}" name="Column1378" dataCellStyle="Normal 2"/>
    <tableColumn id="1394" xr3:uid="{F34F8B8F-6ECE-4793-B7C3-D89E315CE08F}" name="Column1379" dataCellStyle="Normal 2"/>
    <tableColumn id="1395" xr3:uid="{5D74D014-DABA-4FDC-9CA7-60D8FBD45B7E}" name="Column1380" dataCellStyle="Normal 2"/>
    <tableColumn id="1396" xr3:uid="{5362DBDD-7E88-48BA-A1A4-31DF26416B1B}" name="Column1381" dataCellStyle="Normal 2"/>
    <tableColumn id="1397" xr3:uid="{C03219AE-F0A5-4E2D-BAA8-FC6649A4A76C}" name="Column1382" dataCellStyle="Normal 2"/>
    <tableColumn id="1398" xr3:uid="{045ADB09-B9A9-425B-879E-34EE9349631A}" name="Column1383" dataCellStyle="Normal 2"/>
    <tableColumn id="1399" xr3:uid="{2B99303E-E11A-4BBE-A0C7-7646F9A7834A}" name="Column1384" dataCellStyle="Normal 2"/>
    <tableColumn id="1400" xr3:uid="{B4911BB0-AF0F-49D1-98C6-BE3202C6F6A0}" name="Column1385" dataCellStyle="Normal 2"/>
    <tableColumn id="1401" xr3:uid="{2D4AD0D9-B13B-4898-87E0-2A51B3B06916}" name="Column1386" dataCellStyle="Normal 2"/>
    <tableColumn id="1402" xr3:uid="{EE23BBF6-C950-40D6-B803-A21931228596}" name="Column1387" dataCellStyle="Normal 2"/>
    <tableColumn id="1403" xr3:uid="{5EB6B2AD-B25D-40F5-AA69-310EA98C0586}" name="Column1388" dataCellStyle="Normal 2"/>
    <tableColumn id="1404" xr3:uid="{DBA3748F-7DFE-4E05-B152-2DEEBE1E6379}" name="Column1389" dataCellStyle="Normal 2"/>
    <tableColumn id="1405" xr3:uid="{05EE181A-4EA8-427D-B864-D1D6F0E8F792}" name="Column1390" dataCellStyle="Normal 2"/>
    <tableColumn id="1406" xr3:uid="{77A47A2F-6BC9-47AD-85DA-F241E5F40B28}" name="Column1391" dataCellStyle="Normal 2"/>
    <tableColumn id="1407" xr3:uid="{CB56C9F6-5ECC-4AB7-B968-02DE4A8FC942}" name="Column1392" dataCellStyle="Normal 2"/>
    <tableColumn id="1408" xr3:uid="{1765F771-F562-454D-9685-0889944DAC5E}" name="Column1393" dataCellStyle="Normal 2"/>
    <tableColumn id="1409" xr3:uid="{CDF5968A-22C7-4642-A4AA-18E5832B1351}" name="Column1394" dataCellStyle="Normal 2"/>
    <tableColumn id="1410" xr3:uid="{E9341155-FDCC-4139-AF9F-665D71EAB68A}" name="Column1395" dataCellStyle="Normal 2"/>
    <tableColumn id="1411" xr3:uid="{DAF71D91-5FC8-4AAD-A05D-253747CF3B9E}" name="Column1396" dataCellStyle="Normal 2"/>
    <tableColumn id="1412" xr3:uid="{DACBF4AB-1DDA-4BDD-B8AA-1684BC94541D}" name="Column1397" dataCellStyle="Normal 2"/>
    <tableColumn id="1413" xr3:uid="{A773F272-4FBF-4F72-A917-7BCECA096313}" name="Column1398" dataCellStyle="Normal 2"/>
    <tableColumn id="1414" xr3:uid="{402B1810-F8DF-43F8-B294-DF50169F2911}" name="Column1399" dataCellStyle="Normal 2"/>
    <tableColumn id="1415" xr3:uid="{8E780B1A-CD98-4023-840B-C1D33AA39026}" name="Column1400" dataCellStyle="Normal 2"/>
    <tableColumn id="1416" xr3:uid="{9AA8C180-CD79-4712-8F16-139150CA0025}" name="Column1401" dataCellStyle="Normal 2"/>
    <tableColumn id="1417" xr3:uid="{59C0DB1B-9919-4BCB-A7FC-DCB8B2D1112C}" name="Column1402" dataCellStyle="Normal 2"/>
    <tableColumn id="1418" xr3:uid="{0E9F847D-0D17-4AA4-903A-CC31D42D83DD}" name="Column1403" dataCellStyle="Normal 2"/>
    <tableColumn id="1419" xr3:uid="{77EDB75C-0D74-4090-A6B5-4276C849DBC3}" name="Column1404" dataCellStyle="Normal 2"/>
    <tableColumn id="1420" xr3:uid="{70DE7BD3-432C-4C2E-A6DF-FE49E0B18C26}" name="Column1405" dataCellStyle="Normal 2"/>
    <tableColumn id="1421" xr3:uid="{760C5E5E-1F35-40E0-9F54-DF6B71C23198}" name="Column1406" dataCellStyle="Normal 2"/>
    <tableColumn id="1422" xr3:uid="{403217FF-BB50-4E64-8BE7-F7D509C8DB94}" name="Column1407" dataCellStyle="Normal 2"/>
    <tableColumn id="1423" xr3:uid="{DAD5D850-2713-4BCF-B4A5-39C8CEE8CA1F}" name="Column1408" dataCellStyle="Normal 2"/>
    <tableColumn id="1424" xr3:uid="{B7D032AC-D509-4745-A04A-A5AB3E29F086}" name="Column1409" dataCellStyle="Normal 2"/>
    <tableColumn id="1425" xr3:uid="{8ED008C5-4AF0-407C-AE90-24C5C6BBB80C}" name="Column1410" dataCellStyle="Normal 2"/>
    <tableColumn id="1426" xr3:uid="{C318CE2F-79E2-4347-9F52-9F7A563DC202}" name="Column1411" dataCellStyle="Normal 2"/>
    <tableColumn id="1427" xr3:uid="{7162D26E-9E77-47C5-898D-0A4105FAF1B5}" name="Column1412" dataCellStyle="Normal 2"/>
    <tableColumn id="1428" xr3:uid="{9B955469-5889-49FC-8B4A-F701101496E7}" name="Column1413" dataCellStyle="Normal 2"/>
    <tableColumn id="1429" xr3:uid="{14E14F46-AE25-4272-B94C-BA083C2FB36D}" name="Column1414" dataCellStyle="Normal 2"/>
    <tableColumn id="1430" xr3:uid="{7757C842-B7AC-4625-BA72-44B5406526FC}" name="Column1415" dataCellStyle="Normal 2"/>
    <tableColumn id="1431" xr3:uid="{38AF08A0-0775-45FB-A924-022B66FAF7EE}" name="Column1416" dataCellStyle="Normal 2"/>
    <tableColumn id="1432" xr3:uid="{9053379C-518F-4E24-9EE9-C29CE500F4F7}" name="Column1417" dataCellStyle="Normal 2"/>
    <tableColumn id="1433" xr3:uid="{A16FF09E-B9FA-4551-AA13-B94E9202DBEE}" name="Column1418" dataCellStyle="Normal 2"/>
    <tableColumn id="1434" xr3:uid="{0DD1D2A2-36AA-490F-9DA9-61A3D173FEC2}" name="Column1419" dataCellStyle="Normal 2"/>
    <tableColumn id="1435" xr3:uid="{8FD016A3-6664-421D-914D-7D2FF44AFDA4}" name="Column1420" dataCellStyle="Normal 2"/>
    <tableColumn id="1436" xr3:uid="{52CD01A5-3A5C-42DD-BBDC-8C51A046F4C6}" name="Column1421" dataCellStyle="Normal 2"/>
    <tableColumn id="1437" xr3:uid="{2F934029-8126-4B86-BFD1-97140B8CC7F4}" name="Column1422" dataCellStyle="Normal 2"/>
    <tableColumn id="1438" xr3:uid="{115977E4-0798-4418-BCC2-B56A69C54AED}" name="Column1423" dataCellStyle="Normal 2"/>
    <tableColumn id="1439" xr3:uid="{FEE9F37F-A9B8-4BC1-96DC-74AEE5E082C5}" name="Column1424" dataCellStyle="Normal 2"/>
    <tableColumn id="1440" xr3:uid="{67A753A2-7348-4C79-A4C9-CB436535B4D1}" name="Column1425" dataCellStyle="Normal 2"/>
    <tableColumn id="1441" xr3:uid="{C168778F-6030-4730-BA0F-3475033A0B53}" name="Column1426" dataCellStyle="Normal 2"/>
    <tableColumn id="1442" xr3:uid="{971B97EC-3A1F-457F-98B5-EE4EC0F325B1}" name="Column1427" dataCellStyle="Normal 2"/>
    <tableColumn id="1443" xr3:uid="{F02406D9-C3B3-4A11-A392-D8902DEF45AC}" name="Column1428" dataCellStyle="Normal 2"/>
    <tableColumn id="1444" xr3:uid="{0AA2D94E-C310-4E04-8E58-7FB203E992A4}" name="Column1429" dataCellStyle="Normal 2"/>
    <tableColumn id="1445" xr3:uid="{0DC80695-FFA7-4DAA-A4F7-BEB3C151C0A9}" name="Column1430" dataCellStyle="Normal 2"/>
    <tableColumn id="1446" xr3:uid="{799B3B59-B56D-4AC7-B5B9-33B9C40D2438}" name="Column1431" dataCellStyle="Normal 2"/>
    <tableColumn id="1447" xr3:uid="{CDBD827F-D6F1-4808-AFBB-6EB050D0431A}" name="Column1432" dataCellStyle="Normal 2"/>
    <tableColumn id="1448" xr3:uid="{575DE731-50B6-4E27-BB89-61F27FDA1D1B}" name="Column1433" dataCellStyle="Normal 2"/>
    <tableColumn id="1449" xr3:uid="{0C72DC70-FAB9-4C59-AF17-16A64FD94DA9}" name="Column1434" dataCellStyle="Normal 2"/>
    <tableColumn id="1450" xr3:uid="{556A8B12-1540-4DCB-AF5C-B9BD41B698DC}" name="Column1435" dataCellStyle="Normal 2"/>
    <tableColumn id="1451" xr3:uid="{4815164F-0FBE-4FB2-8004-775D13F3412A}" name="Column1436" dataCellStyle="Normal 2"/>
    <tableColumn id="1452" xr3:uid="{27E51665-1676-4026-89FD-8A0EC65CB15B}" name="Column1437" dataCellStyle="Normal 2"/>
    <tableColumn id="1453" xr3:uid="{88BE9A50-9295-47B8-8B6B-58D77C59CB2C}" name="Column1438" dataCellStyle="Normal 2"/>
    <tableColumn id="1454" xr3:uid="{5598B440-AFC0-48D3-ADF3-0FCB53BF12A6}" name="Column1439" dataCellStyle="Normal 2"/>
    <tableColumn id="1455" xr3:uid="{FB6E2BCC-D0E7-451B-B447-5E3BFFF5C4F2}" name="Column1440" dataCellStyle="Normal 2"/>
    <tableColumn id="1456" xr3:uid="{8E3AF4AE-E21B-4A58-A411-34AA172087BC}" name="Column1441" dataCellStyle="Normal 2"/>
    <tableColumn id="1457" xr3:uid="{6FC0486A-4173-479C-B1BF-00739F41E23F}" name="Column1442" dataCellStyle="Normal 2"/>
    <tableColumn id="1458" xr3:uid="{83834832-E277-43AE-9AD6-0ED9A79A5C59}" name="Column1443" dataCellStyle="Normal 2"/>
    <tableColumn id="1459" xr3:uid="{D91DC1B8-FB54-4EE2-84D8-85D0DC81B795}" name="Column1444" dataCellStyle="Normal 2"/>
    <tableColumn id="1460" xr3:uid="{1DFC234A-554C-4BAB-A713-31872D31CEA3}" name="Column1445" dataCellStyle="Normal 2"/>
    <tableColumn id="1461" xr3:uid="{12D7F7AA-D542-48D0-940C-654EF45F20B5}" name="Column1446" dataCellStyle="Normal 2"/>
    <tableColumn id="1462" xr3:uid="{F05034AA-CCE9-46B0-8A6C-9A1745ECF547}" name="Column1447" dataCellStyle="Normal 2"/>
    <tableColumn id="1463" xr3:uid="{4226A3E8-6000-4CB8-BFB8-0B1ED6148279}" name="Column1448" dataCellStyle="Normal 2"/>
    <tableColumn id="1464" xr3:uid="{5AA96FE6-95C3-4CA1-BE8F-C0E8CDEC883D}" name="Column1449" dataCellStyle="Normal 2"/>
    <tableColumn id="1465" xr3:uid="{B3761081-C549-4702-A117-2FB18D7C0D08}" name="Column1450" dataCellStyle="Normal 2"/>
    <tableColumn id="1466" xr3:uid="{3DEE4192-CAC2-4DA3-96BE-624F92A0AE80}" name="Column1451" dataCellStyle="Normal 2"/>
    <tableColumn id="1467" xr3:uid="{1ACB8BA8-4FE7-4EE8-B294-419FDBFF3BC4}" name="Column1452" dataCellStyle="Normal 2"/>
    <tableColumn id="1468" xr3:uid="{54EDAC1C-AB76-4AFF-A191-D378802CD7C7}" name="Column1453" dataCellStyle="Normal 2"/>
    <tableColumn id="1469" xr3:uid="{78D060DE-174A-460F-B148-46D4AB066AEC}" name="Column1454" dataCellStyle="Normal 2"/>
    <tableColumn id="1470" xr3:uid="{A94D4000-FB08-4748-B187-5E613233F23B}" name="Column1455" dataCellStyle="Normal 2"/>
    <tableColumn id="1471" xr3:uid="{D1113A66-B4BD-4780-8F60-EE87104F80A9}" name="Column1456" dataCellStyle="Normal 2"/>
    <tableColumn id="1472" xr3:uid="{768A3C2C-13B0-46EE-B8C4-CF68FA068EB3}" name="Column1457" dataCellStyle="Normal 2"/>
    <tableColumn id="1473" xr3:uid="{8478E72A-7521-415B-B16C-31570369D21A}" name="Column1458" dataCellStyle="Normal 2"/>
    <tableColumn id="1474" xr3:uid="{831B37CD-89F7-4C56-A1CA-1B5ACA2D96E7}" name="Column1459" dataCellStyle="Normal 2"/>
    <tableColumn id="1475" xr3:uid="{57746D31-CE85-46A1-ACCC-AFE59209E13D}" name="Column1460" dataCellStyle="Normal 2"/>
    <tableColumn id="1476" xr3:uid="{73F5B30C-9553-4393-8C42-CBC6331CFC10}" name="Column1461" dataCellStyle="Normal 2"/>
    <tableColumn id="1477" xr3:uid="{ECBFC180-2E7D-479C-BC6E-B66AD6BA58FD}" name="Column1462" dataCellStyle="Normal 2"/>
    <tableColumn id="1478" xr3:uid="{75075B2B-8A87-45DA-A591-9D6E9E9906B2}" name="Column1463" dataCellStyle="Normal 2"/>
    <tableColumn id="1479" xr3:uid="{9995ACD7-B4D7-4724-82FF-663C7693E4D8}" name="Column1464" dataCellStyle="Normal 2"/>
    <tableColumn id="1480" xr3:uid="{6D8BBEEF-362A-446E-9792-A372D39886A0}" name="Column1465" dataCellStyle="Normal 2"/>
    <tableColumn id="1481" xr3:uid="{70CA8B72-6F2E-44D8-94FE-9601C9C002A7}" name="Column1466" dataCellStyle="Normal 2"/>
    <tableColumn id="1482" xr3:uid="{462E6CF8-4A7A-42E6-A164-08EE1D355831}" name="Column1467" dataCellStyle="Normal 2"/>
    <tableColumn id="1483" xr3:uid="{2170F9EB-E657-4447-81CD-CE2E73A7F9B1}" name="Column1468" dataCellStyle="Normal 2"/>
    <tableColumn id="1484" xr3:uid="{2C16B531-BB84-4740-AB40-F54A1EE38F99}" name="Column1469" dataCellStyle="Normal 2"/>
    <tableColumn id="1485" xr3:uid="{2684965D-3E2D-4689-80C1-B6792B149068}" name="Column1470" dataCellStyle="Normal 2"/>
    <tableColumn id="1486" xr3:uid="{E8EDA639-1524-4212-B070-AEB5102D324E}" name="Column1471" dataCellStyle="Normal 2"/>
    <tableColumn id="1487" xr3:uid="{55AB803C-ECCA-4A42-9BE2-B28174808D86}" name="Column1472" dataCellStyle="Normal 2"/>
    <tableColumn id="1488" xr3:uid="{C17CE0D7-D391-4AD7-8C96-2F062CAF57F2}" name="Column1473" dataCellStyle="Normal 2"/>
    <tableColumn id="1489" xr3:uid="{B9E0B14F-3785-4D1D-AE53-4C151878B472}" name="Column1474" dataCellStyle="Normal 2"/>
    <tableColumn id="1490" xr3:uid="{DD5638BD-3B61-4EF9-9F40-2593732A3726}" name="Column1475" dataCellStyle="Normal 2"/>
    <tableColumn id="1491" xr3:uid="{9F634F33-07E4-4C86-A76C-754A13E7A6DB}" name="Column1476" dataCellStyle="Normal 2"/>
    <tableColumn id="1492" xr3:uid="{7752EE89-C01A-435B-A321-D5DA075B4001}" name="Column1477" dataCellStyle="Normal 2"/>
    <tableColumn id="1493" xr3:uid="{C391D171-17FF-44F4-BC2B-8A2136307388}" name="Column1478" dataCellStyle="Normal 2"/>
    <tableColumn id="1494" xr3:uid="{32BCC491-46E7-4D4C-A95F-BFC112DCAABA}" name="Column1479" dataCellStyle="Normal 2"/>
    <tableColumn id="1495" xr3:uid="{F2AE8F8B-0504-41E9-8DE0-45AF3584EAC3}" name="Column1480" dataCellStyle="Normal 2"/>
    <tableColumn id="1496" xr3:uid="{B381C164-A146-4701-9BB7-A7805E6D1AC4}" name="Column1481" dataCellStyle="Normal 2"/>
    <tableColumn id="1497" xr3:uid="{3B62F711-B305-43DC-9CE7-7B8BC5ED6642}" name="Column1482" dataCellStyle="Normal 2"/>
    <tableColumn id="1498" xr3:uid="{0E470F21-06EA-4EEF-B6C7-129795C3B90D}" name="Column1483" dataCellStyle="Normal 2"/>
    <tableColumn id="1499" xr3:uid="{2E03C4DD-5A55-40D0-A87A-15C0580B4194}" name="Column1484" dataCellStyle="Normal 2"/>
    <tableColumn id="1500" xr3:uid="{A376BA5E-51AA-4D5D-B2D4-7AAF6A62ED2A}" name="Column1485" dataCellStyle="Normal 2"/>
    <tableColumn id="1501" xr3:uid="{432B3DB4-E3FA-473B-A62A-24DBAE17EA7A}" name="Column1486" dataCellStyle="Normal 2"/>
    <tableColumn id="1502" xr3:uid="{8CF9BD98-8DC2-4775-A481-433C98E8BA89}" name="Column1487" dataCellStyle="Normal 2"/>
    <tableColumn id="1503" xr3:uid="{503B27F6-839D-4461-9A0C-D4ED12E5F221}" name="Column1488" dataCellStyle="Normal 2"/>
    <tableColumn id="1504" xr3:uid="{D2D2C14F-6606-4DDD-A5CF-29CFB6018FB0}" name="Column1489" dataCellStyle="Normal 2"/>
    <tableColumn id="1505" xr3:uid="{D9693FD6-E415-410C-B5B8-8F4AB86A5547}" name="Column1490" dataCellStyle="Normal 2"/>
    <tableColumn id="1506" xr3:uid="{719FB1EF-CD33-49FC-92C3-4A109AB5D874}" name="Column1491" dataCellStyle="Normal 2"/>
    <tableColumn id="1507" xr3:uid="{8A2D2339-0C46-4337-8E37-7E8E10876829}" name="Column1492" dataCellStyle="Normal 2"/>
    <tableColumn id="1508" xr3:uid="{119CB9EB-138C-4178-9704-1ADEB9D00EBB}" name="Column1493" dataCellStyle="Normal 2"/>
    <tableColumn id="1509" xr3:uid="{3B4B3E41-DCB4-4C0C-A278-3DE00F6D523B}" name="Column1494" dataCellStyle="Normal 2"/>
    <tableColumn id="1510" xr3:uid="{E6E0E72C-6CF5-4455-B7BA-71A0A438C741}" name="Column1495" dataCellStyle="Normal 2"/>
    <tableColumn id="1511" xr3:uid="{F9B405D8-2319-4BEF-BFF0-08C352CD153E}" name="Column1496" dataCellStyle="Normal 2"/>
    <tableColumn id="1512" xr3:uid="{CAD6B4D5-57C1-4F2D-AEE8-9FB232FB161D}" name="Column1497" dataCellStyle="Normal 2"/>
    <tableColumn id="1513" xr3:uid="{08C5CA3A-5403-409D-84BF-1217F5AABCA7}" name="Column1498" dataCellStyle="Normal 2"/>
    <tableColumn id="1514" xr3:uid="{EC93E903-ADE5-4965-82FA-9BD169A7A405}" name="Column1499" dataCellStyle="Normal 2"/>
    <tableColumn id="1515" xr3:uid="{4113D079-2A5E-4279-819C-36AC3CFD3731}" name="Column1500" dataCellStyle="Normal 2"/>
    <tableColumn id="1516" xr3:uid="{7BD3EFF3-4918-422C-9D7D-2378DE6E16EE}" name="Column1501" dataCellStyle="Normal 2"/>
    <tableColumn id="1517" xr3:uid="{601D1BDB-BD47-44FD-9A29-ABA1BD045C8D}" name="Column1502" dataCellStyle="Normal 2"/>
    <tableColumn id="1518" xr3:uid="{0B5CF47C-5669-4419-AB52-C80695E25B01}" name="Column1503" dataCellStyle="Normal 2"/>
    <tableColumn id="1519" xr3:uid="{D794B7F0-B75B-4D26-844B-4A6C4A15EAF7}" name="Column1504" dataCellStyle="Normal 2"/>
    <tableColumn id="1520" xr3:uid="{4BF2EA46-F7C8-4769-B4A6-84031AB14397}" name="Column1505" dataCellStyle="Normal 2"/>
    <tableColumn id="1521" xr3:uid="{D84729D1-358C-442F-9410-696ADC071D04}" name="Column1506" dataCellStyle="Normal 2"/>
    <tableColumn id="1522" xr3:uid="{3E59C5FD-4A27-479E-8C42-A9A6059EFFBD}" name="Column1507" dataCellStyle="Normal 2"/>
    <tableColumn id="1523" xr3:uid="{5A7958A0-7987-4B7D-BEFF-5DD1FABDA0FC}" name="Column1508" dataCellStyle="Normal 2"/>
    <tableColumn id="1524" xr3:uid="{77C7E1EF-F077-49F2-9A20-410C2BA12AD5}" name="Column1509" dataCellStyle="Normal 2"/>
    <tableColumn id="1525" xr3:uid="{72EC5A6C-4D3F-4D1C-82C7-6DB9CCE6A16C}" name="Column1510" dataCellStyle="Normal 2"/>
    <tableColumn id="1526" xr3:uid="{F434F4C0-E832-46B4-B82A-32F4708EE24A}" name="Column1511" dataCellStyle="Normal 2"/>
    <tableColumn id="1527" xr3:uid="{F93BB694-D4B7-408C-94C6-89B30510B5A7}" name="Column1512" dataCellStyle="Normal 2"/>
    <tableColumn id="1528" xr3:uid="{5E595CA2-ACB9-43DB-A411-0952635C2D5B}" name="Column1513" dataCellStyle="Normal 2"/>
    <tableColumn id="1529" xr3:uid="{28C227B8-983D-4F71-8C8D-06F16E41AC26}" name="Column1514" dataCellStyle="Normal 2"/>
    <tableColumn id="1530" xr3:uid="{D9512872-9F20-41E1-AC70-FA4DF0D09A38}" name="Column1515" dataCellStyle="Normal 2"/>
    <tableColumn id="1531" xr3:uid="{5629B0D7-7D45-45B4-B835-64B786189065}" name="Column1516" dataCellStyle="Normal 2"/>
    <tableColumn id="1532" xr3:uid="{B27E578A-2D33-48DA-A738-46B2C815CD0F}" name="Column1517" dataCellStyle="Normal 2"/>
    <tableColumn id="1533" xr3:uid="{BED2AC15-206F-4F33-BF2A-BD30F3819FF9}" name="Column1518" dataCellStyle="Normal 2"/>
    <tableColumn id="1534" xr3:uid="{ACFD71B7-9D75-4898-8AEC-842EF53978FD}" name="Column1519" dataCellStyle="Normal 2"/>
    <tableColumn id="1535" xr3:uid="{B001B3EF-2228-40DC-A2CE-017590D2EA21}" name="Column1520" dataCellStyle="Normal 2"/>
    <tableColumn id="1536" xr3:uid="{A3D4A0B7-1C1A-4583-8A72-30E83A22FBC0}" name="Column1521" dataCellStyle="Normal 2"/>
    <tableColumn id="1537" xr3:uid="{74BD3F67-65B9-426A-BDC4-92F75D94944B}" name="Column1522" dataCellStyle="Normal 2"/>
    <tableColumn id="1538" xr3:uid="{6D81FED4-EBD5-4ADA-A42D-035A4BBB567C}" name="Column1523" dataCellStyle="Normal 2"/>
    <tableColumn id="1539" xr3:uid="{4D4BAF2D-AD9A-433A-A317-A702150D49BB}" name="Column1524" dataCellStyle="Normal 2"/>
    <tableColumn id="1540" xr3:uid="{193946A1-EB9B-4C6F-B111-DD30A8731FC6}" name="Column1525" dataCellStyle="Normal 2"/>
    <tableColumn id="1541" xr3:uid="{ECF2FBAC-65AF-4E58-B283-BECE02D755FA}" name="Column1526" dataCellStyle="Normal 2"/>
    <tableColumn id="1542" xr3:uid="{D7267862-8497-4F2F-A265-61B7777C7AD8}" name="Column1527" dataCellStyle="Normal 2"/>
    <tableColumn id="1543" xr3:uid="{DD72CE62-FD23-4212-8888-57F4FFBC0836}" name="Column1528" dataCellStyle="Normal 2"/>
    <tableColumn id="1544" xr3:uid="{8851A697-900F-451C-8B82-98FA7D58349D}" name="Column1529" dataCellStyle="Normal 2"/>
    <tableColumn id="1545" xr3:uid="{3E58DE9A-D640-438E-B24E-1B2D8B508C33}" name="Column1530" dataCellStyle="Normal 2"/>
    <tableColumn id="1546" xr3:uid="{A1B94E58-17D0-4B46-9169-E60FB8550FBC}" name="Column1531" dataCellStyle="Normal 2"/>
    <tableColumn id="1547" xr3:uid="{10A446B0-6853-45F3-A1EE-5D3A5769311E}" name="Column1532" dataCellStyle="Normal 2"/>
    <tableColumn id="1548" xr3:uid="{78FB7112-F93B-47D2-B4BA-BF691A1B9AE4}" name="Column1533" dataCellStyle="Normal 2"/>
    <tableColumn id="1549" xr3:uid="{950463FF-F151-4687-84DA-9B0E29A5720F}" name="Column1534" dataCellStyle="Normal 2"/>
    <tableColumn id="1550" xr3:uid="{80D3CE01-CAC0-4E57-90B0-85A51F97E9B5}" name="Column1535" dataCellStyle="Normal 2"/>
    <tableColumn id="1551" xr3:uid="{3F1D720A-4E76-4DE2-BB87-9B33A2922068}" name="Column1536" dataCellStyle="Normal 2"/>
    <tableColumn id="1552" xr3:uid="{E47102A7-83D6-4BEB-AAFE-46BDF3975D08}" name="Column1537" dataCellStyle="Normal 2"/>
    <tableColumn id="1553" xr3:uid="{F0AA0FCA-DDF4-465A-BE41-5CC02C65FEDA}" name="Column1538" dataCellStyle="Normal 2"/>
    <tableColumn id="1554" xr3:uid="{B5869EAA-D7FE-4319-BF60-7A5C781288EC}" name="Column1539" dataCellStyle="Normal 2"/>
    <tableColumn id="1555" xr3:uid="{CE42BF79-3F7B-4715-BA69-CA0E3C039711}" name="Column1540" dataCellStyle="Normal 2"/>
    <tableColumn id="1556" xr3:uid="{56AD2C28-6D32-44E4-A722-5700044CB0BE}" name="Column1541" dataCellStyle="Normal 2"/>
    <tableColumn id="1557" xr3:uid="{46A8AD0E-73C8-4B73-8345-C4509E969D3C}" name="Column1542" dataCellStyle="Normal 2"/>
    <tableColumn id="1558" xr3:uid="{38A2EC75-D009-49DF-AC4F-F63C17777A9C}" name="Column1543" dataCellStyle="Normal 2"/>
    <tableColumn id="1559" xr3:uid="{ADE6C754-F4F3-42BE-B1C2-B61500DE920A}" name="Column1544" dataCellStyle="Normal 2"/>
    <tableColumn id="1560" xr3:uid="{0238E83B-FDB1-42AA-96BC-8DC1509D36E6}" name="Column1545" dataCellStyle="Normal 2"/>
    <tableColumn id="1561" xr3:uid="{69D57659-7359-4868-ABE0-96B9B62663C7}" name="Column1546" dataCellStyle="Normal 2"/>
    <tableColumn id="1562" xr3:uid="{15BBC9F6-8355-49A6-9751-2BAA6C8235FA}" name="Column1547" dataCellStyle="Normal 2"/>
    <tableColumn id="1563" xr3:uid="{C93F7588-5CE9-4550-A424-A1956150618D}" name="Column1548" dataCellStyle="Normal 2"/>
    <tableColumn id="1564" xr3:uid="{A6A0A5D3-66EA-445A-90D8-EC2797E24808}" name="Column1549" dataCellStyle="Normal 2"/>
    <tableColumn id="1565" xr3:uid="{DC569E5B-15D8-4EBE-96B0-4AA06B3A3009}" name="Column1550" dataCellStyle="Normal 2"/>
    <tableColumn id="1566" xr3:uid="{CD56D49E-914C-45CC-99AA-4859ABE6FE10}" name="Column1551" dataCellStyle="Normal 2"/>
    <tableColumn id="1567" xr3:uid="{81E83BF8-F05B-4584-AF6A-5CE551F2A7F9}" name="Column1552" dataCellStyle="Normal 2"/>
    <tableColumn id="1568" xr3:uid="{1F302699-9CD2-4DA4-8771-01205BF92110}" name="Column1553" dataCellStyle="Normal 2"/>
    <tableColumn id="1569" xr3:uid="{EFE2D42D-69C5-4748-93A2-57D278D14DBF}" name="Column1554" dataCellStyle="Normal 2"/>
    <tableColumn id="1570" xr3:uid="{F0C0708A-E7B7-4702-B980-FDADABDB25E3}" name="Column1555" dataCellStyle="Normal 2"/>
    <tableColumn id="1571" xr3:uid="{F42AB357-33D8-446B-B09C-4006E268A758}" name="Column1556" dataCellStyle="Normal 2"/>
    <tableColumn id="1572" xr3:uid="{775809B3-9765-473B-9E3A-66441C0D42A0}" name="Column1557" dataCellStyle="Normal 2"/>
    <tableColumn id="1573" xr3:uid="{29A91192-9483-45A4-9680-0108023FF589}" name="Column1558" dataCellStyle="Normal 2"/>
    <tableColumn id="1574" xr3:uid="{5B6D5254-09B0-4B37-AC84-C143D429AF60}" name="Column1559" dataCellStyle="Normal 2"/>
    <tableColumn id="1575" xr3:uid="{1BEE29D7-1E68-4FDF-9EAC-FF965CB59BCB}" name="Column1560" dataCellStyle="Normal 2"/>
    <tableColumn id="1576" xr3:uid="{19A04BA8-B585-46E9-9770-48F54DF1697F}" name="Column1561" dataCellStyle="Normal 2"/>
    <tableColumn id="1577" xr3:uid="{AE971DC5-610B-4402-A7DB-0B5D914B44E0}" name="Column1562" dataCellStyle="Normal 2"/>
    <tableColumn id="1578" xr3:uid="{8479DE88-AB21-41E5-9741-BC7A376B3D6F}" name="Column1563" dataCellStyle="Normal 2"/>
    <tableColumn id="1579" xr3:uid="{49D69E9E-975E-48FF-9B6F-6027326B8ADA}" name="Column1564" dataCellStyle="Normal 2"/>
    <tableColumn id="1580" xr3:uid="{7F63855E-F8E3-4395-A765-FE9343409933}" name="Column1565" dataCellStyle="Normal 2"/>
    <tableColumn id="1581" xr3:uid="{1CCAAA7E-EDDE-4F4E-9361-96C7ABB2E693}" name="Column1566" dataCellStyle="Normal 2"/>
    <tableColumn id="1582" xr3:uid="{4F6248FA-CD5F-4F88-944A-B5DDA8032F2F}" name="Column1567" dataCellStyle="Normal 2"/>
    <tableColumn id="1583" xr3:uid="{DB5753AB-8D9B-49B6-B4E8-497C92C72FC3}" name="Column1568" dataCellStyle="Normal 2"/>
    <tableColumn id="1584" xr3:uid="{8862BC33-8893-4449-8765-76F00AC2E683}" name="Column1569" dataCellStyle="Normal 2"/>
    <tableColumn id="1585" xr3:uid="{4AC3A643-542F-4B27-96F4-8F799194026C}" name="Column1570" dataCellStyle="Normal 2"/>
    <tableColumn id="1586" xr3:uid="{E61F4808-7864-4CF2-9DB6-80521F8D784A}" name="Column1571" dataCellStyle="Normal 2"/>
    <tableColumn id="1587" xr3:uid="{609560A5-420E-420B-9B9E-4174ADD94833}" name="Column1572" dataCellStyle="Normal 2"/>
    <tableColumn id="1588" xr3:uid="{BFB77C71-46B3-4D8A-899F-51C09BDE33F9}" name="Column1573" dataCellStyle="Normal 2"/>
    <tableColumn id="1589" xr3:uid="{BAA18481-FF12-4D77-9946-4FEFCC3D0197}" name="Column1574" dataCellStyle="Normal 2"/>
    <tableColumn id="1590" xr3:uid="{B382C2E2-1DF9-4DD2-A9A1-657B99A76B5F}" name="Column1575" dataCellStyle="Normal 2"/>
    <tableColumn id="1591" xr3:uid="{FA78C15F-6AFF-41E8-AEE2-A7A7D4E7DC85}" name="Column1576" dataCellStyle="Normal 2"/>
    <tableColumn id="1592" xr3:uid="{07E2A1DA-340E-4FFA-A750-2580B661F526}" name="Column1577" dataCellStyle="Normal 2"/>
    <tableColumn id="1593" xr3:uid="{F20B6E0C-D49B-4AF3-B1B1-C3D3E4E9237B}" name="Column1578" dataCellStyle="Normal 2"/>
    <tableColumn id="1594" xr3:uid="{F56C37DF-138C-4D78-B350-E545AF44C8CF}" name="Column1579" dataCellStyle="Normal 2"/>
    <tableColumn id="1595" xr3:uid="{1AFAAA98-6C34-4CDC-964A-DA76D8F2BDC4}" name="Column1580" dataCellStyle="Normal 2"/>
    <tableColumn id="1596" xr3:uid="{A1CB309F-92EB-4881-A32E-4EE1C5D3F45B}" name="Column1581" dataCellStyle="Normal 2"/>
    <tableColumn id="1597" xr3:uid="{DD4EBE8F-6916-4318-A6F5-0D795081641B}" name="Column1582" dataCellStyle="Normal 2"/>
    <tableColumn id="1598" xr3:uid="{7EA7221A-89E4-4F99-AD6C-4C29E24CA893}" name="Column1583" dataCellStyle="Normal 2"/>
    <tableColumn id="1599" xr3:uid="{53823D6F-CF55-4291-A574-550BCED11C81}" name="Column1584" dataCellStyle="Normal 2"/>
    <tableColumn id="1600" xr3:uid="{8AE91553-9EB1-4CF7-8860-70BAD8A2C2EA}" name="Column1585" dataCellStyle="Normal 2"/>
    <tableColumn id="1601" xr3:uid="{FA20D302-9A4B-438F-BD6A-7E16DBA8F8A4}" name="Column1586" dataCellStyle="Normal 2"/>
    <tableColumn id="1602" xr3:uid="{F3BD59E0-F61C-4EFE-9B16-B145F8BBF1E9}" name="Column1587" dataCellStyle="Normal 2"/>
    <tableColumn id="1603" xr3:uid="{06C871F0-A3BA-42F9-BBED-5F6BDA0947B3}" name="Column1588" dataCellStyle="Normal 2"/>
    <tableColumn id="1604" xr3:uid="{CDBE8D89-6FB4-4534-B4BE-55FF5679FEA6}" name="Column1589" dataCellStyle="Normal 2"/>
    <tableColumn id="1605" xr3:uid="{477D9C17-B272-4DD1-918B-018208102B26}" name="Column1590" dataCellStyle="Normal 2"/>
    <tableColumn id="1606" xr3:uid="{D5D4907C-0CF9-4B54-8672-CA1A60A7E520}" name="Column1591" dataCellStyle="Normal 2"/>
    <tableColumn id="1607" xr3:uid="{F3DC266A-D7EE-4710-B6D7-439F1DB10ACA}" name="Column1592" dataCellStyle="Normal 2"/>
    <tableColumn id="1608" xr3:uid="{694A05DA-1C7A-4B9D-AE02-270B7864941B}" name="Column1593" dataCellStyle="Normal 2"/>
    <tableColumn id="1609" xr3:uid="{AEDF1CDC-B759-4809-81BA-3D9A36026CE9}" name="Column1594" dataCellStyle="Normal 2"/>
    <tableColumn id="1610" xr3:uid="{195822F3-60FA-427F-8295-6591551EF11F}" name="Column1595" dataCellStyle="Normal 2"/>
    <tableColumn id="1611" xr3:uid="{09867B82-66AD-44C1-9BC7-443F6F8C8EEE}" name="Column1596" dataCellStyle="Normal 2"/>
    <tableColumn id="1612" xr3:uid="{B35FE976-F631-449D-9B6D-851B48F39324}" name="Column1597" dataCellStyle="Normal 2"/>
    <tableColumn id="1613" xr3:uid="{0831424B-889E-4371-90C8-EB2B18E6403B}" name="Column1598" dataCellStyle="Normal 2"/>
    <tableColumn id="1614" xr3:uid="{F84AF128-F295-478B-8373-3F9E59441ADE}" name="Column1599" dataCellStyle="Normal 2"/>
    <tableColumn id="1615" xr3:uid="{E0BE59D6-B30D-40B0-A828-76BB0629B672}" name="Column1600" dataCellStyle="Normal 2"/>
    <tableColumn id="1616" xr3:uid="{E5085A1B-4D2A-4F06-9232-F705CEDC3469}" name="Column1601" dataCellStyle="Normal 2"/>
    <tableColumn id="1617" xr3:uid="{2F687242-BB9D-43EF-B5D9-500EE0431EEF}" name="Column1602" dataCellStyle="Normal 2"/>
    <tableColumn id="1618" xr3:uid="{E777DE88-0C24-4C4E-B800-42AA20F7ECC8}" name="Column1603" dataCellStyle="Normal 2"/>
    <tableColumn id="1619" xr3:uid="{B824E1A8-0230-41E5-B473-ACB369E6E716}" name="Column1604" dataCellStyle="Normal 2"/>
    <tableColumn id="1620" xr3:uid="{0C8CE731-6A6C-4BE1-BAAC-E98FFB7B300C}" name="Column1605" dataCellStyle="Normal 2"/>
    <tableColumn id="1621" xr3:uid="{AD4152AE-1A9C-4DCE-979B-782C876AAEA6}" name="Column1606" dataCellStyle="Normal 2"/>
    <tableColumn id="1622" xr3:uid="{0FD5FD84-EF5E-49D8-B680-96E9C149017E}" name="Column1607" dataCellStyle="Normal 2"/>
    <tableColumn id="1623" xr3:uid="{ED06B4D6-C22A-434E-B8E5-DC2C9293AB29}" name="Column1608" dataCellStyle="Normal 2"/>
    <tableColumn id="1624" xr3:uid="{D02A6110-3944-46ED-97DD-690575F1F967}" name="Column1609" dataCellStyle="Normal 2"/>
    <tableColumn id="1625" xr3:uid="{EA03448C-3E46-457D-BF87-FACDC673941C}" name="Column1610" dataCellStyle="Normal 2"/>
    <tableColumn id="1626" xr3:uid="{5D80EC76-A298-4EB4-9E58-338AF566E4A2}" name="Column1611" dataCellStyle="Normal 2"/>
    <tableColumn id="1627" xr3:uid="{154AF2F6-10D7-44AD-8CDC-260594C4BCBD}" name="Column1612" dataCellStyle="Normal 2"/>
    <tableColumn id="1628" xr3:uid="{F4ADF692-864D-485F-A2C2-AF07D75965AD}" name="Column1613" dataCellStyle="Normal 2"/>
    <tableColumn id="1629" xr3:uid="{DC81FC05-E90C-4BB8-9258-29674848ECFE}" name="Column1614" dataCellStyle="Normal 2"/>
    <tableColumn id="1630" xr3:uid="{2F614BF1-78F9-4747-B288-3310425D9A7E}" name="Column1615" dataCellStyle="Normal 2"/>
    <tableColumn id="1631" xr3:uid="{4D76F370-784B-4339-B650-78D0A64CD94B}" name="Column1616" dataCellStyle="Normal 2"/>
    <tableColumn id="1632" xr3:uid="{44D9CED9-E495-4E28-BFC6-5A665D619EC6}" name="Column1617" dataCellStyle="Normal 2"/>
    <tableColumn id="1633" xr3:uid="{5168291A-1E4E-442A-BD41-6B51FDC6DD57}" name="Column1618" dataCellStyle="Normal 2"/>
    <tableColumn id="1634" xr3:uid="{1400AC5C-55B6-404D-8AFA-8DC24BF1EE6D}" name="Column1619" dataCellStyle="Normal 2"/>
    <tableColumn id="1635" xr3:uid="{F41A4E98-04B4-46E5-AC43-EBD9580B71AA}" name="Column1620" dataCellStyle="Normal 2"/>
    <tableColumn id="1636" xr3:uid="{C28F04F3-445F-4C86-8DCB-6E2F93092DAD}" name="Column1621" dataCellStyle="Normal 2"/>
    <tableColumn id="1637" xr3:uid="{F8F22FC8-59AF-4DEC-B540-839E81989804}" name="Column1622" dataCellStyle="Normal 2"/>
    <tableColumn id="1638" xr3:uid="{C6480191-6419-437A-9139-B1BA80F36819}" name="Column1623" dataCellStyle="Normal 2"/>
    <tableColumn id="1639" xr3:uid="{754811A5-304F-4C39-A745-30F9E4C82830}" name="Column1624" dataCellStyle="Normal 2"/>
    <tableColumn id="1640" xr3:uid="{6D091C36-1B59-42C2-A466-935989BE330B}" name="Column1625" dataCellStyle="Normal 2"/>
    <tableColumn id="1641" xr3:uid="{A0DF7972-0BF4-44C0-87FB-E580C30131AF}" name="Column1626" dataCellStyle="Normal 2"/>
    <tableColumn id="1642" xr3:uid="{3EB07BB3-7B97-4C2F-A15D-A49D5EECAA29}" name="Column1627" dataCellStyle="Normal 2"/>
    <tableColumn id="1643" xr3:uid="{EDE7C097-95A2-4F46-84B0-234AAA7918AE}" name="Column1628" dataCellStyle="Normal 2"/>
    <tableColumn id="1644" xr3:uid="{82201044-5C4A-410F-AAF6-67C54F7DD45E}" name="Column1629" dataCellStyle="Normal 2"/>
    <tableColumn id="1645" xr3:uid="{9D369A90-3C2A-4E94-8E97-5D937BFB4CD6}" name="Column1630" dataCellStyle="Normal 2"/>
    <tableColumn id="1646" xr3:uid="{A2BC49D1-0C13-4040-931A-E6537E5AAFBF}" name="Column1631" dataCellStyle="Normal 2"/>
    <tableColumn id="1647" xr3:uid="{455084A0-6BDC-4593-A951-D4A424A2F45B}" name="Column1632" dataCellStyle="Normal 2"/>
    <tableColumn id="1648" xr3:uid="{961598A0-8700-4EBE-B739-211F4F23C360}" name="Column1633" dataCellStyle="Normal 2"/>
    <tableColumn id="1649" xr3:uid="{E1740374-A8AE-49D3-B21C-C4E205658807}" name="Column1634" dataCellStyle="Normal 2"/>
    <tableColumn id="1650" xr3:uid="{56B45E40-2599-472D-A25C-9FC6567B3C33}" name="Column1635" dataCellStyle="Normal 2"/>
    <tableColumn id="1651" xr3:uid="{33EF5EAD-400B-497F-8C00-97F9F110F2C2}" name="Column1636" dataCellStyle="Normal 2"/>
    <tableColumn id="1652" xr3:uid="{584362D3-92F7-4AFC-800D-2C6FD978EC5A}" name="Column1637" dataCellStyle="Normal 2"/>
    <tableColumn id="1653" xr3:uid="{4A648E42-9547-4619-8606-BF3191E5041C}" name="Column1638" dataCellStyle="Normal 2"/>
    <tableColumn id="1654" xr3:uid="{FDF5802C-1BA8-47F3-A243-AC58B81DA3A6}" name="Column1639" dataCellStyle="Normal 2"/>
    <tableColumn id="1655" xr3:uid="{BA74A07D-8352-48D7-9321-8152C2CB8918}" name="Column1640" dataCellStyle="Normal 2"/>
    <tableColumn id="1656" xr3:uid="{3A6C8EF2-974D-437D-A0E8-ABB9293471A3}" name="Column1641" dataCellStyle="Normal 2"/>
    <tableColumn id="1657" xr3:uid="{6B31F3B6-AC18-497A-BA00-D7B2CDB6193E}" name="Column1642" dataCellStyle="Normal 2"/>
    <tableColumn id="1658" xr3:uid="{1A2FF76A-440F-446A-9194-8A75AED86645}" name="Column1643" dataCellStyle="Normal 2"/>
    <tableColumn id="1659" xr3:uid="{BE710FFA-0475-4073-8B0D-6632962EE6E7}" name="Column1644" dataCellStyle="Normal 2"/>
    <tableColumn id="1660" xr3:uid="{5DF66136-0B43-4997-A535-E89919AF7971}" name="Column1645" dataCellStyle="Normal 2"/>
    <tableColumn id="1661" xr3:uid="{22DA1813-1EF7-43ED-9482-F60B1F1CF3FE}" name="Column1646" dataCellStyle="Normal 2"/>
    <tableColumn id="1662" xr3:uid="{DD7857A8-FE1F-4B91-A287-E737431FB10E}" name="Column1647" dataCellStyle="Normal 2"/>
    <tableColumn id="1663" xr3:uid="{66F01B87-6FAA-4585-924B-DF23D62D8FC1}" name="Column1648" dataCellStyle="Normal 2"/>
    <tableColumn id="1664" xr3:uid="{73221A8D-7768-4D4C-9FFD-FF6FEE346E26}" name="Column1649" dataCellStyle="Normal 2"/>
    <tableColumn id="1665" xr3:uid="{2BDF2B97-1D71-4C34-B5F7-49A360FDF286}" name="Column1650" dataCellStyle="Normal 2"/>
    <tableColumn id="1666" xr3:uid="{B0F91D5D-3351-4BDD-99D9-78C0A51570BD}" name="Column1651" dataCellStyle="Normal 2"/>
    <tableColumn id="1667" xr3:uid="{56761811-9015-49C3-9148-6A41A3BF6FB5}" name="Column1652" dataCellStyle="Normal 2"/>
    <tableColumn id="1668" xr3:uid="{5F6A8CC6-DD40-4F39-B1C3-1131F233A370}" name="Column1653" dataCellStyle="Normal 2"/>
    <tableColumn id="1669" xr3:uid="{3A4677C6-880B-48EC-9C5D-CD414F3D0479}" name="Column1654" dataCellStyle="Normal 2"/>
    <tableColumn id="1670" xr3:uid="{5CD0AC6D-E5F1-492D-863E-D1F036F1396D}" name="Column1655" dataCellStyle="Normal 2"/>
    <tableColumn id="1671" xr3:uid="{6B8DB05B-2D1F-4852-B7AF-FD9C970C573D}" name="Column1656" dataCellStyle="Normal 2"/>
    <tableColumn id="1672" xr3:uid="{EAD001B9-D958-41E6-BF2C-87182EA9757C}" name="Column1657" dataCellStyle="Normal 2"/>
    <tableColumn id="1673" xr3:uid="{A5F4ED67-52A6-4226-A2AD-12B74061012B}" name="Column1658" dataCellStyle="Normal 2"/>
    <tableColumn id="1674" xr3:uid="{4277BDE6-7109-4880-8452-1F106D0E627E}" name="Column1659" dataCellStyle="Normal 2"/>
    <tableColumn id="1675" xr3:uid="{94520ED1-4C2B-4BB3-A418-3E796DA583CC}" name="Column1660" dataCellStyle="Normal 2"/>
    <tableColumn id="1676" xr3:uid="{DC98778E-158D-4A78-ADB9-70DABCF2AB61}" name="Column1661" dataCellStyle="Normal 2"/>
    <tableColumn id="1677" xr3:uid="{886918EF-144B-420C-9A2A-A343DDA11203}" name="Column1662" dataCellStyle="Normal 2"/>
    <tableColumn id="1678" xr3:uid="{3F2B6F2C-76D8-435F-97D3-5A04FBDE2AFC}" name="Column1663" dataCellStyle="Normal 2"/>
    <tableColumn id="1679" xr3:uid="{3488CB46-7100-464D-A032-B23DDBFE58C4}" name="Column1664" dataCellStyle="Normal 2"/>
    <tableColumn id="1680" xr3:uid="{60613238-E8DB-4C1E-80CE-5FE7A84F2548}" name="Column1665" dataCellStyle="Normal 2"/>
    <tableColumn id="1681" xr3:uid="{C6508299-B4DA-4F70-AADB-346ABB49360F}" name="Column1666" dataCellStyle="Normal 2"/>
    <tableColumn id="1682" xr3:uid="{C65ABC4F-9E2A-4542-A551-B84D05447294}" name="Column1667" dataCellStyle="Normal 2"/>
    <tableColumn id="1683" xr3:uid="{4E557EE3-84CC-4884-8FD1-5A8C03E89FBA}" name="Column1668" dataCellStyle="Normal 2"/>
    <tableColumn id="1684" xr3:uid="{B989E13C-C49A-45F0-8AEE-047AA09E9296}" name="Column1669" dataCellStyle="Normal 2"/>
    <tableColumn id="1685" xr3:uid="{940B87E3-4840-4D02-A40E-F43A89206EA1}" name="Column1670" dataCellStyle="Normal 2"/>
    <tableColumn id="1686" xr3:uid="{00B78F58-2DDD-4DBD-B929-A8EF50F663B7}" name="Column1671" dataCellStyle="Normal 2"/>
    <tableColumn id="1687" xr3:uid="{7BCA79FF-CF11-4938-84A6-A89998109356}" name="Column1672" dataCellStyle="Normal 2"/>
    <tableColumn id="1688" xr3:uid="{898114E1-90CD-4590-879C-23892FC39060}" name="Column1673" dataCellStyle="Normal 2"/>
    <tableColumn id="1689" xr3:uid="{D635639B-9FFC-41FB-A821-E629B82D4DEA}" name="Column1674" dataCellStyle="Normal 2"/>
    <tableColumn id="1690" xr3:uid="{9EF32500-4B90-40FB-89C8-3B2012B495A3}" name="Column1675" dataCellStyle="Normal 2"/>
    <tableColumn id="1691" xr3:uid="{86AD6289-8095-414B-9BD7-6BB11D296E21}" name="Column1676" dataCellStyle="Normal 2"/>
    <tableColumn id="1692" xr3:uid="{C57F8CF9-7E53-43E7-89F7-117C6E3BA767}" name="Column1677" dataCellStyle="Normal 2"/>
    <tableColumn id="1693" xr3:uid="{102945B4-DFEA-4D7E-8345-1A83C491F815}" name="Column1678" dataCellStyle="Normal 2"/>
    <tableColumn id="1694" xr3:uid="{662EAAF0-A0DB-41E6-B041-6539AD39E817}" name="Column1679" dataCellStyle="Normal 2"/>
    <tableColumn id="1695" xr3:uid="{BA02FBBF-B875-4F0B-B67A-3B30F894F7A2}" name="Column1680" dataCellStyle="Normal 2"/>
    <tableColumn id="1696" xr3:uid="{1190D8C2-75D0-4A81-A976-67C19AE2F350}" name="Column1681" dataCellStyle="Normal 2"/>
    <tableColumn id="1697" xr3:uid="{FAC2F9D4-98D9-4D4F-A3E6-C58EC7F3AB75}" name="Column1682" dataCellStyle="Normal 2"/>
    <tableColumn id="1698" xr3:uid="{D2601045-BC02-462F-AA72-6E640447F312}" name="Column1683" dataCellStyle="Normal 2"/>
    <tableColumn id="1699" xr3:uid="{45E1F3FD-864C-4EF9-AF27-55EDE94E907E}" name="Column1684" dataCellStyle="Normal 2"/>
    <tableColumn id="1700" xr3:uid="{E4D24319-2C0D-4AD3-8DB6-54B2D712E05C}" name="Column1685" dataCellStyle="Normal 2"/>
    <tableColumn id="1701" xr3:uid="{9C5BBA81-6DF9-4180-BDCE-A74F5BDAB977}" name="Column1686" dataCellStyle="Normal 2"/>
    <tableColumn id="1702" xr3:uid="{52B71C14-F7D3-4BEE-9CB4-F71D946CEBF6}" name="Column1687" dataCellStyle="Normal 2"/>
    <tableColumn id="1703" xr3:uid="{A9819961-4200-4107-8B6E-E48F1D778490}" name="Column1688" dataCellStyle="Normal 2"/>
    <tableColumn id="1704" xr3:uid="{076A667A-875A-44F8-9C59-8986DF49BFCE}" name="Column1689" dataCellStyle="Normal 2"/>
    <tableColumn id="1705" xr3:uid="{C82922FC-A51C-4E24-AD48-6B93EE360E86}" name="Column1690" dataCellStyle="Normal 2"/>
    <tableColumn id="1706" xr3:uid="{9C713024-DF87-4E80-9820-9D06C8E96A3D}" name="Column1691" dataCellStyle="Normal 2"/>
    <tableColumn id="1707" xr3:uid="{04E8715B-4385-4EDC-81B2-E087EECA8E02}" name="Column1692" dataCellStyle="Normal 2"/>
    <tableColumn id="1708" xr3:uid="{BBD51157-A3BE-42D8-AA79-E03677A1CB47}" name="Column1693" dataCellStyle="Normal 2"/>
    <tableColumn id="1709" xr3:uid="{6F449845-A734-444E-80D7-41C6ACBF6AAF}" name="Column1694" dataCellStyle="Normal 2"/>
    <tableColumn id="1710" xr3:uid="{07E1B46B-1B76-4996-8736-D07637B609F7}" name="Column1695" dataCellStyle="Normal 2"/>
    <tableColumn id="1711" xr3:uid="{57793B2F-81ED-4162-BC5E-E8E685095C4C}" name="Column1696" dataCellStyle="Normal 2"/>
    <tableColumn id="1712" xr3:uid="{CF7B4CD7-6AB9-4142-8BEB-8209E4A15AEF}" name="Column1697" dataCellStyle="Normal 2"/>
    <tableColumn id="1713" xr3:uid="{E0648D18-08B6-4741-9D82-C9446D48460A}" name="Column1698" dataCellStyle="Normal 2"/>
    <tableColumn id="1714" xr3:uid="{2E74ECCA-E412-4740-AFFA-53C7CE0CB81A}" name="Column1699" dataCellStyle="Normal 2"/>
    <tableColumn id="1715" xr3:uid="{BEB4BADF-9AC5-4532-9A60-630D14F5501E}" name="Column1700" dataCellStyle="Normal 2"/>
    <tableColumn id="1716" xr3:uid="{FF7BF12F-AA4D-4130-9C7E-A22437BEE074}" name="Column1701" dataCellStyle="Normal 2"/>
    <tableColumn id="1717" xr3:uid="{610F8BDB-E216-4631-81AD-005484F00AFD}" name="Column1702" dataCellStyle="Normal 2"/>
    <tableColumn id="1718" xr3:uid="{99820916-301E-42A5-8DD7-C8F5EDD3C265}" name="Column1703" dataCellStyle="Normal 2"/>
    <tableColumn id="1719" xr3:uid="{4E34419A-DCC4-420A-86F1-E4D94E682232}" name="Column1704" dataCellStyle="Normal 2"/>
    <tableColumn id="1720" xr3:uid="{92092312-4A8F-4566-B841-84593F52D955}" name="Column1705" dataCellStyle="Normal 2"/>
    <tableColumn id="1721" xr3:uid="{595F83C7-C6F7-4EB0-9A04-5B0AEC47D8E0}" name="Column1706" dataCellStyle="Normal 2"/>
    <tableColumn id="1722" xr3:uid="{41BE70DD-B859-4CEE-855F-3A075373CC10}" name="Column1707" dataCellStyle="Normal 2"/>
    <tableColumn id="1723" xr3:uid="{A24CDC9F-8FF7-49E3-BF99-B234C6A0FC89}" name="Column1708" dataCellStyle="Normal 2"/>
    <tableColumn id="1724" xr3:uid="{9436FBEA-F33B-4558-820B-55078BB131B6}" name="Column1709" dataCellStyle="Normal 2"/>
    <tableColumn id="1725" xr3:uid="{4AB724D4-6183-44C9-95E4-67C8A8754F88}" name="Column1710" dataCellStyle="Normal 2"/>
    <tableColumn id="1726" xr3:uid="{574B6E11-29BB-40D3-8272-DFF13D9B7F42}" name="Column1711" dataCellStyle="Normal 2"/>
    <tableColumn id="1727" xr3:uid="{A1A208EB-E356-4663-A299-43313937F373}" name="Column1712" dataCellStyle="Normal 2"/>
    <tableColumn id="1728" xr3:uid="{D4348412-2B58-4516-A8EF-F6AA6A999753}" name="Column1713" dataCellStyle="Normal 2"/>
    <tableColumn id="1729" xr3:uid="{76E66FB5-E985-4E5D-8A02-5155758B42B9}" name="Column1714" dataCellStyle="Normal 2"/>
    <tableColumn id="1730" xr3:uid="{E9E94BCF-DB93-4A59-9C12-6AD364454D8B}" name="Column1715" dataCellStyle="Normal 2"/>
    <tableColumn id="1731" xr3:uid="{D4C2DFF9-5B11-4D98-82CD-3158DAD2EE7B}" name="Column1716" dataCellStyle="Normal 2"/>
    <tableColumn id="1732" xr3:uid="{40DB9CB8-2CFF-4C17-9735-096AF0E1C9E0}" name="Column1717" dataCellStyle="Normal 2"/>
    <tableColumn id="1733" xr3:uid="{D14CCB8A-2E21-4CB1-8302-5AE49123EDEB}" name="Column1718" dataCellStyle="Normal 2"/>
    <tableColumn id="1734" xr3:uid="{81DD3E0E-77C9-4083-BF9E-9751F212CB63}" name="Column1719" dataCellStyle="Normal 2"/>
    <tableColumn id="1735" xr3:uid="{7E46B95E-18E3-4EF8-A302-61EB0AFF95E3}" name="Column1720" dataCellStyle="Normal 2"/>
    <tableColumn id="1736" xr3:uid="{08C5DE5A-C165-4430-8DA8-148F6D31F7BB}" name="Column1721" dataCellStyle="Normal 2"/>
    <tableColumn id="1737" xr3:uid="{F7F7F2F8-6B1D-4496-B98E-6B58613514F4}" name="Column1722" dataCellStyle="Normal 2"/>
    <tableColumn id="1738" xr3:uid="{CC387CBA-6289-42FC-B605-654747387BDA}" name="Column1723" dataCellStyle="Normal 2"/>
    <tableColumn id="1739" xr3:uid="{E084CE5D-A513-43FA-AB00-EF60A228B08B}" name="Column1724" dataCellStyle="Normal 2"/>
    <tableColumn id="1740" xr3:uid="{AB971F85-A510-4D47-BAA3-D6D46F9B269C}" name="Column1725" dataCellStyle="Normal 2"/>
    <tableColumn id="1741" xr3:uid="{BE302A16-911C-4150-9F24-C7E34FB1232A}" name="Column1726" dataCellStyle="Normal 2"/>
    <tableColumn id="1742" xr3:uid="{BD4AB15A-12EF-4A48-B45B-3AFAC629B8C7}" name="Column1727" dataCellStyle="Normal 2"/>
    <tableColumn id="1743" xr3:uid="{BE515507-E02B-47AC-91E7-6FEC0922F266}" name="Column1728" dataCellStyle="Normal 2"/>
    <tableColumn id="1744" xr3:uid="{A6596173-2F2E-4461-B909-1A651E558484}" name="Column1729" dataCellStyle="Normal 2"/>
    <tableColumn id="1745" xr3:uid="{E7E318A7-910D-4F62-9ECB-997F20A5F510}" name="Column1730" dataCellStyle="Normal 2"/>
    <tableColumn id="1746" xr3:uid="{D517144B-B5A4-4648-893D-1C5FC51AE201}" name="Column1731" dataCellStyle="Normal 2"/>
    <tableColumn id="1747" xr3:uid="{F8A54118-B4FD-412D-856C-AB86B6B0B63F}" name="Column1732" dataCellStyle="Normal 2"/>
    <tableColumn id="1748" xr3:uid="{95816BAD-39F3-4C0D-B53A-4E59AF851594}" name="Column1733" dataCellStyle="Normal 2"/>
    <tableColumn id="1749" xr3:uid="{B571E837-A725-4007-A494-E41CC01082C8}" name="Column1734" dataCellStyle="Normal 2"/>
    <tableColumn id="1750" xr3:uid="{0F9CE0FF-A6E7-492C-8E06-B5F69A5C0384}" name="Column1735" dataCellStyle="Normal 2"/>
    <tableColumn id="1751" xr3:uid="{45A32FD6-8E76-46F7-A95F-DC1602DDFFB5}" name="Column1736" dataCellStyle="Normal 2"/>
    <tableColumn id="1752" xr3:uid="{444F0C11-00BC-4CAE-9F41-27366AC31755}" name="Column1737" dataCellStyle="Normal 2"/>
    <tableColumn id="1753" xr3:uid="{3DCC401D-AC15-43F6-85C2-675F90EE80CB}" name="Column1738" dataCellStyle="Normal 2"/>
    <tableColumn id="1754" xr3:uid="{D453471C-6B67-457E-9A27-2A89FFE0BAF4}" name="Column1739" dataCellStyle="Normal 2"/>
    <tableColumn id="1755" xr3:uid="{212A9F2C-5302-4CDE-8DCB-EB0C6CFC4867}" name="Column1740" dataCellStyle="Normal 2"/>
    <tableColumn id="1756" xr3:uid="{E6255C2E-2E57-4EB9-B5B7-378AADB55C3E}" name="Column1741" dataCellStyle="Normal 2"/>
    <tableColumn id="1757" xr3:uid="{86DC5382-71CF-42FE-9298-CE24C0DB1866}" name="Column1742" dataCellStyle="Normal 2"/>
    <tableColumn id="1758" xr3:uid="{00FBAA9F-E794-417A-BF7F-41258234A6FB}" name="Column1743" dataCellStyle="Normal 2"/>
    <tableColumn id="1759" xr3:uid="{70FB34D1-9152-45DF-9296-D3B0129A738F}" name="Column1744" dataCellStyle="Normal 2"/>
    <tableColumn id="1760" xr3:uid="{F0C7140E-4320-4BA1-BD6A-7049DB6499C8}" name="Column1745" dataCellStyle="Normal 2"/>
    <tableColumn id="1761" xr3:uid="{21B1A5FA-A78A-4DA6-82B7-00179549C2B1}" name="Column1746" dataCellStyle="Normal 2"/>
    <tableColumn id="1762" xr3:uid="{AC74114A-0AF4-4288-A8D8-F0563CD242E7}" name="Column1747" dataCellStyle="Normal 2"/>
    <tableColumn id="1763" xr3:uid="{A3DABAB6-90DD-4C9A-A726-A9BBFF4AC282}" name="Column1748" dataCellStyle="Normal 2"/>
    <tableColumn id="1764" xr3:uid="{AB4B97FF-79D0-4ECA-8CF2-E8364ABC0C17}" name="Column1749" dataCellStyle="Normal 2"/>
    <tableColumn id="1765" xr3:uid="{25286B48-6D34-401D-88D9-4A24C8B49757}" name="Column1750" dataCellStyle="Normal 2"/>
    <tableColumn id="1766" xr3:uid="{254A9626-8F02-4467-B004-EBE03D8F7CD4}" name="Column1751" dataCellStyle="Normal 2"/>
    <tableColumn id="1767" xr3:uid="{B9D9F405-AE14-47E9-80F3-130737D04C20}" name="Column1752" dataCellStyle="Normal 2"/>
    <tableColumn id="1768" xr3:uid="{72941659-41E1-49D1-AE5C-C7994FDC93A3}" name="Column1753" dataCellStyle="Normal 2"/>
    <tableColumn id="1769" xr3:uid="{EEDAEABD-B858-4F65-B324-13931016F7A5}" name="Column1754" dataCellStyle="Normal 2"/>
    <tableColumn id="1770" xr3:uid="{7B5FCEFB-9F75-4158-964C-4CB1EAAFCBB7}" name="Column1755" dataCellStyle="Normal 2"/>
    <tableColumn id="1771" xr3:uid="{02637A40-2A05-4180-9EE0-43EE4A0D2F90}" name="Column1756" dataCellStyle="Normal 2"/>
    <tableColumn id="1772" xr3:uid="{F96BFBBD-505F-4C74-9978-4AB1EDEC8EF4}" name="Column1757" dataCellStyle="Normal 2"/>
    <tableColumn id="1773" xr3:uid="{F2E20B50-1AC4-4F26-9AB2-508B251D555B}" name="Column1758" dataCellStyle="Normal 2"/>
    <tableColumn id="1774" xr3:uid="{A17C1EDB-B616-4063-96A0-5A14A9B5D50D}" name="Column1759" dataCellStyle="Normal 2"/>
    <tableColumn id="1775" xr3:uid="{4D6CDF5E-FE4E-4651-896E-A08F80E39A9C}" name="Column1760" dataCellStyle="Normal 2"/>
    <tableColumn id="1776" xr3:uid="{4163D437-BA8A-4FDE-A058-0E24E7160F23}" name="Column1761" dataCellStyle="Normal 2"/>
    <tableColumn id="1777" xr3:uid="{3DC2C1A9-9977-435A-A17A-2FD457B467FF}" name="Column1762" dataCellStyle="Normal 2"/>
    <tableColumn id="1778" xr3:uid="{1D2890BD-1E40-42D1-AE6C-5721D5284F64}" name="Column1763" dataCellStyle="Normal 2"/>
    <tableColumn id="1779" xr3:uid="{92795ACD-7863-428C-9991-C56A4D0B375C}" name="Column1764" dataCellStyle="Normal 2"/>
    <tableColumn id="1780" xr3:uid="{52D05110-87A4-45C2-B5D0-628C72F77FD2}" name="Column1765" dataCellStyle="Normal 2"/>
    <tableColumn id="1781" xr3:uid="{A3749E8C-8C2C-4113-93F9-03199923B8B8}" name="Column1766" dataCellStyle="Normal 2"/>
    <tableColumn id="1782" xr3:uid="{EAC1E60B-CC6D-4A1B-A6A5-48A131D8DDEE}" name="Column1767" dataCellStyle="Normal 2"/>
    <tableColumn id="1783" xr3:uid="{EE6AE0EC-ABCE-4CDA-B210-B76DADBFBCC6}" name="Column1768" dataCellStyle="Normal 2"/>
    <tableColumn id="1784" xr3:uid="{2C7B3E36-783F-4368-914F-CB9C93865148}" name="Column1769" dataCellStyle="Normal 2"/>
    <tableColumn id="1785" xr3:uid="{464F66A3-8552-4000-A192-B9CDBC8AF50F}" name="Column1770" dataCellStyle="Normal 2"/>
    <tableColumn id="1786" xr3:uid="{F38B5B77-3B9C-4FAA-B919-59285B38C78E}" name="Column1771" dataCellStyle="Normal 2"/>
    <tableColumn id="1787" xr3:uid="{69E79301-2D05-4971-90E7-FAEA0F252661}" name="Column1772" dataCellStyle="Normal 2"/>
    <tableColumn id="1788" xr3:uid="{E72764B9-9DBD-4FBA-B972-D31E8A71520F}" name="Column1773" dataCellStyle="Normal 2"/>
    <tableColumn id="1789" xr3:uid="{21EA3017-38C4-47B9-B3F0-9D19B2E2A20D}" name="Column1774" dataCellStyle="Normal 2"/>
    <tableColumn id="1790" xr3:uid="{A80EF469-C820-4D39-BD41-F9916B1AA459}" name="Column1775" dataCellStyle="Normal 2"/>
    <tableColumn id="1791" xr3:uid="{4D125FDF-6FE5-44A1-B758-316A9EAB4E55}" name="Column1776" dataCellStyle="Normal 2"/>
    <tableColumn id="1792" xr3:uid="{EE42FF5E-EB30-471A-90D3-911EDFA3F5DC}" name="Column1777" dataCellStyle="Normal 2"/>
    <tableColumn id="1793" xr3:uid="{AF9BE7D6-BCCC-4C76-9E14-FD1770A9B656}" name="Column1778" dataCellStyle="Normal 2"/>
    <tableColumn id="1794" xr3:uid="{15120E65-A561-41E6-A883-B606C2A6318B}" name="Column1779" dataCellStyle="Normal 2"/>
    <tableColumn id="1795" xr3:uid="{449C7F2D-0FBF-4E47-983C-74083C15CE03}" name="Column1780" dataCellStyle="Normal 2"/>
    <tableColumn id="1796" xr3:uid="{609D3708-52D5-41C8-981C-7FB39A795D42}" name="Column1781" dataCellStyle="Normal 2"/>
    <tableColumn id="1797" xr3:uid="{5C056F95-E039-4632-8244-75CACE4F895C}" name="Column1782" dataCellStyle="Normal 2"/>
    <tableColumn id="1798" xr3:uid="{F2D9C245-54D5-4863-86F5-7B0828A55C07}" name="Column1783" dataCellStyle="Normal 2"/>
    <tableColumn id="1799" xr3:uid="{A273FFDC-DED0-4749-A7DA-F4157EABAFBA}" name="Column1784" dataCellStyle="Normal 2"/>
    <tableColumn id="1800" xr3:uid="{747F750A-880C-4878-970B-CE89AECCBB09}" name="Column1785" dataCellStyle="Normal 2"/>
    <tableColumn id="1801" xr3:uid="{A81919E6-8517-4F05-B7BC-669968548A62}" name="Column1786" dataCellStyle="Normal 2"/>
    <tableColumn id="1802" xr3:uid="{765BA6AE-20CC-4613-8693-915FDD282953}" name="Column1787" dataCellStyle="Normal 2"/>
    <tableColumn id="1803" xr3:uid="{775E872A-39BE-414A-9C89-49FC84601E72}" name="Column1788" dataCellStyle="Normal 2"/>
    <tableColumn id="1804" xr3:uid="{EB8AC769-603E-4D13-9B2E-B31FAA208E15}" name="Column1789" dataCellStyle="Normal 2"/>
    <tableColumn id="1805" xr3:uid="{F5DFF679-D437-460B-93C3-B94EC1F29BD2}" name="Column1790" dataCellStyle="Normal 2"/>
    <tableColumn id="1806" xr3:uid="{8AA7A1BA-E74F-4DA0-B09D-9D2A65F9D2A2}" name="Column1791" dataCellStyle="Normal 2"/>
    <tableColumn id="1807" xr3:uid="{D8744640-F063-4F21-A78C-06F0B159378F}" name="Column1792" dataCellStyle="Normal 2"/>
    <tableColumn id="1808" xr3:uid="{8FA44087-6891-4B94-9400-37817D2FA286}" name="Column1793" dataCellStyle="Normal 2"/>
    <tableColumn id="1809" xr3:uid="{5510F4B7-711F-438E-9A31-3710F5AAD143}" name="Column1794" dataCellStyle="Normal 2"/>
    <tableColumn id="1810" xr3:uid="{A9040ADB-A826-43F5-B4D8-875A45733387}" name="Column1795" dataCellStyle="Normal 2"/>
    <tableColumn id="1811" xr3:uid="{AF4DEB12-79BE-4053-8B11-2F3612D74F86}" name="Column1796" dataCellStyle="Normal 2"/>
    <tableColumn id="1812" xr3:uid="{60332B05-B667-433B-BC81-58BDD182054A}" name="Column1797" dataCellStyle="Normal 2"/>
    <tableColumn id="1813" xr3:uid="{DD43B45C-D197-4BE1-AE94-C64B2939B4A2}" name="Column1798" dataCellStyle="Normal 2"/>
    <tableColumn id="1814" xr3:uid="{BE2B904B-F8F8-480D-8507-9EE511ECD7D9}" name="Column1799" dataCellStyle="Normal 2"/>
    <tableColumn id="1815" xr3:uid="{D925CB7C-FC8D-47A6-B46F-CCFA770DF8C2}" name="Column1800" dataCellStyle="Normal 2"/>
    <tableColumn id="1816" xr3:uid="{F5D22876-43BA-4149-8BBF-E18A2EFCADB6}" name="Column1801" dataCellStyle="Normal 2"/>
    <tableColumn id="1817" xr3:uid="{ED1AD593-CE39-4EFE-A9B0-5A1248301620}" name="Column1802" dataCellStyle="Normal 2"/>
    <tableColumn id="1818" xr3:uid="{80AE30BB-8D7F-4454-8BE4-D79FE5DF68A0}" name="Column1803" dataCellStyle="Normal 2"/>
    <tableColumn id="1819" xr3:uid="{50F36143-E3FE-491F-B11E-C4A9811FA9B2}" name="Column1804" dataCellStyle="Normal 2"/>
    <tableColumn id="1820" xr3:uid="{3E4F6807-72E8-4208-BB8C-9CC2C47F9F6E}" name="Column1805" dataCellStyle="Normal 2"/>
    <tableColumn id="1821" xr3:uid="{587E4FEC-BFA7-43E9-8CB0-A758BCF82433}" name="Column1806" dataCellStyle="Normal 2"/>
    <tableColumn id="1822" xr3:uid="{1CE17710-419A-447D-8947-E2D363073204}" name="Column1807" dataCellStyle="Normal 2"/>
    <tableColumn id="1823" xr3:uid="{F4BB3BBC-3894-4864-B162-D7E444938B4C}" name="Column1808" dataCellStyle="Normal 2"/>
    <tableColumn id="1824" xr3:uid="{531D76D7-F169-4125-BBB5-0D39EA8E260B}" name="Column1809" dataCellStyle="Normal 2"/>
    <tableColumn id="1825" xr3:uid="{CF2C81DC-4D08-4D9F-8E77-D36D3CD0E189}" name="Column1810" dataCellStyle="Normal 2"/>
    <tableColumn id="1826" xr3:uid="{96E58DE7-8EAB-4C9C-917B-86A7E9E401B7}" name="Column1811" dataCellStyle="Normal 2"/>
    <tableColumn id="1827" xr3:uid="{80B6469D-E223-4BF9-BC0A-09CBF659567C}" name="Column1812" dataCellStyle="Normal 2"/>
    <tableColumn id="1828" xr3:uid="{DE9689FB-3EDF-4055-96E0-B2AC19A7640A}" name="Column1813" dataCellStyle="Normal 2"/>
    <tableColumn id="1829" xr3:uid="{28A0FD82-02CA-40F2-B803-068B5FE8FEBE}" name="Column1814" dataCellStyle="Normal 2"/>
    <tableColumn id="1830" xr3:uid="{34BD2CBC-D762-4D93-ABCB-B97F75B8DE09}" name="Column1815" dataCellStyle="Normal 2"/>
    <tableColumn id="1831" xr3:uid="{60E8C3AC-26E8-4ECB-9349-CF5EFAB45454}" name="Column1816" dataCellStyle="Normal 2"/>
    <tableColumn id="1832" xr3:uid="{A28B06A7-ACA9-4696-B7A6-5CAFBB784B2B}" name="Column1817" dataCellStyle="Normal 2"/>
    <tableColumn id="1833" xr3:uid="{954D5EA3-C7CA-4F1E-8973-9D746CB06E6F}" name="Column1818" dataCellStyle="Normal 2"/>
    <tableColumn id="1834" xr3:uid="{91C14926-B123-4ED6-8211-D9508EA0BA6E}" name="Column1819" dataCellStyle="Normal 2"/>
    <tableColumn id="1835" xr3:uid="{390B2BDA-BD69-42F2-8226-D656BCBF8DE8}" name="Column1820" dataCellStyle="Normal 2"/>
    <tableColumn id="1836" xr3:uid="{FEEAC892-F921-45E4-A173-5823043BAB66}" name="Column1821" dataCellStyle="Normal 2"/>
    <tableColumn id="1837" xr3:uid="{6F9D8DAF-165F-48B7-8135-0F689389E751}" name="Column1822" dataCellStyle="Normal 2"/>
    <tableColumn id="1838" xr3:uid="{1156153F-FC7E-47E2-BAF2-6EF67E359979}" name="Column1823" dataCellStyle="Normal 2"/>
    <tableColumn id="1839" xr3:uid="{ED85F1CD-FCBC-4E87-9905-FB3DF99EBF01}" name="Column1824" dataCellStyle="Normal 2"/>
    <tableColumn id="1840" xr3:uid="{70693782-EA71-438B-ADF5-EAEE7CE6B39C}" name="Column1825" dataCellStyle="Normal 2"/>
    <tableColumn id="1841" xr3:uid="{F951227D-7CC7-43C9-99CD-47BFB12564B0}" name="Column1826" dataCellStyle="Normal 2"/>
    <tableColumn id="1842" xr3:uid="{36BE4026-628A-4014-9CCE-F75273DDFC74}" name="Column1827" dataCellStyle="Normal 2"/>
    <tableColumn id="1843" xr3:uid="{21BAFBA2-8211-4A1D-9EBB-B9EB6BA57703}" name="Column1828" dataCellStyle="Normal 2"/>
    <tableColumn id="1844" xr3:uid="{B665D9A7-115D-4B3B-A377-2E88880A786D}" name="Column1829" dataCellStyle="Normal 2"/>
    <tableColumn id="1845" xr3:uid="{EB50A21D-AC17-4D1C-B790-8EC4D245D077}" name="Column1830" dataCellStyle="Normal 2"/>
    <tableColumn id="1846" xr3:uid="{582E9576-B77D-43C0-A2B6-A31EC9EA8CDA}" name="Column1831" dataCellStyle="Normal 2"/>
    <tableColumn id="1847" xr3:uid="{F2706799-DF34-4ED0-97A5-EBF11875DE81}" name="Column1832" dataCellStyle="Normal 2"/>
    <tableColumn id="1848" xr3:uid="{867077AD-8FE5-4C57-8490-EF75E41AC87D}" name="Column1833" dataCellStyle="Normal 2"/>
    <tableColumn id="1849" xr3:uid="{2636FBD7-A002-4DD8-9037-78B977A630FE}" name="Column1834" dataCellStyle="Normal 2"/>
    <tableColumn id="1850" xr3:uid="{78945698-7E42-40D1-A71F-8FEC3A8C34F8}" name="Column1835" dataCellStyle="Normal 2"/>
    <tableColumn id="1851" xr3:uid="{7B934881-9F5D-4BFC-A0B0-E8A3EC7063E7}" name="Column1836" dataCellStyle="Normal 2"/>
    <tableColumn id="1852" xr3:uid="{7C963309-CE42-4633-8460-5FA88F091A3A}" name="Column1837" dataCellStyle="Normal 2"/>
    <tableColumn id="1853" xr3:uid="{439AF9A7-2300-40FF-A576-0661A99A2A36}" name="Column1838" dataCellStyle="Normal 2"/>
    <tableColumn id="1854" xr3:uid="{01F565C0-40EA-488B-BA09-59C7C62E0DBC}" name="Column1839" dataCellStyle="Normal 2"/>
    <tableColumn id="1855" xr3:uid="{55F6373F-9C41-453E-A6B7-F911BB72D6B9}" name="Column1840" dataCellStyle="Normal 2"/>
    <tableColumn id="1856" xr3:uid="{27619620-704F-4214-BE56-A12703FD1C51}" name="Column1841" dataCellStyle="Normal 2"/>
    <tableColumn id="1857" xr3:uid="{F5BDC7EF-4FD1-41E3-AE0E-5AC611ECC50B}" name="Column1842" dataCellStyle="Normal 2"/>
    <tableColumn id="1858" xr3:uid="{2989EF92-3D39-4AF7-81FD-C8E5C3E20EAE}" name="Column1843" dataCellStyle="Normal 2"/>
    <tableColumn id="1859" xr3:uid="{191B4C2F-9D63-45BA-90B7-C7318FCE799D}" name="Column1844" dataCellStyle="Normal 2"/>
    <tableColumn id="1860" xr3:uid="{58AF6A55-9D36-4578-9C74-429F1BBA0A05}" name="Column1845" dataCellStyle="Normal 2"/>
    <tableColumn id="1861" xr3:uid="{BE987F81-C590-4470-AE70-B54E502D6DE7}" name="Column1846" dataCellStyle="Normal 2"/>
    <tableColumn id="1862" xr3:uid="{B92D7363-E2D0-425B-92D6-E5952AC6194D}" name="Column1847" dataCellStyle="Normal 2"/>
    <tableColumn id="1863" xr3:uid="{252597A4-8937-4D7E-9963-1626161BF88F}" name="Column1848" dataCellStyle="Normal 2"/>
    <tableColumn id="1864" xr3:uid="{FEF9565D-DF09-4E91-A4F9-0EE75E7FFFD0}" name="Column1849" dataCellStyle="Normal 2"/>
    <tableColumn id="1865" xr3:uid="{B8F84421-6011-4C21-AC37-0B7283230FE4}" name="Column1850" dataCellStyle="Normal 2"/>
    <tableColumn id="1866" xr3:uid="{78D61FF5-E395-4368-91DD-10A49189772B}" name="Column1851" dataCellStyle="Normal 2"/>
    <tableColumn id="1867" xr3:uid="{3B77C61B-78A7-4534-AC0E-3EE7F535495B}" name="Column1852" dataCellStyle="Normal 2"/>
    <tableColumn id="1868" xr3:uid="{851BC44D-AC29-4246-9971-AE9E57873FB1}" name="Column1853" dataCellStyle="Normal 2"/>
    <tableColumn id="1869" xr3:uid="{84D62D34-60B0-4096-BE9F-27AAACD336C6}" name="Column1854" dataCellStyle="Normal 2"/>
    <tableColumn id="1870" xr3:uid="{C671E9D0-8AE6-451F-9031-D7BEE02E42A2}" name="Column1855" dataCellStyle="Normal 2"/>
    <tableColumn id="1871" xr3:uid="{8DD4278B-C130-472E-9B49-FEF913A51A9D}" name="Column1856" dataCellStyle="Normal 2"/>
    <tableColumn id="1872" xr3:uid="{101847F2-33DF-4D96-8867-1B1BD05388F7}" name="Column1857" dataCellStyle="Normal 2"/>
    <tableColumn id="1873" xr3:uid="{8CD05D62-9006-47F1-AE54-D14A70D8DB44}" name="Column1858" dataCellStyle="Normal 2"/>
    <tableColumn id="1874" xr3:uid="{90847648-7B62-4A8C-9EE7-8490E427CF51}" name="Column1859" dataCellStyle="Normal 2"/>
    <tableColumn id="1875" xr3:uid="{BE6D04B8-8109-468F-8135-16F4D312E423}" name="Column1860" dataCellStyle="Normal 2"/>
    <tableColumn id="1876" xr3:uid="{C42AFDAE-AF7F-4E32-B58E-0F2BE522973B}" name="Column1861" dataCellStyle="Normal 2"/>
    <tableColumn id="1877" xr3:uid="{75C68D1A-883A-45C8-9031-51047A75E86B}" name="Column1862" dataCellStyle="Normal 2"/>
    <tableColumn id="1878" xr3:uid="{2D1CB1BE-35AB-410B-A630-1D1E6B048F88}" name="Column1863" dataCellStyle="Normal 2"/>
    <tableColumn id="1879" xr3:uid="{A31D81DD-8770-4688-910A-58A445B70AA3}" name="Column1864" dataCellStyle="Normal 2"/>
    <tableColumn id="1880" xr3:uid="{11E36025-F9C6-415D-BDA9-BE525F3699ED}" name="Column1865" dataCellStyle="Normal 2"/>
    <tableColumn id="1881" xr3:uid="{19ADCDCC-3A03-4576-8866-2292A515C9DD}" name="Column1866" dataCellStyle="Normal 2"/>
    <tableColumn id="1882" xr3:uid="{6CC7A903-D0D9-4947-A385-7A897A8B6B8C}" name="Column1867" dataCellStyle="Normal 2"/>
    <tableColumn id="1883" xr3:uid="{32B27ADE-A6F6-42F5-8074-802525DBC287}" name="Column1868" dataCellStyle="Normal 2"/>
    <tableColumn id="1884" xr3:uid="{B8D689D7-3CF4-4F80-A3A7-8DFC20681AF6}" name="Column1869" dataCellStyle="Normal 2"/>
    <tableColumn id="1885" xr3:uid="{F603A261-FBD7-4CA8-ACB3-F55A3E70A1BC}" name="Column1870" dataCellStyle="Normal 2"/>
    <tableColumn id="1886" xr3:uid="{07D14F18-43F4-47FA-A2A0-F79FF4E2812F}" name="Column1871" dataCellStyle="Normal 2"/>
    <tableColumn id="1887" xr3:uid="{F03043A0-7773-49C0-993D-5027A72AEE20}" name="Column1872" dataCellStyle="Normal 2"/>
    <tableColumn id="1888" xr3:uid="{A878366F-7A0D-452F-8100-CC4834F1CAB5}" name="Column1873" dataCellStyle="Normal 2"/>
    <tableColumn id="1889" xr3:uid="{990B92FE-F746-4C0E-86D6-F2198FDA3D4E}" name="Column1874" dataCellStyle="Normal 2"/>
    <tableColumn id="1890" xr3:uid="{A6B866FA-98EB-47CF-A189-89E2020AB9A6}" name="Column1875" dataCellStyle="Normal 2"/>
    <tableColumn id="1891" xr3:uid="{2999649C-6441-4559-8570-153E8C538500}" name="Column1876" dataCellStyle="Normal 2"/>
    <tableColumn id="1892" xr3:uid="{9F54D715-BCD6-40D8-96E8-62E6F71B46F2}" name="Column1877" dataCellStyle="Normal 2"/>
    <tableColumn id="1893" xr3:uid="{890CE94C-6BDC-40DF-9CED-0BBCCB3317C0}" name="Column1878" dataCellStyle="Normal 2"/>
    <tableColumn id="1894" xr3:uid="{DB2589DA-8A56-45D2-9876-1CF5A0D13E55}" name="Column1879" dataCellStyle="Normal 2"/>
    <tableColumn id="1895" xr3:uid="{E6D93794-A7D0-43D7-86A7-33E83668B57F}" name="Column1880" dataCellStyle="Normal 2"/>
    <tableColumn id="1896" xr3:uid="{A1108639-760E-458B-A0AD-64BA700C0ABB}" name="Column1881" dataCellStyle="Normal 2"/>
    <tableColumn id="1897" xr3:uid="{8C098BAC-1826-4BFA-BA49-1A48EDF62682}" name="Column1882" dataCellStyle="Normal 2"/>
    <tableColumn id="1898" xr3:uid="{62285ABE-743D-493F-AA61-B4DC49B22723}" name="Column1883" dataCellStyle="Normal 2"/>
    <tableColumn id="1899" xr3:uid="{9D9571FC-305C-4AA9-90FF-E71E661D611F}" name="Column1884" dataCellStyle="Normal 2"/>
    <tableColumn id="1900" xr3:uid="{2FDAB471-6610-41CC-AF51-CFEFAC916441}" name="Column1885" dataCellStyle="Normal 2"/>
    <tableColumn id="1901" xr3:uid="{347F99A6-D355-44D1-8068-B17C34941890}" name="Column1886" dataCellStyle="Normal 2"/>
    <tableColumn id="1902" xr3:uid="{765FFEF4-4096-4193-AA77-0F0FEB7A5CD6}" name="Column1887" dataCellStyle="Normal 2"/>
    <tableColumn id="1903" xr3:uid="{E8AD36DA-7977-4867-92A1-33AB153170CF}" name="Column1888" dataCellStyle="Normal 2"/>
    <tableColumn id="1904" xr3:uid="{2E04689C-6AE5-48AB-9999-5B1E9FECD126}" name="Column1889" dataCellStyle="Normal 2"/>
    <tableColumn id="1905" xr3:uid="{BC92ECB4-433C-4D67-B830-98468616AC27}" name="Column1890" dataCellStyle="Normal 2"/>
    <tableColumn id="1906" xr3:uid="{7A999EE4-C0D8-4E96-AEF8-12E4DE891E3B}" name="Column1891" dataCellStyle="Normal 2"/>
    <tableColumn id="1907" xr3:uid="{B7539F34-4261-4548-94A0-179C81CA6376}" name="Column1892" dataCellStyle="Normal 2"/>
    <tableColumn id="1908" xr3:uid="{8FBB88A3-5E99-4844-AA53-4F7E487F1AED}" name="Column1893" dataCellStyle="Normal 2"/>
    <tableColumn id="1909" xr3:uid="{79E4B25F-63DB-43A9-A5F9-09594AE2445C}" name="Column1894" dataCellStyle="Normal 2"/>
    <tableColumn id="1910" xr3:uid="{DE648A42-8D98-4CA7-84F7-691AA8C62903}" name="Column1895" dataCellStyle="Normal 2"/>
    <tableColumn id="1911" xr3:uid="{6AB8B57D-2006-4584-B1BD-61BEF9C0AA68}" name="Column1896" dataCellStyle="Normal 2"/>
    <tableColumn id="1912" xr3:uid="{AAF3BC1D-5ADA-4570-974F-5F0C1FE0656C}" name="Column1897" dataCellStyle="Normal 2"/>
    <tableColumn id="1913" xr3:uid="{C45282ED-4E8C-4732-812C-B67856F651BB}" name="Column1898" dataCellStyle="Normal 2"/>
    <tableColumn id="1914" xr3:uid="{3F2D9DC3-E693-4C78-B04E-C4843D197E26}" name="Column1899" dataCellStyle="Normal 2"/>
    <tableColumn id="1915" xr3:uid="{61913CDD-C4E7-4BC7-BF6F-4908C9998D97}" name="Column1900" dataCellStyle="Normal 2"/>
    <tableColumn id="1916" xr3:uid="{69796406-3832-4BCD-8118-8A4BA98A245D}" name="Column1901" dataCellStyle="Normal 2"/>
    <tableColumn id="1917" xr3:uid="{B20BC080-36F2-46F6-8F7F-656167541A8D}" name="Column1902" dataCellStyle="Normal 2"/>
    <tableColumn id="1918" xr3:uid="{0590B68A-D518-4444-82F2-9445AA96DD0E}" name="Column1903" dataCellStyle="Normal 2"/>
    <tableColumn id="1919" xr3:uid="{27257428-93D8-404D-9CBC-0134D0ED624C}" name="Column1904" dataCellStyle="Normal 2"/>
    <tableColumn id="1920" xr3:uid="{938C8C29-4A23-4588-9281-B336B9289649}" name="Column1905" dataCellStyle="Normal 2"/>
    <tableColumn id="1921" xr3:uid="{4D65F601-218E-4F62-A1AC-1C2930623D1C}" name="Column1906" dataCellStyle="Normal 2"/>
    <tableColumn id="1922" xr3:uid="{CDE58F33-232D-4456-AB55-57075D88549A}" name="Column1907" dataCellStyle="Normal 2"/>
    <tableColumn id="1923" xr3:uid="{F722784C-B282-4E89-B480-5CE26A03960E}" name="Column1908" dataCellStyle="Normal 2"/>
    <tableColumn id="1924" xr3:uid="{BA509A31-65B9-4A21-9F78-6608E33A944C}" name="Column1909" dataCellStyle="Normal 2"/>
    <tableColumn id="1925" xr3:uid="{88AFF440-6F07-40AE-8D0F-8A94B058C75E}" name="Column1910" dataCellStyle="Normal 2"/>
    <tableColumn id="1926" xr3:uid="{D80C69DC-9920-4E5C-B608-E7BE5B2EBB82}" name="Column1911" dataCellStyle="Normal 2"/>
    <tableColumn id="1927" xr3:uid="{86543D31-B7C2-45B5-B735-AA2BD32B45AD}" name="Column1912" dataCellStyle="Normal 2"/>
    <tableColumn id="1928" xr3:uid="{93EC3A1E-0F81-42DD-88B6-421B48D9E68E}" name="Column1913" dataCellStyle="Normal 2"/>
    <tableColumn id="1929" xr3:uid="{F0570BB3-B6B5-4A50-8EB9-3ED2202475A2}" name="Column1914" dataCellStyle="Normal 2"/>
    <tableColumn id="1930" xr3:uid="{F958C0F1-9CB3-4A0C-B7A8-82406FB9F81A}" name="Column1915" dataCellStyle="Normal 2"/>
    <tableColumn id="1931" xr3:uid="{00FFAD5A-38B2-4768-BEEA-79BE20D8C56C}" name="Column1916" dataCellStyle="Normal 2"/>
    <tableColumn id="1932" xr3:uid="{9E2A8EF6-169C-4BBD-841B-FA89B8EAD09B}" name="Column1917" dataCellStyle="Normal 2"/>
    <tableColumn id="1933" xr3:uid="{AED08D55-F6B6-42D1-923F-98393C3DD13F}" name="Column1918" dataCellStyle="Normal 2"/>
    <tableColumn id="1934" xr3:uid="{B69F2A7E-7531-4159-906B-84AAAC310B77}" name="Column1919" dataCellStyle="Normal 2"/>
    <tableColumn id="1935" xr3:uid="{B0ACB622-B9D4-45FB-9CDF-6E7B7A63AD37}" name="Column1920" dataCellStyle="Normal 2"/>
    <tableColumn id="1936" xr3:uid="{0342D2E1-EDE7-4AAF-BF1A-03F662A239FB}" name="Column1921" dataCellStyle="Normal 2"/>
    <tableColumn id="1937" xr3:uid="{860EDE7F-0417-4039-926A-C543D55E6A33}" name="Column1922" dataCellStyle="Normal 2"/>
    <tableColumn id="1938" xr3:uid="{8FD07247-0D4B-4E63-958A-06826CB77D3B}" name="Column1923" dataCellStyle="Normal 2"/>
    <tableColumn id="1939" xr3:uid="{D65A5CEE-55A3-44E1-8B92-2A310591BA15}" name="Column1924" dataCellStyle="Normal 2"/>
    <tableColumn id="1940" xr3:uid="{F02EFDF1-B643-4E9D-A437-685528245BC8}" name="Column1925" dataCellStyle="Normal 2"/>
    <tableColumn id="1941" xr3:uid="{BEC054F3-DAE4-4E80-A849-66ECA1FF896C}" name="Column1926" dataCellStyle="Normal 2"/>
    <tableColumn id="1942" xr3:uid="{6EFF67F5-014B-4F12-B371-AF987B642D6A}" name="Column1927" dataCellStyle="Normal 2"/>
    <tableColumn id="1943" xr3:uid="{F64DFFC8-10D2-409C-B9FD-BC82D9DA720C}" name="Column1928" dataCellStyle="Normal 2"/>
    <tableColumn id="1944" xr3:uid="{33B1E62D-0F63-4C11-8DB8-A5449223C754}" name="Column1929" dataCellStyle="Normal 2"/>
    <tableColumn id="1945" xr3:uid="{3CBCF1B3-12E4-4CFF-A79E-CE395CE541F4}" name="Column1930" dataCellStyle="Normal 2"/>
    <tableColumn id="1946" xr3:uid="{43658DDC-D412-4EC6-A797-CDB89634EE9F}" name="Column1931" dataCellStyle="Normal 2"/>
    <tableColumn id="1947" xr3:uid="{E84CE644-AEBF-4EDB-ABEE-8A40A777B1DA}" name="Column1932" dataCellStyle="Normal 2"/>
    <tableColumn id="1948" xr3:uid="{503C68A7-77D0-45AC-95E0-E6A086B574FC}" name="Column1933" dataCellStyle="Normal 2"/>
    <tableColumn id="1949" xr3:uid="{9491C261-B7A6-4D7F-814C-598C423567E9}" name="Column1934" dataCellStyle="Normal 2"/>
    <tableColumn id="1950" xr3:uid="{44C1C15C-024C-46C3-B74C-360B0973B099}" name="Column1935" dataCellStyle="Normal 2"/>
    <tableColumn id="1951" xr3:uid="{975CC387-4654-4372-8E7B-79A91C8A2304}" name="Column1936" dataCellStyle="Normal 2"/>
    <tableColumn id="1952" xr3:uid="{D969C42C-B70D-41F9-AC0E-E31B76378C79}" name="Column1937" dataCellStyle="Normal 2"/>
    <tableColumn id="1953" xr3:uid="{391FA7E1-2AB3-4929-98CB-FDCB89219EE4}" name="Column1938" dataCellStyle="Normal 2"/>
    <tableColumn id="1954" xr3:uid="{3EF96E7C-3264-47E1-85F1-09EA22D3137F}" name="Column1939" dataCellStyle="Normal 2"/>
    <tableColumn id="1955" xr3:uid="{B848A091-C1F2-48B6-ADC3-C49026241D1C}" name="Column1940" dataCellStyle="Normal 2"/>
    <tableColumn id="1956" xr3:uid="{04C82D4A-A2E9-4813-A7BD-C9C28146CC3E}" name="Column1941" dataCellStyle="Normal 2"/>
    <tableColumn id="1957" xr3:uid="{E1BA3634-5422-4C33-A089-162BDF17373C}" name="Column1942" dataCellStyle="Normal 2"/>
    <tableColumn id="1958" xr3:uid="{5735DDDC-014C-4B28-BA75-8598AA63B229}" name="Column1943" dataCellStyle="Normal 2"/>
    <tableColumn id="1959" xr3:uid="{A3709C22-0447-4BFA-B0A3-9A816658D852}" name="Column1944" dataCellStyle="Normal 2"/>
    <tableColumn id="1960" xr3:uid="{FFB398FC-62E8-40E9-A12C-02F6E8905575}" name="Column1945" dataCellStyle="Normal 2"/>
    <tableColumn id="1961" xr3:uid="{7B600175-4445-450C-8DA6-49B62DB47FCE}" name="Column1946" dataCellStyle="Normal 2"/>
    <tableColumn id="1962" xr3:uid="{05B7D7DF-4918-49D7-82A7-DA17E71103F5}" name="Column1947" dataCellStyle="Normal 2"/>
    <tableColumn id="1963" xr3:uid="{EDAB2A71-B42A-42C7-8388-33CC98D1B869}" name="Column1948" dataCellStyle="Normal 2"/>
    <tableColumn id="1964" xr3:uid="{853C0570-0D44-40EF-8FBE-FA020875863E}" name="Column1949" dataCellStyle="Normal 2"/>
    <tableColumn id="1965" xr3:uid="{D1A8C9BC-6469-4D04-8F25-410EB49D63B7}" name="Column1950" dataCellStyle="Normal 2"/>
    <tableColumn id="1966" xr3:uid="{5D9CDCC3-58B5-435A-875F-448E252F5EA1}" name="Column1951" dataCellStyle="Normal 2"/>
    <tableColumn id="1967" xr3:uid="{C4FA6A7F-639E-4B45-BEDB-2B1DAAAE1883}" name="Column1952" dataCellStyle="Normal 2"/>
    <tableColumn id="1968" xr3:uid="{21EFA171-3F86-4A16-A95A-9B4FA1CD00D3}" name="Column1953" dataCellStyle="Normal 2"/>
    <tableColumn id="1969" xr3:uid="{B9B3F567-2DF6-461E-ADF0-76E379AB1403}" name="Column1954" dataCellStyle="Normal 2"/>
    <tableColumn id="1970" xr3:uid="{837CE7A2-95CF-4167-A251-165ED2055E12}" name="Column1955" dataCellStyle="Normal 2"/>
    <tableColumn id="1971" xr3:uid="{A0B24E0A-C958-4233-839E-42D78FA5ED7F}" name="Column1956" dataCellStyle="Normal 2"/>
    <tableColumn id="1972" xr3:uid="{29D83E4D-B6D3-4369-91DB-4B69DD2BD7D9}" name="Column1957" dataCellStyle="Normal 2"/>
    <tableColumn id="1973" xr3:uid="{F99FB3BC-4019-4346-B14C-53904E882BB0}" name="Column1958" dataCellStyle="Normal 2"/>
    <tableColumn id="1974" xr3:uid="{D769D5E7-E962-43DA-AB5D-29150A79EF7D}" name="Column1959" dataCellStyle="Normal 2"/>
    <tableColumn id="1975" xr3:uid="{F5F2D9F8-08D6-493D-A4A0-A30D589A8F08}" name="Column1960" dataCellStyle="Normal 2"/>
    <tableColumn id="1976" xr3:uid="{D3107EFA-A937-4A5D-9819-886671A4BBBE}" name="Column1961" dataCellStyle="Normal 2"/>
    <tableColumn id="1977" xr3:uid="{C6CA993D-3CE1-4CE2-B6E0-B7B475687929}" name="Column1962" dataCellStyle="Normal 2"/>
    <tableColumn id="1978" xr3:uid="{CF911AFC-3164-4E7E-A596-43FA20FF031F}" name="Column1963" dataCellStyle="Normal 2"/>
    <tableColumn id="1979" xr3:uid="{4B955584-6BCC-4DF5-80E3-F34AE33ACC75}" name="Column1964" dataCellStyle="Normal 2"/>
    <tableColumn id="1980" xr3:uid="{56B15D18-9E52-48C5-AD7C-FE9D600CF7C4}" name="Column1965" dataCellStyle="Normal 2"/>
    <tableColumn id="1981" xr3:uid="{9172C989-709A-433A-A29B-9227EC935199}" name="Column1966" dataCellStyle="Normal 2"/>
    <tableColumn id="1982" xr3:uid="{35D9D17A-1E6A-47A4-9A35-D535CA4C1E2C}" name="Column1967" dataCellStyle="Normal 2"/>
    <tableColumn id="1983" xr3:uid="{7590166A-EA37-42CE-A87E-B7E16C244180}" name="Column1968" dataCellStyle="Normal 2"/>
    <tableColumn id="1984" xr3:uid="{47082EB4-87C7-4C9F-8835-4F94BA9F4A41}" name="Column1969" dataCellStyle="Normal 2"/>
    <tableColumn id="1985" xr3:uid="{9E9089C8-54D8-4E61-BA46-C8E42D332769}" name="Column1970" dataCellStyle="Normal 2"/>
    <tableColumn id="1986" xr3:uid="{5640B2D4-14BD-420D-BA06-C070AB136795}" name="Column1971" dataCellStyle="Normal 2"/>
    <tableColumn id="1987" xr3:uid="{235394DD-43A4-44B5-B741-42439C4FAE0A}" name="Column1972" dataCellStyle="Normal 2"/>
    <tableColumn id="1988" xr3:uid="{A54FC1AB-80F9-4A29-8A81-C1BE9BD563EF}" name="Column1973" dataCellStyle="Normal 2"/>
    <tableColumn id="1989" xr3:uid="{F0E55378-A2C8-44C5-9859-B1502D0010F2}" name="Column1974" dataCellStyle="Normal 2"/>
    <tableColumn id="1990" xr3:uid="{E071DD7E-CCE9-4CC6-A077-CD8698EF3DAB}" name="Column1975" dataCellStyle="Normal 2"/>
    <tableColumn id="1991" xr3:uid="{4FBAA633-4680-442F-97E3-1F7B3EB24F12}" name="Column1976" dataCellStyle="Normal 2"/>
    <tableColumn id="1992" xr3:uid="{99E005DE-27F6-48BD-BB98-2063BA2A356E}" name="Column1977" dataCellStyle="Normal 2"/>
    <tableColumn id="1993" xr3:uid="{89E42274-1FF8-45D2-BFA9-F980D2B15ECC}" name="Column1978" dataCellStyle="Normal 2"/>
    <tableColumn id="1994" xr3:uid="{FE4FDF6A-A93D-4180-806B-1D1F22ED9992}" name="Column1979" dataCellStyle="Normal 2"/>
    <tableColumn id="1995" xr3:uid="{8E98C8B6-0D3C-4475-891A-FEA3A8C5857C}" name="Column1980" dataCellStyle="Normal 2"/>
    <tableColumn id="1996" xr3:uid="{9203386A-461F-460C-A3D2-0E5F0FC0337C}" name="Column1981" dataCellStyle="Normal 2"/>
    <tableColumn id="1997" xr3:uid="{678CCC6F-5E88-4F91-B198-06ED487210B5}" name="Column1982" dataCellStyle="Normal 2"/>
    <tableColumn id="1998" xr3:uid="{5A97A7B5-B892-45D0-B1A2-F360C0C4CFEB}" name="Column1983" dataCellStyle="Normal 2"/>
    <tableColumn id="1999" xr3:uid="{15F9DA65-0046-46D0-965A-4B41543AFC08}" name="Column1984" dataCellStyle="Normal 2"/>
    <tableColumn id="2000" xr3:uid="{6A3FCF05-B60C-4986-8FC9-97CA52AE505D}" name="Column1985" dataCellStyle="Normal 2"/>
    <tableColumn id="2001" xr3:uid="{47907F5D-658F-4B3C-BDC9-909A86B876AB}" name="Column1986" dataCellStyle="Normal 2"/>
    <tableColumn id="2002" xr3:uid="{CBC02B8D-CC48-416C-A8BB-BBF3BBFC2246}" name="Column1987" dataCellStyle="Normal 2"/>
    <tableColumn id="2003" xr3:uid="{A0CD008C-36EB-48B4-A4EB-FC7B916DD79F}" name="Column1988" dataCellStyle="Normal 2"/>
    <tableColumn id="2004" xr3:uid="{A6B9C889-6D4A-491B-AE89-3E3F7B44549F}" name="Column1989" dataCellStyle="Normal 2"/>
    <tableColumn id="2005" xr3:uid="{4E738530-89CE-4AD6-AECE-9FC9A3216A5F}" name="Column1990" dataCellStyle="Normal 2"/>
    <tableColumn id="2006" xr3:uid="{591C5A42-1E9B-499C-AEA7-5B90F57D2ED0}" name="Column1991" dataCellStyle="Normal 2"/>
    <tableColumn id="2007" xr3:uid="{E6854014-3EA6-4F45-9E19-FC626B5D7005}" name="Column1992" dataCellStyle="Normal 2"/>
    <tableColumn id="2008" xr3:uid="{995DFD2C-8C3E-4DF0-B4BF-46308E4337E3}" name="Column1993" dataCellStyle="Normal 2"/>
    <tableColumn id="2009" xr3:uid="{2A497745-B3B5-4FB6-BB04-A255A29F2F85}" name="Column1994" dataCellStyle="Normal 2"/>
    <tableColumn id="2010" xr3:uid="{218A0328-C0AA-483C-888B-10C737107E18}" name="Column1995" dataCellStyle="Normal 2"/>
    <tableColumn id="2011" xr3:uid="{8FBBABAD-870B-4E8C-8086-5D48A6DFC84A}" name="Column1996" dataCellStyle="Normal 2"/>
    <tableColumn id="2012" xr3:uid="{11B118A4-FEEB-4D70-8283-0CFE3AD6CB7B}" name="Column1997" dataCellStyle="Normal 2"/>
    <tableColumn id="2013" xr3:uid="{0CE32AA1-3FE3-4325-9317-B2DBA45EBF28}" name="Column1998" dataCellStyle="Normal 2"/>
    <tableColumn id="2014" xr3:uid="{9D82344D-2DF5-44D0-88C8-59074B077AEB}" name="Column1999" dataCellStyle="Normal 2"/>
    <tableColumn id="2015" xr3:uid="{B8381B8C-B649-4023-9B2F-D6FA8BDE1F6A}" name="Column2000" dataCellStyle="Normal 2"/>
    <tableColumn id="2016" xr3:uid="{0F9F5992-3A3B-4C18-9376-7424CD2876F6}" name="Column2001" dataCellStyle="Normal 2"/>
    <tableColumn id="2017" xr3:uid="{44B2AC48-6AC2-4A83-ABB1-FE54C14E9690}" name="Column2002" dataCellStyle="Normal 2"/>
    <tableColumn id="2018" xr3:uid="{D7454E33-0B23-46FB-81C9-5B6B1D2D6C83}" name="Column2003" dataCellStyle="Normal 2"/>
    <tableColumn id="2019" xr3:uid="{61F2D502-B379-4FDC-BEBD-0B860A133F2E}" name="Column2004" dataCellStyle="Normal 2"/>
    <tableColumn id="2020" xr3:uid="{DA2F5CA5-D113-4653-B16D-9066DFDC2069}" name="Column2005" dataCellStyle="Normal 2"/>
    <tableColumn id="2021" xr3:uid="{BF38A375-9896-4781-AAF3-4457DE794022}" name="Column2006" dataCellStyle="Normal 2"/>
    <tableColumn id="2022" xr3:uid="{C7CA45CC-144C-4510-8896-F24651D5FF45}" name="Column2007" dataCellStyle="Normal 2"/>
    <tableColumn id="2023" xr3:uid="{B27816F4-D300-4E5F-9C82-E196C5236D08}" name="Column2008" dataCellStyle="Normal 2"/>
    <tableColumn id="2024" xr3:uid="{9BD1120B-37C9-44EB-AFD6-C252EA3B2114}" name="Column2009" dataCellStyle="Normal 2"/>
    <tableColumn id="2025" xr3:uid="{3B0CD5D7-EB78-4982-813D-79E48F027D99}" name="Column2010" dataCellStyle="Normal 2"/>
    <tableColumn id="2026" xr3:uid="{038831F9-C4B9-494E-B4EE-E7F8804D7670}" name="Column2011" dataCellStyle="Normal 2"/>
    <tableColumn id="2027" xr3:uid="{09EE8418-6672-40CE-8BA2-AAF75EFF52A1}" name="Column2012" dataCellStyle="Normal 2"/>
    <tableColumn id="2028" xr3:uid="{C8EEEFB8-4F9D-4428-83F7-3BC2020F3E7F}" name="Column2013" dataCellStyle="Normal 2"/>
    <tableColumn id="2029" xr3:uid="{4B90E7D8-A18D-4DDE-ADBF-3532F709547E}" name="Column2014" dataCellStyle="Normal 2"/>
    <tableColumn id="2030" xr3:uid="{601AC6DA-F93C-4305-9E16-AFB5764F8800}" name="Column2015" dataCellStyle="Normal 2"/>
    <tableColumn id="2031" xr3:uid="{1F16DD21-13C7-40FE-A0D4-824898CDC563}" name="Column2016" dataCellStyle="Normal 2"/>
    <tableColumn id="2032" xr3:uid="{5E45A01B-AC1B-49DD-8773-C6F6359F62AB}" name="Column2017" dataCellStyle="Normal 2"/>
    <tableColumn id="2033" xr3:uid="{6D042667-53F9-4F7E-A2A3-CE42B5F4FC10}" name="Column2018" dataCellStyle="Normal 2"/>
    <tableColumn id="2034" xr3:uid="{569CF909-2CF9-4C6B-820A-CA1BB4ACB4FD}" name="Column2019" dataCellStyle="Normal 2"/>
    <tableColumn id="2035" xr3:uid="{B9C36C65-CD3B-4EF0-A1DB-581093A1891C}" name="Column2020" dataCellStyle="Normal 2"/>
    <tableColumn id="2036" xr3:uid="{5C72D033-E2FD-43BE-9F12-8EDF0FDAA6C2}" name="Column2021" dataCellStyle="Normal 2"/>
    <tableColumn id="2037" xr3:uid="{8B22EA3B-CFE0-4EB7-90F0-CDA20B765071}" name="Column2022" dataCellStyle="Normal 2"/>
    <tableColumn id="2038" xr3:uid="{7AFC5C4A-D862-4A59-8D89-7491E5B8A7EF}" name="Column2023" dataCellStyle="Normal 2"/>
    <tableColumn id="2039" xr3:uid="{B11FE32E-A6DA-4006-B05A-A4B6D55C305E}" name="Column2024" dataCellStyle="Normal 2"/>
    <tableColumn id="2040" xr3:uid="{52E53C08-5E04-45A2-8CB6-5A01172DD2CC}" name="Column2025" dataCellStyle="Normal 2"/>
    <tableColumn id="2041" xr3:uid="{2B114741-9171-4F36-96A0-1FBC0F286BEC}" name="Column2026" dataCellStyle="Normal 2"/>
    <tableColumn id="2042" xr3:uid="{18C5784D-C125-429F-AC5A-75D362A226F1}" name="Column2027" dataCellStyle="Normal 2"/>
    <tableColumn id="2043" xr3:uid="{552FFD22-52A4-4CE2-B01C-65EF6530F39C}" name="Column2028" dataCellStyle="Normal 2"/>
    <tableColumn id="2044" xr3:uid="{52DB2639-7A10-4AD0-A1B6-51201B8E1A8D}" name="Column2029" dataCellStyle="Normal 2"/>
    <tableColumn id="2045" xr3:uid="{94913022-6CAC-4F0F-8A41-BA475412B6F6}" name="Column2030" dataCellStyle="Normal 2"/>
    <tableColumn id="2046" xr3:uid="{760A05A5-4F7F-43C2-9AD7-3ADEC71E6A19}" name="Column2031" dataCellStyle="Normal 2"/>
    <tableColumn id="2047" xr3:uid="{2DC67367-1CBA-4C61-AD3A-98E6C944BC04}" name="Column2032" dataCellStyle="Normal 2"/>
    <tableColumn id="2048" xr3:uid="{69C3F12A-D9EF-4323-ADBD-EC02EE95153A}" name="Column2033" dataCellStyle="Normal 2"/>
    <tableColumn id="2049" xr3:uid="{016859FB-91FC-4FD7-A766-31C56A9205FA}" name="Column2034" dataCellStyle="Normal 2"/>
    <tableColumn id="2050" xr3:uid="{963FBD67-5C59-4656-9E88-74714F325B74}" name="Column2035" dataCellStyle="Normal 2"/>
    <tableColumn id="2051" xr3:uid="{78C184A6-C87B-4FE7-BB8D-46A86728799A}" name="Column2036" dataCellStyle="Normal 2"/>
    <tableColumn id="2052" xr3:uid="{9DF90F9B-43A1-4999-B5E8-04FE9FE677DA}" name="Column2037" dataCellStyle="Normal 2"/>
    <tableColumn id="2053" xr3:uid="{66F0BEC8-593D-4314-9ACF-993C6CDE1839}" name="Column2038" dataCellStyle="Normal 2"/>
    <tableColumn id="2054" xr3:uid="{B7D2C80A-03A2-4130-A6FC-F6A79AC431E3}" name="Column2039" dataCellStyle="Normal 2"/>
    <tableColumn id="2055" xr3:uid="{9BD6D284-0D8A-4A6A-A749-2C8990B23547}" name="Column2040" dataCellStyle="Normal 2"/>
    <tableColumn id="2056" xr3:uid="{639DAB59-0456-4312-B7DA-979BBFFC1CA5}" name="Column2041" dataCellStyle="Normal 2"/>
    <tableColumn id="2057" xr3:uid="{29B17751-9764-4A94-A383-5EFE39A7F562}" name="Column2042" dataCellStyle="Normal 2"/>
    <tableColumn id="2058" xr3:uid="{ECFF45D1-9F56-4E1B-BE1E-16C15C787678}" name="Column2043" dataCellStyle="Normal 2"/>
    <tableColumn id="2059" xr3:uid="{BB8AFE3E-8F64-48E6-8177-FBE3CB18E482}" name="Column2044" dataCellStyle="Normal 2"/>
    <tableColumn id="2060" xr3:uid="{9423EEE6-6A02-4E3F-A77C-BB4B439B889C}" name="Column2045" dataCellStyle="Normal 2"/>
    <tableColumn id="2061" xr3:uid="{1027C99A-83D5-4D5E-A906-A5846EC4311F}" name="Column2046" dataCellStyle="Normal 2"/>
    <tableColumn id="2062" xr3:uid="{2ADCBEED-CE17-4F14-A7F3-F5740927E678}" name="Column2047" dataCellStyle="Normal 2"/>
    <tableColumn id="2063" xr3:uid="{B1ACB715-A0F8-4B5C-AD97-CAC253B49CB4}" name="Column2048" dataCellStyle="Normal 2"/>
    <tableColumn id="2064" xr3:uid="{13DE0335-C7AE-4D54-B637-E18DA7082E1A}" name="Column2049" dataCellStyle="Normal 2"/>
    <tableColumn id="2065" xr3:uid="{8E98FE0B-95B1-4C0E-BAEE-FD88DB2EC910}" name="Column2050" dataCellStyle="Normal 2"/>
    <tableColumn id="2066" xr3:uid="{D411B223-8E83-4D97-A5BF-38B21128B584}" name="Column2051" dataCellStyle="Normal 2"/>
    <tableColumn id="2067" xr3:uid="{F74A7ECF-2117-4D3D-B0FC-EC18A954C1BB}" name="Column2052" dataCellStyle="Normal 2"/>
    <tableColumn id="2068" xr3:uid="{48748957-FF26-4F94-9159-A68602893A7D}" name="Column2053" dataCellStyle="Normal 2"/>
    <tableColumn id="2069" xr3:uid="{1EBFCB14-F703-441C-ABAF-84F86A43C860}" name="Column2054" dataCellStyle="Normal 2"/>
    <tableColumn id="2070" xr3:uid="{C5B1C20D-9E75-4BA2-BFF3-F5A4FD5FC8A9}" name="Column2055" dataCellStyle="Normal 2"/>
    <tableColumn id="2071" xr3:uid="{DE896D92-F191-4695-936E-F7AF9B4EB6B7}" name="Column2056" dataCellStyle="Normal 2"/>
    <tableColumn id="2072" xr3:uid="{D1B6D69D-7AF8-41BA-B2E8-623E800A6392}" name="Column2057" dataCellStyle="Normal 2"/>
    <tableColumn id="2073" xr3:uid="{115135E0-896C-444F-B9F8-33D586355059}" name="Column2058" dataCellStyle="Normal 2"/>
    <tableColumn id="2074" xr3:uid="{A3A2F7CA-C4ED-4A79-9061-CF3F6F3466F1}" name="Column2059" dataCellStyle="Normal 2"/>
    <tableColumn id="2075" xr3:uid="{50BD0324-1867-4BB0-B640-AA4A9780CFE1}" name="Column2060" dataCellStyle="Normal 2"/>
    <tableColumn id="2076" xr3:uid="{BC41B619-FB75-451A-9BAD-D364B2C2EBC6}" name="Column2061" dataCellStyle="Normal 2"/>
    <tableColumn id="2077" xr3:uid="{49A210D9-D046-4921-99A4-92861D5D53DB}" name="Column2062" dataCellStyle="Normal 2"/>
    <tableColumn id="2078" xr3:uid="{D364EEA0-555E-4505-9CC4-F05AC453601A}" name="Column2063" dataCellStyle="Normal 2"/>
    <tableColumn id="2079" xr3:uid="{9E824F9F-BA50-4062-9E15-8EDE5CFE8A8D}" name="Column2064" dataCellStyle="Normal 2"/>
    <tableColumn id="2080" xr3:uid="{0149492A-0827-4A6B-8711-B87380E31843}" name="Column2065" dataCellStyle="Normal 2"/>
    <tableColumn id="2081" xr3:uid="{2EA760A9-0368-421B-A542-E13D2D7439DB}" name="Column2066" dataCellStyle="Normal 2"/>
    <tableColumn id="2082" xr3:uid="{C9B8DBED-658D-472E-B792-EDA65CBEC2AE}" name="Column2067" dataCellStyle="Normal 2"/>
    <tableColumn id="2083" xr3:uid="{1632A4FC-5092-4E98-B9E6-124E97ED1590}" name="Column2068" dataCellStyle="Normal 2"/>
    <tableColumn id="2084" xr3:uid="{5668E913-D03F-488B-A2C1-EC228436B055}" name="Column2069" dataCellStyle="Normal 2"/>
    <tableColumn id="2085" xr3:uid="{0946E1CD-A98B-4968-9E0B-6A4251D378CE}" name="Column2070" dataCellStyle="Normal 2"/>
    <tableColumn id="2086" xr3:uid="{2A813FF1-3D4D-4313-AEF2-7830D91A9DC8}" name="Column2071" dataCellStyle="Normal 2"/>
    <tableColumn id="2087" xr3:uid="{DAFDFF16-FE66-40EB-96AF-45A0CCBAB162}" name="Column2072" dataCellStyle="Normal 2"/>
    <tableColumn id="2088" xr3:uid="{ACA058DE-5E2A-4F50-90FB-1F9E58DDA2B8}" name="Column2073" dataCellStyle="Normal 2"/>
    <tableColumn id="2089" xr3:uid="{A2A5A6B9-13C7-4ED4-95F0-E2C5407806B3}" name="Column2074" dataCellStyle="Normal 2"/>
    <tableColumn id="2090" xr3:uid="{CB9056F7-A5DE-47A1-803A-03016CCD8A8C}" name="Column2075" dataCellStyle="Normal 2"/>
    <tableColumn id="2091" xr3:uid="{EC8431DC-3455-47AC-8602-49D497692C7B}" name="Column2076" dataCellStyle="Normal 2"/>
    <tableColumn id="2092" xr3:uid="{BADE70FE-9764-46D2-8B1F-D35A78934713}" name="Column2077" dataCellStyle="Normal 2"/>
    <tableColumn id="2093" xr3:uid="{83D3CD71-A1E7-4457-823C-FDEDAC9F5442}" name="Column2078" dataCellStyle="Normal 2"/>
    <tableColumn id="2094" xr3:uid="{AEF65CEE-DF94-4770-BB4E-9A0364685646}" name="Column2079" dataCellStyle="Normal 2"/>
    <tableColumn id="2095" xr3:uid="{6B45E69E-0870-463F-8252-5C746FE551AE}" name="Column2080" dataCellStyle="Normal 2"/>
    <tableColumn id="2096" xr3:uid="{E8691A26-8075-4C86-B15C-B3D872A6554E}" name="Column2081" dataCellStyle="Normal 2"/>
    <tableColumn id="2097" xr3:uid="{433BCC85-1A95-4F4D-92FE-7E082CB57F11}" name="Column2082" dataCellStyle="Normal 2"/>
    <tableColumn id="2098" xr3:uid="{F62A9052-9CD7-4192-A7DD-48C49CA904AA}" name="Column2083" dataCellStyle="Normal 2"/>
    <tableColumn id="2099" xr3:uid="{2D32CA10-7ED2-4FF7-8A1C-F6C422BE8125}" name="Column2084" dataCellStyle="Normal 2"/>
    <tableColumn id="2100" xr3:uid="{98D49436-A8FC-4411-AECF-ADB52D9844FB}" name="Column2085" dataCellStyle="Normal 2"/>
    <tableColumn id="2101" xr3:uid="{CFE098B3-E851-4FEF-9D6D-7076ECC9FB5C}" name="Column2086" dataCellStyle="Normal 2"/>
    <tableColumn id="2102" xr3:uid="{154B1010-91BB-47F0-96F3-2C4365A2ACDE}" name="Column2087" dataCellStyle="Normal 2"/>
    <tableColumn id="2103" xr3:uid="{7305D626-2C6D-4AE5-AC58-83CFDEA549E6}" name="Column2088" dataCellStyle="Normal 2"/>
    <tableColumn id="2104" xr3:uid="{2BB0E86C-A2FB-4F7B-A062-76F8CC1118E0}" name="Column2089" dataCellStyle="Normal 2"/>
    <tableColumn id="2105" xr3:uid="{FF1B808E-8EEB-4804-8280-B8FAA654BA34}" name="Column2090" dataCellStyle="Normal 2"/>
    <tableColumn id="2106" xr3:uid="{73879D32-EFC1-4E77-9689-BF8AA853F5A0}" name="Column2091" dataCellStyle="Normal 2"/>
    <tableColumn id="2107" xr3:uid="{B0C2E2E8-862C-40F0-AA57-945A4757012B}" name="Column2092" dataCellStyle="Normal 2"/>
    <tableColumn id="2108" xr3:uid="{16D72AE7-5E36-429E-BB9D-AF97BCFE71B6}" name="Column2093" dataCellStyle="Normal 2"/>
    <tableColumn id="2109" xr3:uid="{9B00D7B3-6C0E-4657-BFA2-405D1438CC27}" name="Column2094" dataCellStyle="Normal 2"/>
    <tableColumn id="2110" xr3:uid="{83A0C1F1-6DA2-4A0E-9601-9E2A965E7B1D}" name="Column2095" dataCellStyle="Normal 2"/>
    <tableColumn id="2111" xr3:uid="{AA7CF102-0434-476C-8106-A66A27736743}" name="Column2096" dataCellStyle="Normal 2"/>
    <tableColumn id="2112" xr3:uid="{51175AD6-18D2-4678-8E60-65DF24AC3219}" name="Column2097" dataCellStyle="Normal 2"/>
    <tableColumn id="2113" xr3:uid="{9260B7FF-E156-4DCB-A427-5DCA018B74AB}" name="Column2098" dataCellStyle="Normal 2"/>
    <tableColumn id="2114" xr3:uid="{32BC67A1-2A8C-4F65-A23D-637F86845E98}" name="Column2099" dataCellStyle="Normal 2"/>
    <tableColumn id="2115" xr3:uid="{3E3D80AE-CD77-4D3D-BAAC-53AF14F77986}" name="Column2100" dataCellStyle="Normal 2"/>
    <tableColumn id="2116" xr3:uid="{6C239638-D80C-445A-A9E8-15F785502E5C}" name="Column2101" dataCellStyle="Normal 2"/>
    <tableColumn id="2117" xr3:uid="{856386CB-713D-438B-A86A-70B4151C9AD5}" name="Column2102" dataCellStyle="Normal 2"/>
    <tableColumn id="2118" xr3:uid="{D69F5D34-99EB-44E7-8872-B273619FFBC3}" name="Column2103" dataCellStyle="Normal 2"/>
    <tableColumn id="2119" xr3:uid="{DA888C42-A058-4A06-A5FC-F669262EA9DC}" name="Column2104" dataCellStyle="Normal 2"/>
    <tableColumn id="2120" xr3:uid="{08E64C09-3030-4C34-A323-0F2EE1FCEDBB}" name="Column2105" dataCellStyle="Normal 2"/>
    <tableColumn id="2121" xr3:uid="{FFF2EC4B-F2F5-47BC-894C-AEC3A1960E19}" name="Column2106" dataCellStyle="Normal 2"/>
    <tableColumn id="2122" xr3:uid="{468BBF7E-EEF5-4FD3-9AC6-F8265ECD5FD1}" name="Column2107" dataCellStyle="Normal 2"/>
    <tableColumn id="2123" xr3:uid="{BBEFB2AD-8B03-493F-A083-45A3F7E90796}" name="Column2108" dataCellStyle="Normal 2"/>
    <tableColumn id="2124" xr3:uid="{FB4E452C-529C-42D9-92C9-9FAF80F676D6}" name="Column2109" dataCellStyle="Normal 2"/>
    <tableColumn id="2125" xr3:uid="{A59AE3F8-5F9F-454B-AA21-E7C1949E877B}" name="Column2110" dataCellStyle="Normal 2"/>
    <tableColumn id="2126" xr3:uid="{25767D48-185C-49B1-862B-859D0FAA5665}" name="Column2111" dataCellStyle="Normal 2"/>
    <tableColumn id="2127" xr3:uid="{59B5C3D5-83C3-42F0-93D9-027CD65991AC}" name="Column2112" dataCellStyle="Normal 2"/>
    <tableColumn id="2128" xr3:uid="{68265C5C-62F2-4429-B59A-F2241663F512}" name="Column2113" dataCellStyle="Normal 2"/>
    <tableColumn id="2129" xr3:uid="{C972F732-681F-4895-BC9F-C8A6FFB65415}" name="Column2114" dataCellStyle="Normal 2"/>
    <tableColumn id="2130" xr3:uid="{908CB13F-92B8-4033-8409-BEC7CEB47585}" name="Column2115" dataCellStyle="Normal 2"/>
    <tableColumn id="2131" xr3:uid="{30030FCC-5EDB-477E-9A0F-F632F5DF7C52}" name="Column2116" dataCellStyle="Normal 2"/>
    <tableColumn id="2132" xr3:uid="{C68B849C-9D3B-4604-84FA-CE1E60343B85}" name="Column2117" dataCellStyle="Normal 2"/>
    <tableColumn id="2133" xr3:uid="{860E3FF8-E7F9-4522-BD03-90F5A4FDB768}" name="Column2118" dataCellStyle="Normal 2"/>
    <tableColumn id="2134" xr3:uid="{CD44C445-03FD-401E-A8F4-257DD60EB4CE}" name="Column2119" dataCellStyle="Normal 2"/>
    <tableColumn id="2135" xr3:uid="{1786C259-BA15-4FF0-A7F3-7934B7FC0596}" name="Column2120" dataCellStyle="Normal 2"/>
    <tableColumn id="2136" xr3:uid="{D437B998-6501-4E21-A761-67B16E18AAE0}" name="Column2121" dataCellStyle="Normal 2"/>
    <tableColumn id="2137" xr3:uid="{53D83696-5745-4957-B57C-55E455384530}" name="Column2122" dataCellStyle="Normal 2"/>
    <tableColumn id="2138" xr3:uid="{37E1A6B0-6622-4510-98FC-4CA1E1CFC9E8}" name="Column2123" dataCellStyle="Normal 2"/>
    <tableColumn id="2139" xr3:uid="{372D11F6-785E-4F02-952D-EA22898035B3}" name="Column2124" dataCellStyle="Normal 2"/>
    <tableColumn id="2140" xr3:uid="{AC8080EA-2F5A-45E7-BA73-846E62DF3AC5}" name="Column2125" dataCellStyle="Normal 2"/>
    <tableColumn id="2141" xr3:uid="{BA2956DF-0F78-4E2C-B517-714D42B7AB6C}" name="Column2126" dataCellStyle="Normal 2"/>
    <tableColumn id="2142" xr3:uid="{7BDDB3C4-7031-4957-8211-922EC5613414}" name="Column2127" dataCellStyle="Normal 2"/>
    <tableColumn id="2143" xr3:uid="{140D7B2F-6C58-4574-849F-2CDC865967ED}" name="Column2128" dataCellStyle="Normal 2"/>
    <tableColumn id="2144" xr3:uid="{7BF0A902-F06A-44F8-BF2E-C3ED2BF43CFA}" name="Column2129" dataCellStyle="Normal 2"/>
    <tableColumn id="2145" xr3:uid="{4FA696C0-1DED-4241-9EB5-915FDCB48206}" name="Column2130" dataCellStyle="Normal 2"/>
    <tableColumn id="2146" xr3:uid="{8CB0E70F-C117-41EF-8306-FE763485509D}" name="Column2131" dataCellStyle="Normal 2"/>
    <tableColumn id="2147" xr3:uid="{5C3E8D62-3DAE-4B27-8C7C-B95A9781B045}" name="Column2132" dataCellStyle="Normal 2"/>
    <tableColumn id="2148" xr3:uid="{964A78FC-1A63-42E7-B3CC-46A3E2BC2CAA}" name="Column2133" dataCellStyle="Normal 2"/>
    <tableColumn id="2149" xr3:uid="{C7E2DEE2-77F1-440F-B079-8D0A420F204A}" name="Column2134" dataCellStyle="Normal 2"/>
    <tableColumn id="2150" xr3:uid="{367F6579-FEF7-4206-B4DC-5759224E80F6}" name="Column2135" dataCellStyle="Normal 2"/>
    <tableColumn id="2151" xr3:uid="{16AA43A4-F4A8-4D82-AE1A-8D507B9C1515}" name="Column2136" dataCellStyle="Normal 2"/>
    <tableColumn id="2152" xr3:uid="{9D2FC2C1-6668-4E87-869F-32D077876BF1}" name="Column2137" dataCellStyle="Normal 2"/>
    <tableColumn id="2153" xr3:uid="{B6BDA6A3-8909-41B8-B4F0-37077A453B07}" name="Column2138" dataCellStyle="Normal 2"/>
    <tableColumn id="2154" xr3:uid="{67DFB1B9-C0E5-4068-BD10-8A6A2AA976FB}" name="Column2139" dataCellStyle="Normal 2"/>
    <tableColumn id="2155" xr3:uid="{39AC77F1-10C1-4A38-BFDA-8C5C46084EDD}" name="Column2140" dataCellStyle="Normal 2"/>
    <tableColumn id="2156" xr3:uid="{70711D85-5D8F-4E87-9848-3008FC0F089F}" name="Column2141" dataCellStyle="Normal 2"/>
    <tableColumn id="2157" xr3:uid="{F7C87D1B-8315-40A4-A413-55018388C76A}" name="Column2142" dataCellStyle="Normal 2"/>
    <tableColumn id="2158" xr3:uid="{859CF80E-94C3-40EA-942F-8788C57A0F7B}" name="Column2143" dataCellStyle="Normal 2"/>
    <tableColumn id="2159" xr3:uid="{0C279F8F-4F0B-4675-9A6C-E8AA2F315FE5}" name="Column2144" dataCellStyle="Normal 2"/>
    <tableColumn id="2160" xr3:uid="{557B7CDF-3649-49E4-8A84-376766E71EB5}" name="Column2145" dataCellStyle="Normal 2"/>
    <tableColumn id="2161" xr3:uid="{CB549AF3-D5BA-43F2-B31D-5908C3C2803A}" name="Column2146" dataCellStyle="Normal 2"/>
    <tableColumn id="2162" xr3:uid="{41195BE3-1306-4969-AF0C-21FD4E144329}" name="Column2147" dataCellStyle="Normal 2"/>
    <tableColumn id="2163" xr3:uid="{0AE99B04-43A0-4C61-86FD-897A05E57643}" name="Column2148" dataCellStyle="Normal 2"/>
    <tableColumn id="2164" xr3:uid="{CF633DA4-73E8-4BBA-996E-4CA815E5BED9}" name="Column2149" dataCellStyle="Normal 2"/>
    <tableColumn id="2165" xr3:uid="{9D84BDD6-3F16-4DAB-A68A-53874C122A4C}" name="Column2150" dataCellStyle="Normal 2"/>
    <tableColumn id="2166" xr3:uid="{3B9D55BE-E4C9-4D05-86B6-E2E10D1345D0}" name="Column2151" dataCellStyle="Normal 2"/>
    <tableColumn id="2167" xr3:uid="{16BC4C25-8C19-426C-92C1-B5EB8F5DEF97}" name="Column2152" dataCellStyle="Normal 2"/>
    <tableColumn id="2168" xr3:uid="{680A2A55-1051-4265-8F30-6E1BD628D779}" name="Column2153" dataCellStyle="Normal 2"/>
    <tableColumn id="2169" xr3:uid="{03B35E2B-BB63-43E0-9CCB-E2F67D7C69A6}" name="Column2154" dataCellStyle="Normal 2"/>
    <tableColumn id="2170" xr3:uid="{339F1056-CEEF-4C1D-A38A-AF021694AC76}" name="Column2155" dataCellStyle="Normal 2"/>
    <tableColumn id="2171" xr3:uid="{0AB5C15F-54CD-49F4-A7A7-7A1FA214D2AA}" name="Column2156" dataCellStyle="Normal 2"/>
    <tableColumn id="2172" xr3:uid="{849934FE-F11C-4D24-A9EB-E0BBC50C383C}" name="Column2157" dataCellStyle="Normal 2"/>
    <tableColumn id="2173" xr3:uid="{289898F5-3345-4CD1-8214-5135332C667F}" name="Column2158" dataCellStyle="Normal 2"/>
    <tableColumn id="2174" xr3:uid="{FB68F1E4-4BE0-4BCA-9771-403DCF08207A}" name="Column2159" dataCellStyle="Normal 2"/>
    <tableColumn id="2175" xr3:uid="{70D6D2A9-61FF-4ED8-99E4-518D5B298A97}" name="Column2160" dataCellStyle="Normal 2"/>
    <tableColumn id="2176" xr3:uid="{181A4442-35D9-4DC7-8413-CE8F8EFCBF0D}" name="Column2161" dataCellStyle="Normal 2"/>
    <tableColumn id="2177" xr3:uid="{C30B9923-1C48-4D7F-85FC-58E62E21F8E3}" name="Column2162" dataCellStyle="Normal 2"/>
    <tableColumn id="2178" xr3:uid="{45764BF1-5FF3-4750-A860-28A7E4033404}" name="Column2163" dataCellStyle="Normal 2"/>
    <tableColumn id="2179" xr3:uid="{C85A1E93-B829-4994-A93A-9A9FFF58137E}" name="Column2164" dataCellStyle="Normal 2"/>
    <tableColumn id="2180" xr3:uid="{3A1A83E7-5017-484A-9945-241B4B6AC1EF}" name="Column2165" dataCellStyle="Normal 2"/>
    <tableColumn id="2181" xr3:uid="{666A516D-5862-4491-AA0E-4728765A37F5}" name="Column2166" dataCellStyle="Normal 2"/>
    <tableColumn id="2182" xr3:uid="{962CB807-0066-4B96-8071-AD558FD72649}" name="Column2167" dataCellStyle="Normal 2"/>
    <tableColumn id="2183" xr3:uid="{457F54C1-EACD-446F-B007-3587C5E5735A}" name="Column2168" dataCellStyle="Normal 2"/>
    <tableColumn id="2184" xr3:uid="{B3111F67-7C5B-485E-93B3-ECDE60AB8ED3}" name="Column2169" dataCellStyle="Normal 2"/>
    <tableColumn id="2185" xr3:uid="{B9ADE295-F49D-4BA9-B7BA-F6584CF09315}" name="Column2170" dataCellStyle="Normal 2"/>
    <tableColumn id="2186" xr3:uid="{D81A192D-691F-49FE-B6A7-4F1973394E0E}" name="Column2171" dataCellStyle="Normal 2"/>
    <tableColumn id="2187" xr3:uid="{3BDAFC93-5D7B-419D-9E2E-5F9CA098641E}" name="Column2172" dataCellStyle="Normal 2"/>
    <tableColumn id="2188" xr3:uid="{6FBAD433-68F2-4F3B-97B0-B1FE5AB2A93F}" name="Column2173" dataCellStyle="Normal 2"/>
    <tableColumn id="2189" xr3:uid="{FCF8CFDE-4D85-4E30-BA63-D356D1E575B9}" name="Column2174" dataCellStyle="Normal 2"/>
    <tableColumn id="2190" xr3:uid="{92D1BEA7-0406-4845-935C-BE3A9FFC58F4}" name="Column2175" dataCellStyle="Normal 2"/>
    <tableColumn id="2191" xr3:uid="{DBC778F5-BDA2-4242-8A6F-01E86D0D890D}" name="Column2176" dataCellStyle="Normal 2"/>
    <tableColumn id="2192" xr3:uid="{DEDC6739-E500-40B5-95FD-23856650BB88}" name="Column2177" dataCellStyle="Normal 2"/>
    <tableColumn id="2193" xr3:uid="{234DA5CB-30E4-45A1-82D0-CD340C4A8A37}" name="Column2178" dataCellStyle="Normal 2"/>
    <tableColumn id="2194" xr3:uid="{733757BD-9088-4A8B-83DD-042895A83D80}" name="Column2179" dataCellStyle="Normal 2"/>
    <tableColumn id="2195" xr3:uid="{19FE9CFA-054C-4D8D-885B-8BD80135C858}" name="Column2180" dataCellStyle="Normal 2"/>
    <tableColumn id="2196" xr3:uid="{0CC986A3-3974-4636-A679-611C7ACDCD45}" name="Column2181" dataCellStyle="Normal 2"/>
    <tableColumn id="2197" xr3:uid="{4735EA74-795F-461B-AD10-F30E900B8A86}" name="Column2182" dataCellStyle="Normal 2"/>
    <tableColumn id="2198" xr3:uid="{F3CCEBD7-9F7D-4319-8898-1F68B63ED197}" name="Column2183" dataCellStyle="Normal 2"/>
    <tableColumn id="2199" xr3:uid="{C04D1D2A-9A2A-4E7C-BDBD-9653D86761D2}" name="Column2184" dataCellStyle="Normal 2"/>
    <tableColumn id="2200" xr3:uid="{ED2FDA7B-99BE-4E95-B650-4AB9DF93AA8C}" name="Column2185" dataCellStyle="Normal 2"/>
    <tableColumn id="2201" xr3:uid="{C3E9F2E0-E7F3-4779-9338-CB8C1FBBB954}" name="Column2186" dataCellStyle="Normal 2"/>
    <tableColumn id="2202" xr3:uid="{764E4D86-B254-4453-BCDF-AE17AEF918F7}" name="Column2187" dataCellStyle="Normal 2"/>
    <tableColumn id="2203" xr3:uid="{DF0516C4-EC53-4CF0-A728-220536935831}" name="Column2188" dataCellStyle="Normal 2"/>
    <tableColumn id="2204" xr3:uid="{E10752BC-8BE4-4910-A951-30AB3067EC03}" name="Column2189" dataCellStyle="Normal 2"/>
    <tableColumn id="2205" xr3:uid="{63397752-68D9-41F4-868E-157C26B025D2}" name="Column2190" dataCellStyle="Normal 2"/>
    <tableColumn id="2206" xr3:uid="{6A5AFF70-639D-45F1-9904-753FE8DF3D08}" name="Column2191" dataCellStyle="Normal 2"/>
    <tableColumn id="2207" xr3:uid="{7A5AA9E6-1D27-47CD-B2E7-1A61E1A955EC}" name="Column2192" dataCellStyle="Normal 2"/>
    <tableColumn id="2208" xr3:uid="{F470F634-DA55-4986-9857-B3F08C33667C}" name="Column2193" dataCellStyle="Normal 2"/>
    <tableColumn id="2209" xr3:uid="{80CE5698-3C97-40EB-96EC-00B74B11913C}" name="Column2194" dataCellStyle="Normal 2"/>
    <tableColumn id="2210" xr3:uid="{92750D30-F530-40C1-B6B5-825A7667804F}" name="Column2195" dataCellStyle="Normal 2"/>
    <tableColumn id="2211" xr3:uid="{35EBC99B-E200-49A3-B858-7BC369FB011F}" name="Column2196" dataCellStyle="Normal 2"/>
    <tableColumn id="2212" xr3:uid="{187C5C96-7239-4A7C-AFCD-78022105A694}" name="Column2197" dataCellStyle="Normal 2"/>
    <tableColumn id="2213" xr3:uid="{17575A4A-54ED-4B01-89C7-7000D4F47B01}" name="Column2198" dataCellStyle="Normal 2"/>
    <tableColumn id="2214" xr3:uid="{06E975E9-1D78-47E2-847D-572E3402090F}" name="Column2199" dataCellStyle="Normal 2"/>
    <tableColumn id="2215" xr3:uid="{EBD2DBE2-46DF-4486-AC2C-61460456831F}" name="Column2200" dataCellStyle="Normal 2"/>
    <tableColumn id="2216" xr3:uid="{71D97BB2-144E-4ED3-9A78-6F07BB42A48E}" name="Column2201" dataCellStyle="Normal 2"/>
    <tableColumn id="2217" xr3:uid="{6CB905E8-20C5-4DD6-8720-E72FC480658C}" name="Column2202" dataCellStyle="Normal 2"/>
    <tableColumn id="2218" xr3:uid="{D091BADB-CD03-49A2-B479-A46CA2A166D6}" name="Column2203" dataCellStyle="Normal 2"/>
    <tableColumn id="2219" xr3:uid="{EEE5F5F3-F5B9-488A-9C6A-1B71BE6ACD88}" name="Column2204" dataCellStyle="Normal 2"/>
    <tableColumn id="2220" xr3:uid="{67C68F2D-2331-419E-9812-6301CAB9E284}" name="Column2205" dataCellStyle="Normal 2"/>
    <tableColumn id="2221" xr3:uid="{CFFFE444-86E1-404A-A3CF-5B6540CD11BB}" name="Column2206" dataCellStyle="Normal 2"/>
    <tableColumn id="2222" xr3:uid="{0CCC410F-23AF-4987-9D10-D6503A914962}" name="Column2207" dataCellStyle="Normal 2"/>
    <tableColumn id="2223" xr3:uid="{6B1F6AA2-4F25-43CD-94D2-9FD3CAA061FC}" name="Column2208" dataCellStyle="Normal 2"/>
    <tableColumn id="2224" xr3:uid="{777934F0-A9F3-4302-90B2-E1EC2595C541}" name="Column2209" dataCellStyle="Normal 2"/>
    <tableColumn id="2225" xr3:uid="{C62AA5FF-5A49-4062-818E-BE695DCAC0B0}" name="Column2210" dataCellStyle="Normal 2"/>
    <tableColumn id="2226" xr3:uid="{31B369C7-E556-40A5-8527-9CE01119E9EC}" name="Column2211" dataCellStyle="Normal 2"/>
    <tableColumn id="2227" xr3:uid="{45EA0638-7B78-4DAE-91E4-1407C0730D18}" name="Column2212" dataCellStyle="Normal 2"/>
    <tableColumn id="2228" xr3:uid="{1B2D5677-3901-4B6B-B136-E613873EE5A1}" name="Column2213" dataCellStyle="Normal 2"/>
    <tableColumn id="2229" xr3:uid="{F7CD432F-1FFF-4070-8E80-5819AD633E71}" name="Column2214" dataCellStyle="Normal 2"/>
    <tableColumn id="2230" xr3:uid="{C7A482A7-63FE-429D-B1F4-7E36DB18115E}" name="Column2215" dataCellStyle="Normal 2"/>
    <tableColumn id="2231" xr3:uid="{E0BF07F3-DB75-418E-9624-9F08CF5E2CAF}" name="Column2216" dataCellStyle="Normal 2"/>
    <tableColumn id="2232" xr3:uid="{6F75CA96-16B8-4083-9792-12CB38612107}" name="Column2217" dataCellStyle="Normal 2"/>
    <tableColumn id="2233" xr3:uid="{C1DA2A78-77C3-43A0-82E8-1134110E5FC0}" name="Column2218" dataCellStyle="Normal 2"/>
    <tableColumn id="2234" xr3:uid="{7BAB04EA-21BF-449A-BEB6-64A9F86B65F2}" name="Column2219" dataCellStyle="Normal 2"/>
    <tableColumn id="2235" xr3:uid="{FB317567-DEBC-40EA-B0BA-97A49C926CEF}" name="Column2220" dataCellStyle="Normal 2"/>
    <tableColumn id="2236" xr3:uid="{714CA2B6-385F-41BF-87AA-73F6AE742554}" name="Column2221" dataCellStyle="Normal 2"/>
    <tableColumn id="2237" xr3:uid="{109BD768-6300-4933-93C4-FDAD2DBB5C5F}" name="Column2222" dataCellStyle="Normal 2"/>
    <tableColumn id="2238" xr3:uid="{67D16D42-7A15-4E02-80F6-BB5FBBC06755}" name="Column2223" dataCellStyle="Normal 2"/>
    <tableColumn id="2239" xr3:uid="{90A6881E-363E-498C-B8D9-DF77E9166512}" name="Column2224" dataCellStyle="Normal 2"/>
    <tableColumn id="2240" xr3:uid="{4A513A5F-92AD-45C4-96C7-32D31A28429A}" name="Column2225" dataCellStyle="Normal 2"/>
    <tableColumn id="2241" xr3:uid="{B33D704D-94B9-4CC6-A6E5-7E47754933D9}" name="Column2226" dataCellStyle="Normal 2"/>
    <tableColumn id="2242" xr3:uid="{11D35CAD-7230-4465-825D-3F688D6099B1}" name="Column2227" dataCellStyle="Normal 2"/>
    <tableColumn id="2243" xr3:uid="{BA9A7064-9D0A-41FE-B3FD-8BE521A0398F}" name="Column2228" dataCellStyle="Normal 2"/>
    <tableColumn id="2244" xr3:uid="{ED9B2C97-7C11-46E5-9553-4C1E87739470}" name="Column2229" dataCellStyle="Normal 2"/>
    <tableColumn id="2245" xr3:uid="{4338B25A-FF6B-44BF-9389-2CBBAEACF124}" name="Column2230" dataCellStyle="Normal 2"/>
    <tableColumn id="2246" xr3:uid="{251BA7FE-A891-4AEF-9BD0-4B04E441DD33}" name="Column2231" dataCellStyle="Normal 2"/>
    <tableColumn id="2247" xr3:uid="{CFDEC20E-9F1F-44E4-A07A-77161F40C680}" name="Column2232" dataCellStyle="Normal 2"/>
    <tableColumn id="2248" xr3:uid="{0E6A71C2-C85F-4DEA-9A3B-41E4A6F9989C}" name="Column2233" dataCellStyle="Normal 2"/>
    <tableColumn id="2249" xr3:uid="{088B8F72-5DBB-4D83-A61A-E926A6E9F6FC}" name="Column2234" dataCellStyle="Normal 2"/>
    <tableColumn id="2250" xr3:uid="{B80BFF59-5C55-47EC-B052-194C9D732648}" name="Column2235" dataCellStyle="Normal 2"/>
    <tableColumn id="2251" xr3:uid="{4C840D56-0B06-46FB-A85F-F0C977790038}" name="Column2236" dataCellStyle="Normal 2"/>
    <tableColumn id="2252" xr3:uid="{D98ED2B8-3D66-4E9C-9EAE-D9E4E2A64357}" name="Column2237" dataCellStyle="Normal 2"/>
    <tableColumn id="2253" xr3:uid="{5D728AB5-117F-4A8A-A0C3-F61E003343C9}" name="Column2238" dataCellStyle="Normal 2"/>
    <tableColumn id="2254" xr3:uid="{CAD9A5CC-32D4-4A23-A080-588C03E4EAF0}" name="Column2239" dataCellStyle="Normal 2"/>
    <tableColumn id="2255" xr3:uid="{097703D6-A950-44BB-9823-FAD573813882}" name="Column2240" dataCellStyle="Normal 2"/>
    <tableColumn id="2256" xr3:uid="{4133A947-E920-4312-A5AF-367578AE268C}" name="Column2241" dataCellStyle="Normal 2"/>
    <tableColumn id="2257" xr3:uid="{E9834B0C-AB05-44BE-9E23-7F21576E372E}" name="Column2242" dataCellStyle="Normal 2"/>
    <tableColumn id="2258" xr3:uid="{A75AF645-6967-4C33-A19B-865AF3308784}" name="Column2243" dataCellStyle="Normal 2"/>
    <tableColumn id="2259" xr3:uid="{E26B5BC2-8C9B-4D77-924E-B87322463184}" name="Column2244" dataCellStyle="Normal 2"/>
    <tableColumn id="2260" xr3:uid="{0A40C9C7-4409-4E54-85D4-8112B2061833}" name="Column2245" dataCellStyle="Normal 2"/>
    <tableColumn id="2261" xr3:uid="{1D99AAD5-5808-4EE1-A879-1D4CFB58FE4A}" name="Column2246" dataCellStyle="Normal 2"/>
    <tableColumn id="2262" xr3:uid="{DC68288D-9230-4246-8DA0-66B9FDBD5A51}" name="Column2247" dataCellStyle="Normal 2"/>
    <tableColumn id="2263" xr3:uid="{C1616F2D-6D0B-49C4-A502-E5C93A29E777}" name="Column2248" dataCellStyle="Normal 2"/>
    <tableColumn id="2264" xr3:uid="{92CA8852-02FC-409C-8317-84785BE59749}" name="Column2249" dataCellStyle="Normal 2"/>
    <tableColumn id="2265" xr3:uid="{F9C9D8E3-FF1B-46B7-B19B-B25FEA3BEA07}" name="Column2250" dataCellStyle="Normal 2"/>
    <tableColumn id="2266" xr3:uid="{F13B6274-3B76-4EA6-A994-B16EA42248E2}" name="Column2251" dataCellStyle="Normal 2"/>
    <tableColumn id="2267" xr3:uid="{3D608C95-7082-4458-B7C1-D6A8F88364E1}" name="Column2252" dataCellStyle="Normal 2"/>
    <tableColumn id="2268" xr3:uid="{1D1C29FA-AABB-469A-82BE-D7B1DFB581D4}" name="Column2253" dataCellStyle="Normal 2"/>
    <tableColumn id="2269" xr3:uid="{2FDAEAF1-3FFD-4A23-BD20-B8C5D2F46E16}" name="Column2254" dataCellStyle="Normal 2"/>
    <tableColumn id="2270" xr3:uid="{7D773B80-DE13-4E18-A9E7-601A9232F286}" name="Column2255" dataCellStyle="Normal 2"/>
    <tableColumn id="2271" xr3:uid="{7D7C419B-F9CC-4A36-9E90-580DC6D26636}" name="Column2256" dataCellStyle="Normal 2"/>
    <tableColumn id="2272" xr3:uid="{741E2E33-7B54-4022-AC7A-31D823D3D6C8}" name="Column2257" dataCellStyle="Normal 2"/>
    <tableColumn id="2273" xr3:uid="{71DC0425-15E2-4630-B980-0D44A518D16A}" name="Column2258" dataCellStyle="Normal 2"/>
    <tableColumn id="2274" xr3:uid="{3A9C9911-F9B0-44F5-9535-7DAFD8AA5F80}" name="Column2259" dataCellStyle="Normal 2"/>
    <tableColumn id="2275" xr3:uid="{AC0F04F6-C4DF-403D-A1B7-4C45F23E222E}" name="Column2260" dataCellStyle="Normal 2"/>
    <tableColumn id="2276" xr3:uid="{1D110A56-41E9-48FB-96BC-B982422BE766}" name="Column2261" dataCellStyle="Normal 2"/>
    <tableColumn id="2277" xr3:uid="{EFFADC52-E0BC-42E7-8B07-5B7D08D3C87E}" name="Column2262" dataCellStyle="Normal 2"/>
    <tableColumn id="2278" xr3:uid="{C7C43217-9BD7-4515-AA9D-2930C2168591}" name="Column2263" dataCellStyle="Normal 2"/>
    <tableColumn id="2279" xr3:uid="{CDCBF0F8-E594-47F9-B0E7-471144C13E1C}" name="Column2264" dataCellStyle="Normal 2"/>
    <tableColumn id="2280" xr3:uid="{BB6E25D5-51E7-4951-92DF-7636E26E4ADD}" name="Column2265" dataCellStyle="Normal 2"/>
    <tableColumn id="2281" xr3:uid="{EDE5714B-28F7-4451-9061-7C09475D96CE}" name="Column2266" dataCellStyle="Normal 2"/>
    <tableColumn id="2282" xr3:uid="{72C1CC6B-FC14-44D7-9259-BAEB400AE6BE}" name="Column2267" dataCellStyle="Normal 2"/>
    <tableColumn id="2283" xr3:uid="{38B7DD93-4211-46C7-82F2-CDE6DDF950BB}" name="Column2268" dataCellStyle="Normal 2"/>
    <tableColumn id="2284" xr3:uid="{1C824195-281D-4020-9E58-3D29B1ED6E1B}" name="Column2269" dataCellStyle="Normal 2"/>
    <tableColumn id="2285" xr3:uid="{A89D46BC-834D-4EB4-8EE1-D3FCCEDAFD59}" name="Column2270" dataCellStyle="Normal 2"/>
    <tableColumn id="2286" xr3:uid="{74A3860F-BF1C-4C40-8ECF-26F54B9BF34D}" name="Column2271" dataCellStyle="Normal 2"/>
    <tableColumn id="2287" xr3:uid="{FE190EDB-DEC8-440E-BF4A-B6F54F9E0943}" name="Column2272" dataCellStyle="Normal 2"/>
    <tableColumn id="2288" xr3:uid="{6A74C5F5-E733-4C6E-8CA5-E2B6D6BE0ECB}" name="Column2273" dataCellStyle="Normal 2"/>
    <tableColumn id="2289" xr3:uid="{0CBFC5CD-EFCD-43A1-912B-277A4D7ABA55}" name="Column2274" dataCellStyle="Normal 2"/>
    <tableColumn id="2290" xr3:uid="{82B5F28E-C5EB-470B-97B5-F06A5854162F}" name="Column2275" dataCellStyle="Normal 2"/>
    <tableColumn id="2291" xr3:uid="{0AB8CEED-61E3-4357-B84F-39DA6B11E725}" name="Column2276" dataCellStyle="Normal 2"/>
    <tableColumn id="2292" xr3:uid="{2DBD0EB2-FDAF-491D-8BAB-794911154595}" name="Column2277" dataCellStyle="Normal 2"/>
    <tableColumn id="2293" xr3:uid="{36F001DF-B4CC-46E5-83A5-744CD6F6FF44}" name="Column2278" dataCellStyle="Normal 2"/>
    <tableColumn id="2294" xr3:uid="{A18989BA-47FB-496E-AE9A-BB37895D5078}" name="Column2279" dataCellStyle="Normal 2"/>
    <tableColumn id="2295" xr3:uid="{B70BCA4D-0CAB-466D-85A1-F0A3A42ED107}" name="Column2280" dataCellStyle="Normal 2"/>
    <tableColumn id="2296" xr3:uid="{1307E8C6-CCA5-4F54-9B4D-B5E6D16EF20F}" name="Column2281" dataCellStyle="Normal 2"/>
    <tableColumn id="2297" xr3:uid="{ED46B0E8-2D21-4A23-94D7-E30C43E816A2}" name="Column2282" dataCellStyle="Normal 2"/>
    <tableColumn id="2298" xr3:uid="{8240FC87-3A93-4FA0-BBF3-6C055F0464B0}" name="Column2283" dataCellStyle="Normal 2"/>
    <tableColumn id="2299" xr3:uid="{AC3357D9-0E4F-45FB-B8AB-72D26122B013}" name="Column2284" dataCellStyle="Normal 2"/>
    <tableColumn id="2300" xr3:uid="{1129BA95-417F-435A-8724-AFABDA7AB161}" name="Column2285" dataCellStyle="Normal 2"/>
    <tableColumn id="2301" xr3:uid="{0C49C58B-C0DA-4B3B-BA39-1808766251E0}" name="Column2286" dataCellStyle="Normal 2"/>
    <tableColumn id="2302" xr3:uid="{1461175E-AB14-4805-A466-D4E908D166BA}" name="Column2287" dataCellStyle="Normal 2"/>
    <tableColumn id="2303" xr3:uid="{010C5771-E6BF-4EA2-97D8-89D26171F50C}" name="Column2288" dataCellStyle="Normal 2"/>
    <tableColumn id="2304" xr3:uid="{DA1CE5EF-3BF6-4D1A-9671-FA4A7D16EBDE}" name="Column2289" dataCellStyle="Normal 2"/>
    <tableColumn id="2305" xr3:uid="{DD43CF7E-BB5D-4D9A-BDA4-D09AF911915E}" name="Column2290" dataCellStyle="Normal 2"/>
    <tableColumn id="2306" xr3:uid="{6A73CB97-5462-4626-8C18-40FED5F18201}" name="Column2291" dataCellStyle="Normal 2"/>
    <tableColumn id="2307" xr3:uid="{B9D532C3-2D19-4E03-96F7-4FFBD5EFEA48}" name="Column2292" dataCellStyle="Normal 2"/>
    <tableColumn id="2308" xr3:uid="{43688BE6-585C-4735-8F02-D4B96691607A}" name="Column2293" dataCellStyle="Normal 2"/>
    <tableColumn id="2309" xr3:uid="{88B0AAA7-F077-430D-903E-DD34CFF119EE}" name="Column2294" dataCellStyle="Normal 2"/>
    <tableColumn id="2310" xr3:uid="{08F87FE5-8BD6-4862-9648-7B998ED6103D}" name="Column2295" dataCellStyle="Normal 2"/>
    <tableColumn id="2311" xr3:uid="{90A6E0E7-9723-4FBF-A8FF-729A8260DDA8}" name="Column2296" dataCellStyle="Normal 2"/>
    <tableColumn id="2312" xr3:uid="{4D3310AB-CFEA-4895-BA20-1B23780C0FCA}" name="Column2297" dataCellStyle="Normal 2"/>
    <tableColumn id="2313" xr3:uid="{691F841B-D09D-4189-BFC0-CFFA1F1322A9}" name="Column2298" dataCellStyle="Normal 2"/>
    <tableColumn id="2314" xr3:uid="{02404F78-DF50-4647-9B2A-B53332587FED}" name="Column2299" dataCellStyle="Normal 2"/>
    <tableColumn id="2315" xr3:uid="{22ADF18F-4CE0-4BF7-B711-5F87924178D3}" name="Column2300" dataCellStyle="Normal 2"/>
    <tableColumn id="2316" xr3:uid="{E476FDB0-A1CF-4507-8FEA-5DFA0B926BF7}" name="Column2301" dataCellStyle="Normal 2"/>
    <tableColumn id="2317" xr3:uid="{638EACF2-E7A8-46E5-93D3-CFF1ACF5C7F6}" name="Column2302" dataCellStyle="Normal 2"/>
    <tableColumn id="2318" xr3:uid="{E0265473-5D66-422C-8373-BFFFF9DA10FF}" name="Column2303" dataCellStyle="Normal 2"/>
    <tableColumn id="2319" xr3:uid="{1DFF1F9E-D9E5-4DD2-BDA7-30E48695B9E7}" name="Column2304" dataCellStyle="Normal 2"/>
    <tableColumn id="2320" xr3:uid="{474680E7-8C80-41F5-8982-726B2CD835AC}" name="Column2305" dataCellStyle="Normal 2"/>
    <tableColumn id="2321" xr3:uid="{75769562-4454-4CE4-8618-7729B5D8DAD1}" name="Column2306" dataCellStyle="Normal 2"/>
    <tableColumn id="2322" xr3:uid="{4F3B015A-1116-4776-A39F-90713DF30355}" name="Column2307" dataCellStyle="Normal 2"/>
    <tableColumn id="2323" xr3:uid="{54231E27-DA3C-4AD4-95F5-7A2D848AF13D}" name="Column2308" dataCellStyle="Normal 2"/>
    <tableColumn id="2324" xr3:uid="{1B84605B-44DE-4919-AE62-2D29AB9C189D}" name="Column2309" dataCellStyle="Normal 2"/>
    <tableColumn id="2325" xr3:uid="{16697AD4-4210-4332-BF2A-105CDB9D5C32}" name="Column2310" dataCellStyle="Normal 2"/>
    <tableColumn id="2326" xr3:uid="{8C4264CE-C702-4A2A-A500-D77C4B3E72A9}" name="Column2311" dataCellStyle="Normal 2"/>
    <tableColumn id="2327" xr3:uid="{8C00A5AB-514B-4A76-8592-9E86403D626C}" name="Column2312" dataCellStyle="Normal 2"/>
    <tableColumn id="2328" xr3:uid="{07EB25C2-6171-46D9-BC08-EF9B5C900190}" name="Column2313" dataCellStyle="Normal 2"/>
    <tableColumn id="2329" xr3:uid="{A2C4FF3A-0FE0-49F4-AE7D-BA61652C674C}" name="Column2314" dataCellStyle="Normal 2"/>
    <tableColumn id="2330" xr3:uid="{6606523B-181C-46A1-9CC3-541D05DDD89C}" name="Column2315" dataCellStyle="Normal 2"/>
    <tableColumn id="2331" xr3:uid="{DB398FAD-6055-44F7-A0F3-FDD8FA1F1DE9}" name="Column2316" dataCellStyle="Normal 2"/>
    <tableColumn id="2332" xr3:uid="{7917BC56-83CE-4E60-9181-FEC92248E203}" name="Column2317" dataCellStyle="Normal 2"/>
    <tableColumn id="2333" xr3:uid="{3E5C84C8-0C5E-413D-9EC2-55605CACF928}" name="Column2318" dataCellStyle="Normal 2"/>
    <tableColumn id="2334" xr3:uid="{546A8F98-EA79-478D-88A4-24A54E7C07F7}" name="Column2319" dataCellStyle="Normal 2"/>
    <tableColumn id="2335" xr3:uid="{E6620135-D05A-4413-886F-576CBA5CA305}" name="Column2320" dataCellStyle="Normal 2"/>
    <tableColumn id="2336" xr3:uid="{DEC94F48-6B69-43B4-898A-A34ED872F702}" name="Column2321" dataCellStyle="Normal 2"/>
    <tableColumn id="2337" xr3:uid="{9A2C6B95-596D-4E0A-8C12-9BECB72D91D6}" name="Column2322" dataCellStyle="Normal 2"/>
    <tableColumn id="2338" xr3:uid="{8E5839C4-D427-48A7-AB11-B0598C5A9DCA}" name="Column2323" dataCellStyle="Normal 2"/>
    <tableColumn id="2339" xr3:uid="{10C485F6-D5CB-4A84-B698-D33A01A51857}" name="Column2324" dataCellStyle="Normal 2"/>
    <tableColumn id="2340" xr3:uid="{34F1DFB6-3050-4FCF-826E-A1929AD9C62B}" name="Column2325" dataCellStyle="Normal 2"/>
    <tableColumn id="2341" xr3:uid="{3645C80A-B284-489A-9BF8-3EAEC6E58E46}" name="Column2326" dataCellStyle="Normal 2"/>
    <tableColumn id="2342" xr3:uid="{467FC89D-3C8E-4474-83D4-29FD22BD455E}" name="Column2327" dataCellStyle="Normal 2"/>
    <tableColumn id="2343" xr3:uid="{410C3A73-1B8D-4BE8-B789-A1B27ADCB350}" name="Column2328" dataCellStyle="Normal 2"/>
    <tableColumn id="2344" xr3:uid="{BE08F706-7BF7-4C1A-B36F-557D699532EA}" name="Column2329" dataCellStyle="Normal 2"/>
    <tableColumn id="2345" xr3:uid="{36760FE2-1918-464C-B0B9-32E91DB1034B}" name="Column2330" dataCellStyle="Normal 2"/>
    <tableColumn id="2346" xr3:uid="{E269D1D7-3BD8-4F1C-8D84-C6281DCE4DF2}" name="Column2331" dataCellStyle="Normal 2"/>
    <tableColumn id="2347" xr3:uid="{80F34643-5C54-4F5D-B397-BBFE893E8D55}" name="Column2332" dataCellStyle="Normal 2"/>
    <tableColumn id="2348" xr3:uid="{FA1AAD38-E9C1-47F1-ACE0-28A8495C9644}" name="Column2333" dataCellStyle="Normal 2"/>
    <tableColumn id="2349" xr3:uid="{6C31A179-844E-4A44-8FA6-12D05C5ADB8A}" name="Column2334" dataCellStyle="Normal 2"/>
    <tableColumn id="2350" xr3:uid="{8A806D13-7A00-4770-BC39-4512706A3786}" name="Column2335" dataCellStyle="Normal 2"/>
    <tableColumn id="2351" xr3:uid="{8C347C0B-9D64-4398-B7F6-732836AE54A2}" name="Column2336" dataCellStyle="Normal 2"/>
    <tableColumn id="2352" xr3:uid="{512CE99C-9BF1-4D3B-8781-CF4E3AE28657}" name="Column2337" dataCellStyle="Normal 2"/>
    <tableColumn id="2353" xr3:uid="{3CFAA067-92ED-4E92-AC73-785AC1A3173A}" name="Column2338" dataCellStyle="Normal 2"/>
    <tableColumn id="2354" xr3:uid="{C63EE5D7-482A-4B5E-B4B2-2765737445F8}" name="Column2339" dataCellStyle="Normal 2"/>
    <tableColumn id="2355" xr3:uid="{3AEFA0E6-66FB-4994-80C4-E3E386FE06CA}" name="Column2340" dataCellStyle="Normal 2"/>
    <tableColumn id="2356" xr3:uid="{E12778CA-EF31-4C20-8161-6FE8E025D320}" name="Column2341" dataCellStyle="Normal 2"/>
    <tableColumn id="2357" xr3:uid="{9CE32D87-5960-4BC1-B9FF-5A4117BF799D}" name="Column2342" dataCellStyle="Normal 2"/>
    <tableColumn id="2358" xr3:uid="{D52A62BC-B350-440C-B75A-BCB311826FF4}" name="Column2343" dataCellStyle="Normal 2"/>
    <tableColumn id="2359" xr3:uid="{4C096AB7-8954-4F81-953C-E1B3950628B0}" name="Column2344" dataCellStyle="Normal 2"/>
    <tableColumn id="2360" xr3:uid="{3F905D46-24A9-4207-B8A3-3340EC79941D}" name="Column2345" dataCellStyle="Normal 2"/>
    <tableColumn id="2361" xr3:uid="{F390E4BA-2911-4902-B5CA-E79433891F14}" name="Column2346" dataCellStyle="Normal 2"/>
    <tableColumn id="2362" xr3:uid="{92C5957E-59B5-4F37-BA8B-536A923DA69E}" name="Column2347" dataCellStyle="Normal 2"/>
    <tableColumn id="2363" xr3:uid="{4074106A-38E2-44CB-B33A-E4481EEC3764}" name="Column2348" dataCellStyle="Normal 2"/>
    <tableColumn id="2364" xr3:uid="{087DE1DB-C147-4BF1-9600-0DA51D7DE887}" name="Column2349" dataCellStyle="Normal 2"/>
    <tableColumn id="2365" xr3:uid="{C213205A-8A1B-4E83-82DA-A74A39A8D0BE}" name="Column2350" dataCellStyle="Normal 2"/>
    <tableColumn id="2366" xr3:uid="{59F6785C-FE50-4DA6-B737-F38E46D1C229}" name="Column2351" dataCellStyle="Normal 2"/>
    <tableColumn id="2367" xr3:uid="{340CFA5A-F4C6-40C4-B55B-B273A588AD5E}" name="Column2352" dataCellStyle="Normal 2"/>
    <tableColumn id="2368" xr3:uid="{A14124BE-A509-40AC-9DB5-CB7250341982}" name="Column2353" dataCellStyle="Normal 2"/>
    <tableColumn id="2369" xr3:uid="{79589800-10FF-4EBA-94CE-4FE1A0D24BA6}" name="Column2354" dataCellStyle="Normal 2"/>
    <tableColumn id="2370" xr3:uid="{4CD8761E-1D42-4C18-84BA-2C5EBA7E226C}" name="Column2355" dataCellStyle="Normal 2"/>
    <tableColumn id="2371" xr3:uid="{D366136B-FC38-4CBA-B998-2E9456DE0DE4}" name="Column2356" dataCellStyle="Normal 2"/>
    <tableColumn id="2372" xr3:uid="{7480369C-512A-4789-82F5-96414CD64F12}" name="Column2357" dataCellStyle="Normal 2"/>
    <tableColumn id="2373" xr3:uid="{6E76EC2A-313D-4691-989C-F266635B64C6}" name="Column2358" dataCellStyle="Normal 2"/>
    <tableColumn id="2374" xr3:uid="{5E8A76C9-AAEA-405A-B0F2-91A416872D9A}" name="Column2359" dataCellStyle="Normal 2"/>
    <tableColumn id="2375" xr3:uid="{404924D9-AB1B-4513-A328-27121DD59182}" name="Column2360" dataCellStyle="Normal 2"/>
    <tableColumn id="2376" xr3:uid="{B16B1D4D-B99F-4C90-82B8-427D2768101B}" name="Column2361" dataCellStyle="Normal 2"/>
    <tableColumn id="2377" xr3:uid="{6585BCCE-6EDA-450A-811F-095AD7BF6225}" name="Column2362" dataCellStyle="Normal 2"/>
    <tableColumn id="2378" xr3:uid="{772F5A52-BFFE-4280-8432-4CAC1CB870F1}" name="Column2363" dataCellStyle="Normal 2"/>
    <tableColumn id="2379" xr3:uid="{B9B5869C-EB55-424C-9589-352030D66395}" name="Column2364" dataCellStyle="Normal 2"/>
    <tableColumn id="2380" xr3:uid="{F3F9FBF8-138D-48D1-A8DD-B3EDC63BFD3B}" name="Column2365" dataCellStyle="Normal 2"/>
    <tableColumn id="2381" xr3:uid="{A01477F8-0E86-4CAA-A923-5328523E1D01}" name="Column2366" dataCellStyle="Normal 2"/>
    <tableColumn id="2382" xr3:uid="{6268FAB8-8FEF-4EE1-B511-CDA9126DB547}" name="Column2367" dataCellStyle="Normal 2"/>
    <tableColumn id="2383" xr3:uid="{33ECFF88-0BDB-4F0B-901F-EB17C78A559F}" name="Column2368" dataCellStyle="Normal 2"/>
    <tableColumn id="2384" xr3:uid="{895C9AEC-9A7C-41B1-8C7B-E2F2C663442E}" name="Column2369" dataCellStyle="Normal 2"/>
    <tableColumn id="2385" xr3:uid="{61A9CA4E-85AF-47A8-B7BF-66362AE5DA69}" name="Column2370" dataCellStyle="Normal 2"/>
    <tableColumn id="2386" xr3:uid="{B05F9CA6-AFB0-466C-B6DA-260299B71A3D}" name="Column2371" dataCellStyle="Normal 2"/>
    <tableColumn id="2387" xr3:uid="{55512621-0413-4B51-9F48-EE1692E6D9B9}" name="Column2372" dataCellStyle="Normal 2"/>
    <tableColumn id="2388" xr3:uid="{CCD49333-5044-43A8-96BE-77B90DE2CF7F}" name="Column2373" dataCellStyle="Normal 2"/>
    <tableColumn id="2389" xr3:uid="{4857E881-B0F6-4BFD-ACFA-2396C6ECB5AB}" name="Column2374" dataCellStyle="Normal 2"/>
    <tableColumn id="2390" xr3:uid="{E2796669-BE9E-49C1-8632-810480594323}" name="Column2375" dataCellStyle="Normal 2"/>
    <tableColumn id="2391" xr3:uid="{A20B9E33-C907-4627-B465-9845E7FA990B}" name="Column2376" dataCellStyle="Normal 2"/>
    <tableColumn id="2392" xr3:uid="{64858180-2177-432B-B809-1A8F7C22D6E0}" name="Column2377" dataCellStyle="Normal 2"/>
    <tableColumn id="2393" xr3:uid="{C5C7628A-C3D2-4953-8A63-1BA9AEEC24C6}" name="Column2378" dataCellStyle="Normal 2"/>
    <tableColumn id="2394" xr3:uid="{118F87DF-58D1-4173-B036-4BE3DAA75014}" name="Column2379" dataCellStyle="Normal 2"/>
    <tableColumn id="2395" xr3:uid="{927387DA-00C6-461C-8CA0-CB588D72C68E}" name="Column2380" dataCellStyle="Normal 2"/>
    <tableColumn id="2396" xr3:uid="{3617AD17-BA13-41DF-918F-900B7E36FF13}" name="Column2381" dataCellStyle="Normal 2"/>
    <tableColumn id="2397" xr3:uid="{9AD435D1-4582-4978-8C84-A95C535FA36D}" name="Column2382" dataCellStyle="Normal 2"/>
    <tableColumn id="2398" xr3:uid="{F59C841C-6229-445D-B88F-0555E298C8F0}" name="Column2383" dataCellStyle="Normal 2"/>
    <tableColumn id="2399" xr3:uid="{E433CEBC-A882-4530-BDFD-7D5C912C80F0}" name="Column2384" dataCellStyle="Normal 2"/>
    <tableColumn id="2400" xr3:uid="{6949FD5D-B1EB-4C95-86FA-431AFB86F5E4}" name="Column2385" dataCellStyle="Normal 2"/>
    <tableColumn id="2401" xr3:uid="{78FF1507-24EE-486E-9DCF-1A3CFE8262DB}" name="Column2386" dataCellStyle="Normal 2"/>
    <tableColumn id="2402" xr3:uid="{3A02FE46-96E4-470C-A630-675E837EE3A3}" name="Column2387" dataCellStyle="Normal 2"/>
    <tableColumn id="2403" xr3:uid="{0418B897-453A-4E66-8205-36132A6BDB60}" name="Column2388" dataCellStyle="Normal 2"/>
    <tableColumn id="2404" xr3:uid="{852245E0-8AAF-4754-AE7A-70F7E00F6311}" name="Column2389" dataCellStyle="Normal 2"/>
    <tableColumn id="2405" xr3:uid="{C93A4A1C-4124-4D06-AB48-06AA5FD7F62D}" name="Column2390" dataCellStyle="Normal 2"/>
    <tableColumn id="2406" xr3:uid="{D64B02D5-A171-4BBC-8D58-B02932DAB0D5}" name="Column2391" dataCellStyle="Normal 2"/>
    <tableColumn id="2407" xr3:uid="{D0F3452C-56BC-4751-B3B1-128F73F040D4}" name="Column2392" dataCellStyle="Normal 2"/>
    <tableColumn id="2408" xr3:uid="{5F1FA4CB-C3B3-45B5-9EBC-54355E070DCC}" name="Column2393" dataCellStyle="Normal 2"/>
    <tableColumn id="2409" xr3:uid="{CE025315-E621-4530-899F-2DEDDDF7B19E}" name="Column2394" dataCellStyle="Normal 2"/>
    <tableColumn id="2410" xr3:uid="{48785734-448C-4B50-BFFE-F6B498D0AC29}" name="Column2395" dataCellStyle="Normal 2"/>
    <tableColumn id="2411" xr3:uid="{3E2EE712-DB8A-4D52-BCA4-EE5C90C4484E}" name="Column2396" dataCellStyle="Normal 2"/>
    <tableColumn id="2412" xr3:uid="{16796612-183C-4942-B58B-68CF1DBD089A}" name="Column2397" dataCellStyle="Normal 2"/>
    <tableColumn id="2413" xr3:uid="{48701EB2-535B-4165-81EB-03C4EDC1CAC1}" name="Column2398" dataCellStyle="Normal 2"/>
    <tableColumn id="2414" xr3:uid="{C66F4A2A-0B3D-4C21-AF49-C49E10651C3E}" name="Column2399" dataCellStyle="Normal 2"/>
    <tableColumn id="2415" xr3:uid="{003CCB04-E324-4DFC-84C0-3916B7849A86}" name="Column2400" dataCellStyle="Normal 2"/>
    <tableColumn id="2416" xr3:uid="{66C872F3-CF51-40D2-884E-E83DA7DA01A0}" name="Column2401" dataCellStyle="Normal 2"/>
    <tableColumn id="2417" xr3:uid="{64C326D2-E7A6-490A-9153-53163831EEEE}" name="Column2402" dataCellStyle="Normal 2"/>
    <tableColumn id="2418" xr3:uid="{5B936074-3A87-4837-BCE5-C5DB92B4C044}" name="Column2403" dataCellStyle="Normal 2"/>
    <tableColumn id="2419" xr3:uid="{509A5501-2A62-45A5-8855-89250C01136F}" name="Column2404" dataCellStyle="Normal 2"/>
    <tableColumn id="2420" xr3:uid="{0AE1DE4B-2561-4319-B5B5-6E7633926C61}" name="Column2405" dataCellStyle="Normal 2"/>
    <tableColumn id="2421" xr3:uid="{F5C4D990-A17F-4A95-B871-71D307735B2C}" name="Column2406" dataCellStyle="Normal 2"/>
    <tableColumn id="2422" xr3:uid="{F6354130-70D4-4551-8205-91E3D81C8829}" name="Column2407" dataCellStyle="Normal 2"/>
    <tableColumn id="2423" xr3:uid="{DFC8341D-F21C-4079-BD0B-24A6D018B01A}" name="Column2408" dataCellStyle="Normal 2"/>
    <tableColumn id="2424" xr3:uid="{F5C78690-61F9-4BCE-9C7A-558C2A7A1F8F}" name="Column2409" dataCellStyle="Normal 2"/>
    <tableColumn id="2425" xr3:uid="{48D209BB-A0B6-4204-B4DD-F45AD9F32C9D}" name="Column2410" dataCellStyle="Normal 2"/>
    <tableColumn id="2426" xr3:uid="{E9A25ABD-D3DE-4674-8FEB-002046A169F9}" name="Column2411" dataCellStyle="Normal 2"/>
    <tableColumn id="2427" xr3:uid="{9F43A97E-D5A1-49AE-A229-D7B7923F97FE}" name="Column2412" dataCellStyle="Normal 2"/>
    <tableColumn id="2428" xr3:uid="{EEA3AC6C-8BED-4131-AADB-6AB411203C59}" name="Column2413" dataCellStyle="Normal 2"/>
    <tableColumn id="2429" xr3:uid="{E58079BE-9592-4B2F-9473-90F54B7E0977}" name="Column2414" dataCellStyle="Normal 2"/>
    <tableColumn id="2430" xr3:uid="{6270877B-1319-4935-931F-9510EE937139}" name="Column2415" dataCellStyle="Normal 2"/>
    <tableColumn id="2431" xr3:uid="{C4F350B6-60BD-4BDA-AABC-32ACD21D9BA1}" name="Column2416" dataCellStyle="Normal 2"/>
    <tableColumn id="2432" xr3:uid="{F4665D11-3554-4CB8-AA9D-CE72CC175745}" name="Column2417" dataCellStyle="Normal 2"/>
    <tableColumn id="2433" xr3:uid="{2794B7E3-4BF4-483E-8F05-2366E9371628}" name="Column2418" dataCellStyle="Normal 2"/>
    <tableColumn id="2434" xr3:uid="{B74B3959-2093-4E46-AEAB-3DCBB439654D}" name="Column2419" dataCellStyle="Normal 2"/>
    <tableColumn id="2435" xr3:uid="{18FDCB48-A208-4A07-BDEA-38D5D96A43CB}" name="Column2420" dataCellStyle="Normal 2"/>
    <tableColumn id="2436" xr3:uid="{846922AF-B55F-429D-80B0-A8DBBFDA9FE7}" name="Column2421" dataCellStyle="Normal 2"/>
    <tableColumn id="2437" xr3:uid="{4163AC9D-782B-436E-B7CE-2713A3B95064}" name="Column2422" dataCellStyle="Normal 2"/>
    <tableColumn id="2438" xr3:uid="{B71648AC-F65A-4DAC-AFDA-9440D0EB5551}" name="Column2423" dataCellStyle="Normal 2"/>
    <tableColumn id="2439" xr3:uid="{6367AA37-15B6-40D9-936E-22171A5E1B50}" name="Column2424" dataCellStyle="Normal 2"/>
    <tableColumn id="2440" xr3:uid="{2A2F8AC4-EDC9-481E-8F37-2A8169A60D93}" name="Column2425" dataCellStyle="Normal 2"/>
    <tableColumn id="2441" xr3:uid="{03718B78-5336-49F8-BA90-7F7B127FE50C}" name="Column2426" dataCellStyle="Normal 2"/>
    <tableColumn id="2442" xr3:uid="{E0F35F5D-0608-495F-A4A5-A606BAF5A879}" name="Column2427" dataCellStyle="Normal 2"/>
    <tableColumn id="2443" xr3:uid="{61F75C69-F920-4796-9078-B5F084E53A22}" name="Column2428" dataCellStyle="Normal 2"/>
    <tableColumn id="2444" xr3:uid="{EAC8ECDE-C270-44C8-9AB1-4C4A16FEBEB2}" name="Column2429" dataCellStyle="Normal 2"/>
    <tableColumn id="2445" xr3:uid="{FC0F3C82-F3EB-4653-AB80-F16EB8383535}" name="Column2430" dataCellStyle="Normal 2"/>
    <tableColumn id="2446" xr3:uid="{E881C334-A80D-4980-AA16-7D5021DCF941}" name="Column2431" dataCellStyle="Normal 2"/>
    <tableColumn id="2447" xr3:uid="{83329EAA-F90C-4381-A8F6-71E676820446}" name="Column2432" dataCellStyle="Normal 2"/>
    <tableColumn id="2448" xr3:uid="{9F9D8F4F-41CC-437A-9CF8-5E24B3D76C80}" name="Column2433" dataCellStyle="Normal 2"/>
    <tableColumn id="2449" xr3:uid="{FC1F3CBF-9407-4142-BB31-AD3930CF889D}" name="Column2434" dataCellStyle="Normal 2"/>
    <tableColumn id="2450" xr3:uid="{CFF25266-EE34-492E-AC4E-3058D232CC6F}" name="Column2435" dataCellStyle="Normal 2"/>
    <tableColumn id="2451" xr3:uid="{2009327D-C538-4217-BDC8-2DBEA2DF7BCF}" name="Column2436" dataCellStyle="Normal 2"/>
    <tableColumn id="2452" xr3:uid="{174F6FC7-AA2A-4650-9487-75568BFAA94D}" name="Column2437" dataCellStyle="Normal 2"/>
    <tableColumn id="2453" xr3:uid="{FF1BB6DE-8C52-4FAB-A9EC-717015948AD9}" name="Column2438" dataCellStyle="Normal 2"/>
    <tableColumn id="2454" xr3:uid="{763B66D4-C151-4D8B-A876-8574B70814D3}" name="Column2439" dataCellStyle="Normal 2"/>
    <tableColumn id="2455" xr3:uid="{86980AAC-64C7-4033-B9E9-F9B7E57B12EE}" name="Column2440" dataCellStyle="Normal 2"/>
    <tableColumn id="2456" xr3:uid="{F0634877-AAEA-4914-87AD-1E0E7CCCA801}" name="Column2441" dataCellStyle="Normal 2"/>
    <tableColumn id="2457" xr3:uid="{02F5114C-D600-4C6A-9503-268F3E31B757}" name="Column2442" dataCellStyle="Normal 2"/>
    <tableColumn id="2458" xr3:uid="{235B0E86-7422-4DB8-A943-E0BBE4E16435}" name="Column2443" dataCellStyle="Normal 2"/>
    <tableColumn id="2459" xr3:uid="{A89044DE-8D5D-402D-A84C-669C0D7BF511}" name="Column2444" dataCellStyle="Normal 2"/>
    <tableColumn id="2460" xr3:uid="{5C7833A7-96F0-4F47-8122-27CB06151D18}" name="Column2445" dataCellStyle="Normal 2"/>
    <tableColumn id="2461" xr3:uid="{D9D51723-C541-479C-96E5-5341CCCDCDF3}" name="Column2446" dataCellStyle="Normal 2"/>
    <tableColumn id="2462" xr3:uid="{C166C528-E27F-48F3-9B0B-FF948DB41817}" name="Column2447" dataCellStyle="Normal 2"/>
    <tableColumn id="2463" xr3:uid="{F9CF6420-D4BC-46A3-9986-9450969D3599}" name="Column2448" dataCellStyle="Normal 2"/>
    <tableColumn id="2464" xr3:uid="{6F818258-DD03-4846-8191-B925A44A45B0}" name="Column2449" dataCellStyle="Normal 2"/>
    <tableColumn id="2465" xr3:uid="{F02C0ABF-5911-4DE7-ABDC-A85B5E10E89A}" name="Column2450" dataCellStyle="Normal 2"/>
    <tableColumn id="2466" xr3:uid="{DBE21CB6-8884-4ECD-98D1-D9F9EB479A61}" name="Column2451" dataCellStyle="Normal 2"/>
    <tableColumn id="2467" xr3:uid="{985D176A-C7DD-4AD0-A94E-31498188AC2E}" name="Column2452" dataCellStyle="Normal 2"/>
    <tableColumn id="2468" xr3:uid="{BC6F41E3-DB65-4671-B7C6-61E985632914}" name="Column2453" dataCellStyle="Normal 2"/>
    <tableColumn id="2469" xr3:uid="{4E3507F3-71F7-4FC1-BA36-8F0D5A65A067}" name="Column2454" dataCellStyle="Normal 2"/>
    <tableColumn id="2470" xr3:uid="{257F4778-DC2B-4129-B392-2D56F734B0D7}" name="Column2455" dataCellStyle="Normal 2"/>
    <tableColumn id="2471" xr3:uid="{306131E6-655B-476E-8063-BE0D097A80C1}" name="Column2456" dataCellStyle="Normal 2"/>
    <tableColumn id="2472" xr3:uid="{B68F63A6-4A5A-414F-8D65-1DA81D810E78}" name="Column2457" dataCellStyle="Normal 2"/>
    <tableColumn id="2473" xr3:uid="{B4A4E20F-88BC-4E04-909D-F2FCABE4EBD4}" name="Column2458" dataCellStyle="Normal 2"/>
    <tableColumn id="2474" xr3:uid="{C146CC14-B90B-4580-A439-694D71C0E7B0}" name="Column2459" dataCellStyle="Normal 2"/>
    <tableColumn id="2475" xr3:uid="{8D64EA03-A0D8-485A-8AD0-82975782076B}" name="Column2460" dataCellStyle="Normal 2"/>
    <tableColumn id="2476" xr3:uid="{3E73E581-4E33-4B50-A042-3B9DB0E04AB9}" name="Column2461" dataCellStyle="Normal 2"/>
    <tableColumn id="2477" xr3:uid="{75DBB137-2EAE-43A4-BCF2-9A6AB6298BFF}" name="Column2462" dataCellStyle="Normal 2"/>
    <tableColumn id="2478" xr3:uid="{2B43E24F-C2AF-4308-ADC5-63DFA4CBF4BC}" name="Column2463" dataCellStyle="Normal 2"/>
    <tableColumn id="2479" xr3:uid="{BEF15A04-41FC-4664-B7B9-757A716C314E}" name="Column2464" dataCellStyle="Normal 2"/>
    <tableColumn id="2480" xr3:uid="{3EACEFFE-83CB-4A95-AA5A-A80BB687F575}" name="Column2465" dataCellStyle="Normal 2"/>
    <tableColumn id="2481" xr3:uid="{64B3F506-7E11-4970-A158-FEB4F3451672}" name="Column2466" dataCellStyle="Normal 2"/>
    <tableColumn id="2482" xr3:uid="{92160B36-EF7F-4B75-A098-15AEC681FB9D}" name="Column2467" dataCellStyle="Normal 2"/>
    <tableColumn id="2483" xr3:uid="{89B652AE-456A-4CFE-8FC0-68F7F9A215F0}" name="Column2468" dataCellStyle="Normal 2"/>
    <tableColumn id="2484" xr3:uid="{80E45CAD-1061-405E-ACAE-2F6DE7E3CE22}" name="Column2469" dataCellStyle="Normal 2"/>
    <tableColumn id="2485" xr3:uid="{0F77FA0C-6F32-40DF-9261-7D3B141C8140}" name="Column2470" dataCellStyle="Normal 2"/>
    <tableColumn id="2486" xr3:uid="{21071807-3527-4CEB-913E-DAB4499266E9}" name="Column2471" dataCellStyle="Normal 2"/>
    <tableColumn id="2487" xr3:uid="{9B170326-E5EC-407E-B8C5-8FAC60892CC7}" name="Column2472" dataCellStyle="Normal 2"/>
    <tableColumn id="2488" xr3:uid="{C28EE886-1F1E-4B16-AEA0-6B2D6EB7C6E9}" name="Column2473" dataCellStyle="Normal 2"/>
    <tableColumn id="2489" xr3:uid="{401A43D7-FF10-4185-8E4D-FC97C65FFA7C}" name="Column2474" dataCellStyle="Normal 2"/>
    <tableColumn id="2490" xr3:uid="{ABC74E2F-8E20-4EE5-A65A-46790C06C38D}" name="Column2475" dataCellStyle="Normal 2"/>
    <tableColumn id="2491" xr3:uid="{8A880388-1D5C-425B-960B-48AC27FA3417}" name="Column2476" dataCellStyle="Normal 2"/>
    <tableColumn id="2492" xr3:uid="{5C05C22C-793E-471B-A1B6-6BED0FC67610}" name="Column2477" dataCellStyle="Normal 2"/>
    <tableColumn id="2493" xr3:uid="{07EA7B13-FF34-4FD1-9A58-403230AC44BD}" name="Column2478" dataCellStyle="Normal 2"/>
    <tableColumn id="2494" xr3:uid="{348EC0C4-316F-4397-8C05-5A5CE2B09EAC}" name="Column2479" dataCellStyle="Normal 2"/>
    <tableColumn id="2495" xr3:uid="{C374AFB7-E974-4927-9BFD-2FE610457FDB}" name="Column2480" dataCellStyle="Normal 2"/>
    <tableColumn id="2496" xr3:uid="{D3C1407B-4DEC-4796-98C5-E63006CCB148}" name="Column2481" dataCellStyle="Normal 2"/>
    <tableColumn id="2497" xr3:uid="{99C7A4DF-F65A-4A4A-9B88-3E79BC9B1E88}" name="Column2482" dataCellStyle="Normal 2"/>
    <tableColumn id="2498" xr3:uid="{AD3EDFB8-72A2-4730-B8DE-A7A31115F51A}" name="Column2483" dataCellStyle="Normal 2"/>
    <tableColumn id="2499" xr3:uid="{A907D04F-FFEE-4CFE-958F-4422C7B412E4}" name="Column2484" dataCellStyle="Normal 2"/>
    <tableColumn id="2500" xr3:uid="{6786410F-A957-4E20-8998-4D669D8EBD92}" name="Column2485" dataCellStyle="Normal 2"/>
    <tableColumn id="2501" xr3:uid="{863A66C6-4253-4A6F-982D-57136F749E55}" name="Column2486" dataCellStyle="Normal 2"/>
    <tableColumn id="2502" xr3:uid="{4333F4AD-46EF-4C14-9E70-7C699D8DB67B}" name="Column2487" dataCellStyle="Normal 2"/>
    <tableColumn id="2503" xr3:uid="{26966BC0-E867-429A-BC7D-32C0A73E34AF}" name="Column2488" dataCellStyle="Normal 2"/>
    <tableColumn id="2504" xr3:uid="{62B8BD3A-7B13-41B9-92DF-B8CF62D864B1}" name="Column2489" dataCellStyle="Normal 2"/>
    <tableColumn id="2505" xr3:uid="{FA420CE5-606A-477C-8D60-BAC0B3B10372}" name="Column2490" dataCellStyle="Normal 2"/>
    <tableColumn id="2506" xr3:uid="{D6115E66-FFE6-4180-BDA9-68DAE32B3DC4}" name="Column2491" dataCellStyle="Normal 2"/>
    <tableColumn id="2507" xr3:uid="{AFFAC13E-F1E9-48AE-B5A7-7C155E9A7250}" name="Column2492" dataCellStyle="Normal 2"/>
    <tableColumn id="2508" xr3:uid="{CC15A55E-8F74-4134-8BB5-DE71FCDD8D77}" name="Column2493" dataCellStyle="Normal 2"/>
    <tableColumn id="2509" xr3:uid="{7845832C-C093-45D3-819C-D469CE62730E}" name="Column2494" dataCellStyle="Normal 2"/>
    <tableColumn id="2510" xr3:uid="{56099149-BDDA-4473-8126-DE540694A306}" name="Column2495" dataCellStyle="Normal 2"/>
    <tableColumn id="2511" xr3:uid="{EC89784F-7A86-4880-AA89-F0916FB2C67A}" name="Column2496" dataCellStyle="Normal 2"/>
    <tableColumn id="2512" xr3:uid="{F1062386-65E7-4C03-94BB-978CA5E1C9B4}" name="Column2497" dataCellStyle="Normal 2"/>
    <tableColumn id="2513" xr3:uid="{2ECF47A6-42CC-4AF3-88C3-BB6DD7738C05}" name="Column2498" dataCellStyle="Normal 2"/>
    <tableColumn id="2514" xr3:uid="{5B6CFB99-C97A-4601-BF43-8E518E3DA298}" name="Column2499" dataCellStyle="Normal 2"/>
    <tableColumn id="2515" xr3:uid="{2D70C1A6-FCF9-4A07-81DE-12244A897AA7}" name="Column2500" dataCellStyle="Normal 2"/>
    <tableColumn id="2516" xr3:uid="{C33F21E9-C2D4-4F84-A9D2-C610FAFE5550}" name="Column2501" dataCellStyle="Normal 2"/>
    <tableColumn id="2517" xr3:uid="{A6083BC6-8A6B-463E-8D09-8A9112235C4F}" name="Column2502" dataCellStyle="Normal 2"/>
    <tableColumn id="2518" xr3:uid="{A460C360-1408-4E00-A73E-823D4CAFBA36}" name="Column2503" dataCellStyle="Normal 2"/>
    <tableColumn id="2519" xr3:uid="{40367F1A-334A-4689-BDDC-3C6D8038FDCB}" name="Column2504" dataCellStyle="Normal 2"/>
    <tableColumn id="2520" xr3:uid="{C3F814B5-AA26-4AC9-96B5-7006D87ADCD0}" name="Column2505" dataCellStyle="Normal 2"/>
    <tableColumn id="2521" xr3:uid="{C967514D-2EC1-4A75-B736-1C013D8CEBC3}" name="Column2506" dataCellStyle="Normal 2"/>
    <tableColumn id="2522" xr3:uid="{24D8382E-2E96-47F9-B8F6-903A4F7D8933}" name="Column2507" dataCellStyle="Normal 2"/>
    <tableColumn id="2523" xr3:uid="{69EA6D97-A7A2-4D36-9D87-CD24DE916201}" name="Column2508" dataCellStyle="Normal 2"/>
    <tableColumn id="2524" xr3:uid="{4948F9A8-715B-445A-9290-2C3293D252F7}" name="Column2509" dataCellStyle="Normal 2"/>
    <tableColumn id="2525" xr3:uid="{D9957041-CA5F-4D5F-BCED-011A79D5F296}" name="Column2510" dataCellStyle="Normal 2"/>
    <tableColumn id="2526" xr3:uid="{BCAEDF05-949E-41B9-B6DD-5DB617E331EB}" name="Column2511" dataCellStyle="Normal 2"/>
    <tableColumn id="2527" xr3:uid="{94470153-6111-4390-95A6-2F206F47B1E7}" name="Column2512" dataCellStyle="Normal 2"/>
    <tableColumn id="2528" xr3:uid="{D20C983C-4705-480B-9D9A-16841ADB3047}" name="Column2513" dataCellStyle="Normal 2"/>
    <tableColumn id="2529" xr3:uid="{F48F179E-6388-4CCF-8E56-EEF358B3047E}" name="Column2514" dataCellStyle="Normal 2"/>
    <tableColumn id="2530" xr3:uid="{4E46F581-06B8-43E8-BCEB-CD42BAC8F4E5}" name="Column2515" dataCellStyle="Normal 2"/>
    <tableColumn id="2531" xr3:uid="{B168D59A-095D-4AB0-AFCB-D228A786402E}" name="Column2516" dataCellStyle="Normal 2"/>
    <tableColumn id="2532" xr3:uid="{053255AF-4294-4475-992C-2949E58A62A1}" name="Column2517" dataCellStyle="Normal 2"/>
    <tableColumn id="2533" xr3:uid="{7094319F-51DC-4B46-83D8-328E6C9660DB}" name="Column2518" dataCellStyle="Normal 2"/>
    <tableColumn id="2534" xr3:uid="{4D29EF9C-012C-47D2-A4C4-3AA6D87AE459}" name="Column2519" dataCellStyle="Normal 2"/>
    <tableColumn id="2535" xr3:uid="{4B9A4171-56A8-47A8-B081-59BF12AEA6E0}" name="Column2520" dataCellStyle="Normal 2"/>
    <tableColumn id="2536" xr3:uid="{909C3AB2-7B5B-4492-B220-25AAE237BA66}" name="Column2521" dataCellStyle="Normal 2"/>
    <tableColumn id="2537" xr3:uid="{02A2A8B1-5CE3-4553-9748-9DF173F3E1B7}" name="Column2522" dataCellStyle="Normal 2"/>
    <tableColumn id="2538" xr3:uid="{9560E89A-68A6-4793-84C7-A75485F9F88E}" name="Column2523" dataCellStyle="Normal 2"/>
    <tableColumn id="2539" xr3:uid="{BBE6AA10-9C27-4B21-95C4-331EFC651421}" name="Column2524" dataCellStyle="Normal 2"/>
    <tableColumn id="2540" xr3:uid="{DD26826D-910C-4185-8D3D-B667C8A771EE}" name="Column2525" dataCellStyle="Normal 2"/>
    <tableColumn id="2541" xr3:uid="{2B9A1CD9-89B7-4AFF-BE73-DA44DAA39A51}" name="Column2526" dataCellStyle="Normal 2"/>
    <tableColumn id="2542" xr3:uid="{D3E22F52-027A-4F6A-95C4-039D9959D31A}" name="Column2527" dataCellStyle="Normal 2"/>
    <tableColumn id="2543" xr3:uid="{3FDE7C63-3C9E-4D34-8E38-CC8617A2561C}" name="Column2528" dataCellStyle="Normal 2"/>
    <tableColumn id="2544" xr3:uid="{604195B9-106C-4C47-B43F-3342BF8F0BB3}" name="Column2529" dataCellStyle="Normal 2"/>
    <tableColumn id="2545" xr3:uid="{B05E9C93-9A1A-45B1-9457-7911FB775460}" name="Column2530" dataCellStyle="Normal 2"/>
    <tableColumn id="2546" xr3:uid="{AAD29F5F-2ED2-4CFE-9EB5-4C428AC464FC}" name="Column2531" dataCellStyle="Normal 2"/>
    <tableColumn id="2547" xr3:uid="{91E3D9FD-59C0-4E36-B440-1F2C6573F53C}" name="Column2532" dataCellStyle="Normal 2"/>
    <tableColumn id="2548" xr3:uid="{A40D09D7-6CD5-4B72-9AC6-0F2FB7B316B6}" name="Column2533" dataCellStyle="Normal 2"/>
    <tableColumn id="2549" xr3:uid="{CFB2474A-374F-4730-97FB-6F3EE5656861}" name="Column2534" dataCellStyle="Normal 2"/>
    <tableColumn id="2550" xr3:uid="{8271537E-BB7E-4D49-A8FB-B2A59F9A08BC}" name="Column2535" dataCellStyle="Normal 2"/>
    <tableColumn id="2551" xr3:uid="{F180D1CB-0ECE-476E-A8D7-1F633EC32FA3}" name="Column2536" dataCellStyle="Normal 2"/>
    <tableColumn id="2552" xr3:uid="{13A19440-73FF-4FE7-86AD-90799DCFFF49}" name="Column2537" dataCellStyle="Normal 2"/>
    <tableColumn id="2553" xr3:uid="{C3EE522C-4490-434B-9F5F-80F447E6501B}" name="Column2538" dataCellStyle="Normal 2"/>
    <tableColumn id="2554" xr3:uid="{FC79B558-F674-42BC-BFDA-29812412E91A}" name="Column2539" dataCellStyle="Normal 2"/>
    <tableColumn id="2555" xr3:uid="{430F0AB7-C62E-47E8-ABF5-21E2E579F45B}" name="Column2540" dataCellStyle="Normal 2"/>
    <tableColumn id="2556" xr3:uid="{2343CE3A-12CC-43D9-8922-6C8C866A8752}" name="Column2541" dataCellStyle="Normal 2"/>
    <tableColumn id="2557" xr3:uid="{5C59A343-53BB-4FB4-B2A6-D6FDB6845F95}" name="Column2542" dataCellStyle="Normal 2"/>
    <tableColumn id="2558" xr3:uid="{5E074141-19F1-4423-8F2D-11FDD1C859A0}" name="Column2543" dataCellStyle="Normal 2"/>
    <tableColumn id="2559" xr3:uid="{0D40057F-82D5-45FB-9981-D7AF1E8B98F4}" name="Column2544" dataCellStyle="Normal 2"/>
    <tableColumn id="2560" xr3:uid="{08A5658F-ACA9-4F98-80B0-C1B6AC235F74}" name="Column2545" dataCellStyle="Normal 2"/>
    <tableColumn id="2561" xr3:uid="{104E305E-3C15-423B-97ED-020FC9575CC2}" name="Column2546" dataCellStyle="Normal 2"/>
    <tableColumn id="2562" xr3:uid="{A29E056F-2126-4914-8685-B1BE40B4D543}" name="Column2547" dataCellStyle="Normal 2"/>
    <tableColumn id="2563" xr3:uid="{C8652E2C-6071-4EBD-BDFB-40A6599DAC93}" name="Column2548" dataCellStyle="Normal 2"/>
    <tableColumn id="2564" xr3:uid="{551A2876-43AA-4C32-8B32-F60F910F9DDB}" name="Column2549" dataCellStyle="Normal 2"/>
    <tableColumn id="2565" xr3:uid="{9D1196AD-31BB-4BE8-B4CF-25C759BE9A74}" name="Column2550" dataCellStyle="Normal 2"/>
    <tableColumn id="2566" xr3:uid="{2B495D2D-DA1A-4C0F-8358-C1921112E023}" name="Column2551" dataCellStyle="Normal 2"/>
    <tableColumn id="2567" xr3:uid="{D4914922-6EED-4BE4-B4F8-2587ACAAD4DC}" name="Column2552" dataCellStyle="Normal 2"/>
    <tableColumn id="2568" xr3:uid="{DC512259-3CA1-4EB4-9E3B-CCA968DC35B9}" name="Column2553" dataCellStyle="Normal 2"/>
    <tableColumn id="2569" xr3:uid="{1F6FA1E6-42BD-4E68-9AB6-1C8D30A0020A}" name="Column2554" dataCellStyle="Normal 2"/>
    <tableColumn id="2570" xr3:uid="{B3120C8D-7047-49B9-A52E-01917DE9160D}" name="Column2555" dataCellStyle="Normal 2"/>
    <tableColumn id="2571" xr3:uid="{613E16A0-1814-4DF1-BD7F-4BD981456108}" name="Column2556" dataCellStyle="Normal 2"/>
    <tableColumn id="2572" xr3:uid="{1BFA4D5D-5D08-4F04-9984-C349FAB378F1}" name="Column2557" dataCellStyle="Normal 2"/>
    <tableColumn id="2573" xr3:uid="{090B7A13-6209-4792-BE56-7DCB2292C01B}" name="Column2558" dataCellStyle="Normal 2"/>
    <tableColumn id="2574" xr3:uid="{76CEBE85-8197-4361-B93C-F58488942633}" name="Column2559" dataCellStyle="Normal 2"/>
    <tableColumn id="2575" xr3:uid="{E05379AE-2A16-4912-AF9B-7466714EB139}" name="Column2560" dataCellStyle="Normal 2"/>
    <tableColumn id="2576" xr3:uid="{7A41432B-F422-4D08-8405-4EDEF3B9DE1D}" name="Column2561" dataCellStyle="Normal 2"/>
    <tableColumn id="2577" xr3:uid="{3C9B0B4D-13D0-44F2-BD14-EF6D8A7F5372}" name="Column2562" dataCellStyle="Normal 2"/>
    <tableColumn id="2578" xr3:uid="{DEE583E5-020F-4220-88E3-6989AE9EFE32}" name="Column2563" dataCellStyle="Normal 2"/>
    <tableColumn id="2579" xr3:uid="{D744E14B-2CAF-49A1-A73E-38764F591DB7}" name="Column2564" dataCellStyle="Normal 2"/>
    <tableColumn id="2580" xr3:uid="{70BB0ED3-7D05-446B-9D04-71352DED2A01}" name="Column2565" dataCellStyle="Normal 2"/>
    <tableColumn id="2581" xr3:uid="{D40283A5-BC5A-4079-9E73-AB4936DDB29E}" name="Column2566" dataCellStyle="Normal 2"/>
    <tableColumn id="2582" xr3:uid="{456BB350-A443-46E7-8B3C-1C1F95355099}" name="Column2567" dataCellStyle="Normal 2"/>
    <tableColumn id="2583" xr3:uid="{F068E9DB-0F7D-4714-A6FB-56AC9CF67210}" name="Column2568" dataCellStyle="Normal 2"/>
    <tableColumn id="2584" xr3:uid="{4C31D2FE-14D4-424A-BE7A-79325525D4A8}" name="Column2569" dataCellStyle="Normal 2"/>
    <tableColumn id="2585" xr3:uid="{9D40F97F-DA1A-458F-B554-ADC52EA53F05}" name="Column2570" dataCellStyle="Normal 2"/>
    <tableColumn id="2586" xr3:uid="{8E896DD5-8225-4F94-B534-47E14B60164F}" name="Column2571" dataCellStyle="Normal 2"/>
    <tableColumn id="2587" xr3:uid="{F41A2B60-8B6E-46C7-8A54-8CFFF7A239AF}" name="Column2572" dataCellStyle="Normal 2"/>
    <tableColumn id="2588" xr3:uid="{98729A0D-D8DD-45A3-8AF3-5215FB6FEF1B}" name="Column2573" dataCellStyle="Normal 2"/>
    <tableColumn id="2589" xr3:uid="{D358254D-1E56-440E-BD17-BFB4B6616A1A}" name="Column2574" dataCellStyle="Normal 2"/>
    <tableColumn id="2590" xr3:uid="{F97D7B53-05E7-4FC1-99DA-E04A0241B38A}" name="Column2575" dataCellStyle="Normal 2"/>
    <tableColumn id="2591" xr3:uid="{95DE8044-1FE5-4F6B-BF82-B398F92F51F8}" name="Column2576" dataCellStyle="Normal 2"/>
    <tableColumn id="2592" xr3:uid="{D8D5FF6D-9155-42D7-A1D9-DB4A0DB8359F}" name="Column2577" dataCellStyle="Normal 2"/>
    <tableColumn id="2593" xr3:uid="{9AF47376-FE46-492D-AC28-DA800AC6A370}" name="Column2578" dataCellStyle="Normal 2"/>
    <tableColumn id="2594" xr3:uid="{81FB0D2A-2C9A-4F2C-97B4-CD7AFF7BFDFF}" name="Column2579" dataCellStyle="Normal 2"/>
    <tableColumn id="2595" xr3:uid="{A1C0C8A7-31D3-4A3C-8F81-13CD28E9386A}" name="Column2580" dataCellStyle="Normal 2"/>
    <tableColumn id="2596" xr3:uid="{E4FA409E-5D63-4F6E-861A-77FEBBF56D43}" name="Column2581" dataCellStyle="Normal 2"/>
    <tableColumn id="2597" xr3:uid="{31135AB6-15AB-4836-A5BB-AC94F20C9B1F}" name="Column2582" dataCellStyle="Normal 2"/>
    <tableColumn id="2598" xr3:uid="{FA1945F3-4FE5-4822-A3D7-B8ACAAA8C58B}" name="Column2583" dataCellStyle="Normal 2"/>
    <tableColumn id="2599" xr3:uid="{896B2FD7-51B9-4D45-A568-8DA27E48DFD8}" name="Column2584" dataCellStyle="Normal 2"/>
    <tableColumn id="2600" xr3:uid="{DB1C4756-1A16-43D2-8247-0F7207DF8CEE}" name="Column2585" dataCellStyle="Normal 2"/>
    <tableColumn id="2601" xr3:uid="{40B87C72-EC0F-4402-80AB-3E45F176A3B4}" name="Column2586" dataCellStyle="Normal 2"/>
    <tableColumn id="2602" xr3:uid="{99BB7FA1-3D80-4341-91CF-25D2BB4AE2D3}" name="Column2587" dataCellStyle="Normal 2"/>
    <tableColumn id="2603" xr3:uid="{1AD01E34-27B9-40C4-9663-B48BD749375B}" name="Column2588" dataCellStyle="Normal 2"/>
    <tableColumn id="2604" xr3:uid="{A6D1ABF5-30CA-4D01-8ED1-638BDD3DAB46}" name="Column2589" dataCellStyle="Normal 2"/>
    <tableColumn id="2605" xr3:uid="{C797FF49-78B7-4C5A-A3A6-926DE416CE76}" name="Column2590" dataCellStyle="Normal 2"/>
    <tableColumn id="2606" xr3:uid="{52B177EC-7C14-4797-867D-FD691D84F194}" name="Column2591" dataCellStyle="Normal 2"/>
    <tableColumn id="2607" xr3:uid="{4D70B7FA-A387-4600-96FA-4FC7DE65374A}" name="Column2592" dataCellStyle="Normal 2"/>
    <tableColumn id="2608" xr3:uid="{294DFE24-962F-4849-B17C-5C33A92FF5D6}" name="Column2593" dataCellStyle="Normal 2"/>
    <tableColumn id="2609" xr3:uid="{73512C91-8007-4271-8166-E24F16B44069}" name="Column2594" dataCellStyle="Normal 2"/>
    <tableColumn id="2610" xr3:uid="{DEB0CE51-E378-4F59-AC65-BC0543E19436}" name="Column2595" dataCellStyle="Normal 2"/>
    <tableColumn id="2611" xr3:uid="{B3CBE2B8-886B-4926-934A-EFBCD8EEBD40}" name="Column2596" dataCellStyle="Normal 2"/>
    <tableColumn id="2612" xr3:uid="{E9840A48-0622-47AD-BA25-8B5F74E5F99C}" name="Column2597" dataCellStyle="Normal 2"/>
    <tableColumn id="2613" xr3:uid="{1314DFFE-D18B-4E7B-BABA-54B443B62956}" name="Column2598" dataCellStyle="Normal 2"/>
    <tableColumn id="2614" xr3:uid="{0DB50585-B8A1-4998-87EC-0A8ED6261858}" name="Column2599" dataCellStyle="Normal 2"/>
    <tableColumn id="2615" xr3:uid="{5FF1C130-AB94-4F6D-B1A1-DBCB5769B15F}" name="Column2600" dataCellStyle="Normal 2"/>
    <tableColumn id="2616" xr3:uid="{9D242E5F-D6AA-4E80-A132-9DAFDB6A92EF}" name="Column2601" dataCellStyle="Normal 2"/>
    <tableColumn id="2617" xr3:uid="{A7AFBF48-0655-4E83-BC32-D5B6411DD3C6}" name="Column2602" dataCellStyle="Normal 2"/>
    <tableColumn id="2618" xr3:uid="{591957F8-B14E-4A8E-90CB-2A7DE34EA8CC}" name="Column2603" dataCellStyle="Normal 2"/>
    <tableColumn id="2619" xr3:uid="{D98F9E8C-B628-4C51-817A-A9EEE00AE2CD}" name="Column2604" dataCellStyle="Normal 2"/>
    <tableColumn id="2620" xr3:uid="{A5965F04-0E75-4375-A28F-7BE6FC6996F4}" name="Column2605" dataCellStyle="Normal 2"/>
    <tableColumn id="2621" xr3:uid="{0259BC01-EFAB-4252-A089-A42E7171C099}" name="Column2606" dataCellStyle="Normal 2"/>
    <tableColumn id="2622" xr3:uid="{90E46EBA-24C1-4C35-AAFF-B04EACA29CD3}" name="Column2607" dataCellStyle="Normal 2"/>
    <tableColumn id="2623" xr3:uid="{5A1CA79B-2FCC-4C0A-9814-BE7E279D84F6}" name="Column2608" dataCellStyle="Normal 2"/>
    <tableColumn id="2624" xr3:uid="{368CD069-7F86-40A1-9651-2CC099703C1D}" name="Column2609" dataCellStyle="Normal 2"/>
    <tableColumn id="2625" xr3:uid="{3CEE8B99-971D-4295-8FC1-30ACC3A64D10}" name="Column2610" dataCellStyle="Normal 2"/>
    <tableColumn id="2626" xr3:uid="{A6057878-7808-4054-A992-03C59383303B}" name="Column2611" dataCellStyle="Normal 2"/>
    <tableColumn id="2627" xr3:uid="{5CEFF228-E10B-4C21-A596-3B03585AE942}" name="Column2612" dataCellStyle="Normal 2"/>
    <tableColumn id="2628" xr3:uid="{20C02F2B-572C-4D5D-A20E-D1FC375F2D9F}" name="Column2613" dataCellStyle="Normal 2"/>
    <tableColumn id="2629" xr3:uid="{D19F1B4E-4CFC-4FAB-BE7D-88D31E830311}" name="Column2614" dataCellStyle="Normal 2"/>
    <tableColumn id="2630" xr3:uid="{A81B16CC-6494-461B-833C-AF9ADEB7B16F}" name="Column2615" dataCellStyle="Normal 2"/>
    <tableColumn id="2631" xr3:uid="{B726AD16-F81F-41A5-B0E7-CA61027E23CF}" name="Column2616" dataCellStyle="Normal 2"/>
    <tableColumn id="2632" xr3:uid="{6F205138-AA25-46FB-8216-B74DE88D6046}" name="Column2617" dataCellStyle="Normal 2"/>
    <tableColumn id="2633" xr3:uid="{366856C0-3E1F-4C57-8BB6-AFC388B2625E}" name="Column2618" dataCellStyle="Normal 2"/>
    <tableColumn id="2634" xr3:uid="{3162709F-22BB-4FAE-924C-8FE2FD95CC4D}" name="Column2619" dataCellStyle="Normal 2"/>
    <tableColumn id="2635" xr3:uid="{E93D1E4B-0C33-467B-A226-7041278DC44C}" name="Column2620" dataCellStyle="Normal 2"/>
    <tableColumn id="2636" xr3:uid="{F7A5B334-8B6A-4947-A49E-0FF17BFB84CD}" name="Column2621" dataCellStyle="Normal 2"/>
    <tableColumn id="2637" xr3:uid="{72DC4C48-4410-4A48-B1C7-BFA8B04182CB}" name="Column2622" dataCellStyle="Normal 2"/>
    <tableColumn id="2638" xr3:uid="{383ADE7F-5BA8-4204-BA1A-1B28D571BB70}" name="Column2623" dataCellStyle="Normal 2"/>
    <tableColumn id="2639" xr3:uid="{9098E419-03D8-45FB-BABC-8A4FB93671EC}" name="Column2624" dataCellStyle="Normal 2"/>
    <tableColumn id="2640" xr3:uid="{CE621353-48C5-4257-A265-44A2BA73C7D8}" name="Column2625" dataCellStyle="Normal 2"/>
    <tableColumn id="2641" xr3:uid="{DE070A20-2FE7-44CE-A123-9AD3F947045A}" name="Column2626" dataCellStyle="Normal 2"/>
    <tableColumn id="2642" xr3:uid="{C37232F2-23C9-46AD-815C-8CE67BF5F746}" name="Column2627" dataCellStyle="Normal 2"/>
    <tableColumn id="2643" xr3:uid="{BCA0A687-D107-4185-87DE-6919148D3FD5}" name="Column2628" dataCellStyle="Normal 2"/>
    <tableColumn id="2644" xr3:uid="{9A8F4375-19C4-4191-AB08-01F04CACE4B3}" name="Column2629" dataCellStyle="Normal 2"/>
    <tableColumn id="2645" xr3:uid="{AEFD2B02-1EFA-43AD-BCD7-324BD86E3830}" name="Column2630" dataCellStyle="Normal 2"/>
    <tableColumn id="2646" xr3:uid="{FF580AFF-C312-457E-A643-E1373D53E2F2}" name="Column2631" dataCellStyle="Normal 2"/>
    <tableColumn id="2647" xr3:uid="{9F354C68-647B-4BEA-A7F7-066B154DD437}" name="Column2632" dataCellStyle="Normal 2"/>
    <tableColumn id="2648" xr3:uid="{BD1B9741-9A10-453B-9736-DB9ED667857C}" name="Column2633" dataCellStyle="Normal 2"/>
    <tableColumn id="2649" xr3:uid="{4E3C4E86-0D9F-49F6-88A5-A9FE317FACD2}" name="Column2634" dataCellStyle="Normal 2"/>
    <tableColumn id="2650" xr3:uid="{4FF9BC3F-4365-43ED-8089-896AF9E10B3B}" name="Column2635" dataCellStyle="Normal 2"/>
    <tableColumn id="2651" xr3:uid="{BB44B976-783A-409B-99E5-BF59C2155980}" name="Column2636" dataCellStyle="Normal 2"/>
    <tableColumn id="2652" xr3:uid="{A0036CDF-60E7-4D3B-9540-3544D83923DB}" name="Column2637" dataCellStyle="Normal 2"/>
    <tableColumn id="2653" xr3:uid="{04DB60AE-EE71-4F17-83BA-8E4613F5C773}" name="Column2638" dataCellStyle="Normal 2"/>
    <tableColumn id="2654" xr3:uid="{398D0266-AED5-432F-A8A6-76F7D743C634}" name="Column2639" dataCellStyle="Normal 2"/>
    <tableColumn id="2655" xr3:uid="{675AD77D-8969-4C26-83B5-22F3DEFEFF03}" name="Column2640" dataCellStyle="Normal 2"/>
    <tableColumn id="2656" xr3:uid="{00786F58-513C-42C9-BBD0-328681B714BF}" name="Column2641" dataCellStyle="Normal 2"/>
    <tableColumn id="2657" xr3:uid="{664E3F2D-CBE4-4563-B045-DAC319F57B6E}" name="Column2642" dataCellStyle="Normal 2"/>
    <tableColumn id="2658" xr3:uid="{1FEAC061-DDA0-4F3B-9356-F87A3EF92232}" name="Column2643" dataCellStyle="Normal 2"/>
    <tableColumn id="2659" xr3:uid="{BFE603B4-D778-466F-A24A-AB33291D751A}" name="Column2644" dataCellStyle="Normal 2"/>
    <tableColumn id="2660" xr3:uid="{AFFBEA14-1AF4-4F9C-A14C-0590BF67F894}" name="Column2645" dataCellStyle="Normal 2"/>
    <tableColumn id="2661" xr3:uid="{EB6F02E8-09F1-4EDE-846A-24775EF9E410}" name="Column2646" dataCellStyle="Normal 2"/>
    <tableColumn id="2662" xr3:uid="{AAE6A529-AB58-45B9-BE21-17247D0063AF}" name="Column2647" dataCellStyle="Normal 2"/>
    <tableColumn id="2663" xr3:uid="{F98D54C4-4F82-4AD2-ADDE-D3FFD4C08FF1}" name="Column2648" dataCellStyle="Normal 2"/>
    <tableColumn id="2664" xr3:uid="{2594C54E-47A5-4F3F-BB66-18618AC0C331}" name="Column2649" dataCellStyle="Normal 2"/>
    <tableColumn id="2665" xr3:uid="{9889AFFA-CF73-47A7-AAE6-8F6A3B4557C8}" name="Column2650" dataCellStyle="Normal 2"/>
    <tableColumn id="2666" xr3:uid="{C1502903-6D32-4C7A-B35E-A2AA4C1055BB}" name="Column2651" dataCellStyle="Normal 2"/>
    <tableColumn id="2667" xr3:uid="{11A17195-B56A-44DC-AFAF-955518398AAF}" name="Column2652" dataCellStyle="Normal 2"/>
    <tableColumn id="2668" xr3:uid="{8EA7FA69-5B4A-4ECD-9B6E-9C7FE03B5878}" name="Column2653" dataCellStyle="Normal 2"/>
    <tableColumn id="2669" xr3:uid="{A9A4FA87-7443-454B-8D18-91C44125FCCD}" name="Column2654" dataCellStyle="Normal 2"/>
    <tableColumn id="2670" xr3:uid="{054305A5-8FF1-4AC6-BE88-1A087B010119}" name="Column2655" dataCellStyle="Normal 2"/>
    <tableColumn id="2671" xr3:uid="{2B5A4A86-270B-40C5-8687-F3B4B5BD619E}" name="Column2656" dataCellStyle="Normal 2"/>
    <tableColumn id="2672" xr3:uid="{DE5A3168-2014-40E9-A1A0-10B83A889361}" name="Column2657" dataCellStyle="Normal 2"/>
    <tableColumn id="2673" xr3:uid="{BF954893-CEFF-4F9C-A59C-14D21B18FF09}" name="Column2658" dataCellStyle="Normal 2"/>
    <tableColumn id="2674" xr3:uid="{94F3630B-0875-4A71-BCE1-21E6DD32911E}" name="Column2659" dataCellStyle="Normal 2"/>
    <tableColumn id="2675" xr3:uid="{98F7AE25-EF66-45DD-9E25-53FAB4FEC4AF}" name="Column2660" dataCellStyle="Normal 2"/>
    <tableColumn id="2676" xr3:uid="{74D49F2E-CCA1-469F-9AB7-1F03CF4021DC}" name="Column2661" dataCellStyle="Normal 2"/>
    <tableColumn id="2677" xr3:uid="{3C2DC410-5E97-4A47-B3A7-B12AFCF9EE08}" name="Column2662" dataCellStyle="Normal 2"/>
    <tableColumn id="2678" xr3:uid="{71592FB4-18FF-4B1C-B7B2-47AD47644A98}" name="Column2663" dataCellStyle="Normal 2"/>
    <tableColumn id="2679" xr3:uid="{A49A118F-EB47-4E92-AA90-C698B3691F16}" name="Column2664" dataCellStyle="Normal 2"/>
    <tableColumn id="2680" xr3:uid="{02E4BE4E-25F9-42D4-AC4A-9DD49160CAB4}" name="Column2665" dataCellStyle="Normal 2"/>
    <tableColumn id="2681" xr3:uid="{FBEB7683-9CD6-4E6F-B1B7-6CB53D25F02F}" name="Column2666" dataCellStyle="Normal 2"/>
    <tableColumn id="2682" xr3:uid="{EF023796-9976-4627-B6D1-7ABE6F3CB4BF}" name="Column2667" dataCellStyle="Normal 2"/>
    <tableColumn id="2683" xr3:uid="{5E8D9A95-3B05-4A62-9247-EEA6A9952374}" name="Column2668" dataCellStyle="Normal 2"/>
    <tableColumn id="2684" xr3:uid="{7C44EF07-5A2D-4D47-A97D-8A6D0FE5BE88}" name="Column2669" dataCellStyle="Normal 2"/>
    <tableColumn id="2685" xr3:uid="{FC5796F2-7E65-4701-8832-9C33AA5FC098}" name="Column2670" dataCellStyle="Normal 2"/>
    <tableColumn id="2686" xr3:uid="{D82DFAF6-48E5-4D13-B32C-FE2DDD7C3C6D}" name="Column2671" dataCellStyle="Normal 2"/>
    <tableColumn id="2687" xr3:uid="{92970638-6EF7-44FD-8C0D-763E77A732BD}" name="Column2672" dataCellStyle="Normal 2"/>
    <tableColumn id="2688" xr3:uid="{1E8A66C1-F5CD-4E65-8804-03B98FA1D38F}" name="Column2673" dataCellStyle="Normal 2"/>
    <tableColumn id="2689" xr3:uid="{F4E5F751-1CEE-4487-B7BC-1FF8442C2AAF}" name="Column2674" dataCellStyle="Normal 2"/>
    <tableColumn id="2690" xr3:uid="{90DFA29E-E13D-4479-A230-E33B60B4C3CF}" name="Column2675" dataCellStyle="Normal 2"/>
    <tableColumn id="2691" xr3:uid="{34D469D3-FA53-49DB-A903-B65D479F953A}" name="Column2676" dataCellStyle="Normal 2"/>
    <tableColumn id="2692" xr3:uid="{DE0B61F8-FB8C-4892-9B9D-733B13C96B74}" name="Column2677" dataCellStyle="Normal 2"/>
    <tableColumn id="2693" xr3:uid="{10B979F1-237E-456E-A599-889A2AD5F8CB}" name="Column2678" dataCellStyle="Normal 2"/>
    <tableColumn id="2694" xr3:uid="{C66574FD-D213-4017-9F10-465F366A2299}" name="Column2679" dataCellStyle="Normal 2"/>
    <tableColumn id="2695" xr3:uid="{76A1761D-A0D5-4299-AC57-6DAFE61BC08C}" name="Column2680" dataCellStyle="Normal 2"/>
    <tableColumn id="2696" xr3:uid="{6C61B07A-6C5A-44BA-8744-033A12ECF149}" name="Column2681" dataCellStyle="Normal 2"/>
    <tableColumn id="2697" xr3:uid="{181B5CEE-848B-401C-9CF9-6C4D273CB15A}" name="Column2682" dataCellStyle="Normal 2"/>
    <tableColumn id="2698" xr3:uid="{B4CDB481-9EE1-4D52-8755-FD2AA551781C}" name="Column2683" dataCellStyle="Normal 2"/>
    <tableColumn id="2699" xr3:uid="{97565DB2-495A-4A32-BC75-AC738636ED0F}" name="Column2684" dataCellStyle="Normal 2"/>
    <tableColumn id="2700" xr3:uid="{27B08F09-EB5D-4EC7-9662-57584123DD78}" name="Column2685" dataCellStyle="Normal 2"/>
    <tableColumn id="2701" xr3:uid="{44C3ABBB-FB9D-4488-AD21-8E06756A4291}" name="Column2686" dataCellStyle="Normal 2"/>
    <tableColumn id="2702" xr3:uid="{5ABCDBB5-7159-46B7-963F-0FFDB17F26A4}" name="Column2687" dataCellStyle="Normal 2"/>
    <tableColumn id="2703" xr3:uid="{36562AF9-232A-4584-A2EA-D721BF22DD2B}" name="Column2688" dataCellStyle="Normal 2"/>
    <tableColumn id="2704" xr3:uid="{DF3822E6-3135-4E3C-9ACE-800CD7948371}" name="Column2689" dataCellStyle="Normal 2"/>
    <tableColumn id="2705" xr3:uid="{B117D662-AF53-4A6E-AFFC-4286106629BF}" name="Column2690" dataCellStyle="Normal 2"/>
    <tableColumn id="2706" xr3:uid="{70E79B52-FA5A-4358-B54A-50AF16CAF5A9}" name="Column2691" dataCellStyle="Normal 2"/>
    <tableColumn id="2707" xr3:uid="{A6FDFC3B-9F60-41B0-90BB-7A20EC091777}" name="Column2692" dataCellStyle="Normal 2"/>
    <tableColumn id="2708" xr3:uid="{202830DC-99DB-4DBA-9EDC-B1E33BEC8ED9}" name="Column2693" dataCellStyle="Normal 2"/>
    <tableColumn id="2709" xr3:uid="{023F4872-D57C-4053-98DA-62849564F9A0}" name="Column2694" dataCellStyle="Normal 2"/>
    <tableColumn id="2710" xr3:uid="{0AB5A849-3023-47E3-9400-C776F155A6C8}" name="Column2695" dataCellStyle="Normal 2"/>
    <tableColumn id="2711" xr3:uid="{3785D899-EDF7-40A6-88B7-9161E126D742}" name="Column2696" dataCellStyle="Normal 2"/>
    <tableColumn id="2712" xr3:uid="{A50E4104-38FE-4E74-9B5C-627896326F24}" name="Column2697" dataCellStyle="Normal 2"/>
    <tableColumn id="2713" xr3:uid="{5697C335-A0E5-4D87-B219-AE0E4DE3A75A}" name="Column2698" dataCellStyle="Normal 2"/>
    <tableColumn id="2714" xr3:uid="{D5066434-50B3-42BF-A377-CD6EF6F6993F}" name="Column2699" dataCellStyle="Normal 2"/>
    <tableColumn id="2715" xr3:uid="{C37AB185-275A-4023-8DD4-8B6214DD6712}" name="Column2700" dataCellStyle="Normal 2"/>
    <tableColumn id="2716" xr3:uid="{ACD2F190-D5F6-4F94-B6DF-CFBE75B373D6}" name="Column2701" dataCellStyle="Normal 2"/>
    <tableColumn id="2717" xr3:uid="{831C86F6-CC88-4C1E-8714-C4295CB96C8C}" name="Column2702" dataCellStyle="Normal 2"/>
    <tableColumn id="2718" xr3:uid="{9EE1541D-762C-41B2-88C9-4AC3E1BCE1F8}" name="Column2703" dataCellStyle="Normal 2"/>
    <tableColumn id="2719" xr3:uid="{54A901D8-6836-446A-AC7B-E1D78C128995}" name="Column2704" dataCellStyle="Normal 2"/>
    <tableColumn id="2720" xr3:uid="{A0FD99CC-6111-4A8D-8C06-EC84A54EED97}" name="Column2705" dataCellStyle="Normal 2"/>
    <tableColumn id="2721" xr3:uid="{DFAA6DE4-59A2-44EF-83DD-12F98F4C9C3C}" name="Column2706" dataCellStyle="Normal 2"/>
    <tableColumn id="2722" xr3:uid="{FC898B9A-1ABE-468E-980A-43858EDD3C41}" name="Column2707" dataCellStyle="Normal 2"/>
    <tableColumn id="2723" xr3:uid="{9AA72943-2EE9-4ECF-96F3-C3140A727B6F}" name="Column2708" dataCellStyle="Normal 2"/>
    <tableColumn id="2724" xr3:uid="{0DE97BDF-4D24-4B50-B336-576790F7E7C5}" name="Column2709" dataCellStyle="Normal 2"/>
    <tableColumn id="2725" xr3:uid="{F088CCEA-2441-43B4-A202-B26ABEAF03E6}" name="Column2710" dataCellStyle="Normal 2"/>
    <tableColumn id="2726" xr3:uid="{C19E98CD-2C06-466F-9A91-4E6733F19F34}" name="Column2711" dataCellStyle="Normal 2"/>
    <tableColumn id="2727" xr3:uid="{EBC1A647-7481-4CC7-ADCE-01FDC59EF82A}" name="Column2712" dataCellStyle="Normal 2"/>
    <tableColumn id="2728" xr3:uid="{5017A9E0-9C08-4AD3-A642-EE0B58464436}" name="Column2713" dataCellStyle="Normal 2"/>
    <tableColumn id="2729" xr3:uid="{90876F52-3F98-4EFD-A495-96F20FBCACF6}" name="Column2714" dataCellStyle="Normal 2"/>
    <tableColumn id="2730" xr3:uid="{92414BCE-9EBD-48E0-AA5C-FDDAA9211A06}" name="Column2715" dataCellStyle="Normal 2"/>
    <tableColumn id="2731" xr3:uid="{BD60D15C-CE37-4274-9873-A146DC5D22F7}" name="Column2716" dataCellStyle="Normal 2"/>
    <tableColumn id="2732" xr3:uid="{0951A952-C854-4F27-B6EB-82C1CAD1F66E}" name="Column2717" dataCellStyle="Normal 2"/>
    <tableColumn id="2733" xr3:uid="{45725846-AE73-428D-BEE4-B5A89A4A4DDF}" name="Column2718" dataCellStyle="Normal 2"/>
    <tableColumn id="2734" xr3:uid="{0A2BDA61-EC8F-4F39-8B84-982FC0A6CCE0}" name="Column2719" dataCellStyle="Normal 2"/>
    <tableColumn id="2735" xr3:uid="{DD8A7A99-33F6-46A4-A5EE-592F6B18B21D}" name="Column2720" dataCellStyle="Normal 2"/>
    <tableColumn id="2736" xr3:uid="{2D9273A4-F70D-4A80-8571-E442A80D163F}" name="Column2721" dataCellStyle="Normal 2"/>
    <tableColumn id="2737" xr3:uid="{309FDE59-17CC-42FE-B39E-1E802860F62E}" name="Column2722" dataCellStyle="Normal 2"/>
    <tableColumn id="2738" xr3:uid="{2806DEE9-5021-47CE-AA6A-549591721B73}" name="Column2723" dataCellStyle="Normal 2"/>
    <tableColumn id="2739" xr3:uid="{73666810-F824-49B5-8EF1-63D1D07C0285}" name="Column2724" dataCellStyle="Normal 2"/>
    <tableColumn id="2740" xr3:uid="{FCF8AEF4-7E60-4208-B1B7-7DC60DA18350}" name="Column2725" dataCellStyle="Normal 2"/>
    <tableColumn id="2741" xr3:uid="{6DAA86C9-4077-484C-98CD-6B068402E0E7}" name="Column2726" dataCellStyle="Normal 2"/>
    <tableColumn id="2742" xr3:uid="{C7AED891-FF88-49B6-AD94-23658C2AE6A9}" name="Column2727" dataCellStyle="Normal 2"/>
    <tableColumn id="2743" xr3:uid="{5181D058-ECFD-4A01-9195-017C7670CD13}" name="Column2728" dataCellStyle="Normal 2"/>
    <tableColumn id="2744" xr3:uid="{C4614E6B-4034-48C2-9F94-A1E3C1BD28A1}" name="Column2729" dataCellStyle="Normal 2"/>
    <tableColumn id="2745" xr3:uid="{313FB405-1C3A-4823-8B09-B07155EE4EFA}" name="Column2730" dataCellStyle="Normal 2"/>
    <tableColumn id="2746" xr3:uid="{03D3BB27-7958-4243-ABEF-0434F4BC4B02}" name="Column2731" dataCellStyle="Normal 2"/>
    <tableColumn id="2747" xr3:uid="{00D69360-422A-464B-8FD3-50FEF6AA592D}" name="Column2732" dataCellStyle="Normal 2"/>
    <tableColumn id="2748" xr3:uid="{14BB4144-18A0-4894-8D76-7CBE8EE1B495}" name="Column2733" dataCellStyle="Normal 2"/>
    <tableColumn id="2749" xr3:uid="{115F0E59-0788-46AF-9F84-F797A5D9BC01}" name="Column2734" dataCellStyle="Normal 2"/>
    <tableColumn id="2750" xr3:uid="{0C0DFDD1-99DC-4BCC-8493-4CBA0C20F5E1}" name="Column2735" dataCellStyle="Normal 2"/>
    <tableColumn id="2751" xr3:uid="{A02AEBE1-804A-43DE-87CA-A50DFBD8DA9C}" name="Column2736" dataCellStyle="Normal 2"/>
    <tableColumn id="2752" xr3:uid="{5A255C58-D9B0-4713-9008-730193578C1C}" name="Column2737" dataCellStyle="Normal 2"/>
    <tableColumn id="2753" xr3:uid="{4A0B124B-72AA-4417-AA3E-3B7959E304B1}" name="Column2738" dataCellStyle="Normal 2"/>
    <tableColumn id="2754" xr3:uid="{4B13C92C-C10B-47FB-A35D-8F03E6685140}" name="Column2739" dataCellStyle="Normal 2"/>
    <tableColumn id="2755" xr3:uid="{29B24CD7-5AAF-4396-9EE8-439AA66D8DAD}" name="Column2740" dataCellStyle="Normal 2"/>
    <tableColumn id="2756" xr3:uid="{3919028A-BC69-4A55-AEF9-292221C7201F}" name="Column2741" dataCellStyle="Normal 2"/>
    <tableColumn id="2757" xr3:uid="{6B88FE17-8558-423B-83FE-370C2C374E73}" name="Column2742" dataCellStyle="Normal 2"/>
    <tableColumn id="2758" xr3:uid="{BE137624-F9CE-473E-BCB9-C527EF958083}" name="Column2743" dataCellStyle="Normal 2"/>
    <tableColumn id="2759" xr3:uid="{F40F99B5-D8D7-42C8-A303-9D9DFF92EE4B}" name="Column2744" dataCellStyle="Normal 2"/>
    <tableColumn id="2760" xr3:uid="{2A13CB29-AF70-4E72-A89A-52862BC4629B}" name="Column2745" dataCellStyle="Normal 2"/>
    <tableColumn id="2761" xr3:uid="{DD7327CB-7936-44AD-872F-B7F18E7CCF1E}" name="Column2746" dataCellStyle="Normal 2"/>
    <tableColumn id="2762" xr3:uid="{427B8D1E-3B1B-458B-B20A-13D2C254DD9C}" name="Column2747" dataCellStyle="Normal 2"/>
    <tableColumn id="2763" xr3:uid="{0045AAE4-0F51-463E-9670-9CAD35A092C2}" name="Column2748" dataCellStyle="Normal 2"/>
    <tableColumn id="2764" xr3:uid="{C773A30B-BB0F-444A-A667-E9011B5B608B}" name="Column2749" dataCellStyle="Normal 2"/>
    <tableColumn id="2765" xr3:uid="{61B7489A-51CF-41BD-9A06-D8EBB8290543}" name="Column2750" dataCellStyle="Normal 2"/>
    <tableColumn id="2766" xr3:uid="{6FB87B02-61B6-43DD-A857-07014EB1C099}" name="Column2751" dataCellStyle="Normal 2"/>
    <tableColumn id="2767" xr3:uid="{F0ABDBE9-80D4-47D8-90BE-87B0F5AB9DCC}" name="Column2752" dataCellStyle="Normal 2"/>
    <tableColumn id="2768" xr3:uid="{066525B7-A0BC-44FC-B84B-AE211C0196DE}" name="Column2753" dataCellStyle="Normal 2"/>
    <tableColumn id="2769" xr3:uid="{3E79F670-4D1F-4581-B0DD-F10BCBE30E15}" name="Column2754" dataCellStyle="Normal 2"/>
    <tableColumn id="2770" xr3:uid="{311332F0-4E70-4703-A3BB-5CF531B9894A}" name="Column2755" dataCellStyle="Normal 2"/>
    <tableColumn id="2771" xr3:uid="{2AEEC919-7844-4A64-8E47-78B2135E3ED5}" name="Column2756" dataCellStyle="Normal 2"/>
    <tableColumn id="2772" xr3:uid="{510119EF-E898-4AEB-8DFA-5C9C9B265F1C}" name="Column2757" dataCellStyle="Normal 2"/>
    <tableColumn id="2773" xr3:uid="{47A3A3EC-1CC3-4D0C-A3B1-A3377AD7C044}" name="Column2758" dataCellStyle="Normal 2"/>
    <tableColumn id="2774" xr3:uid="{0316BCE3-F239-4A2F-AD0C-95FFE58C576B}" name="Column2759" dataCellStyle="Normal 2"/>
    <tableColumn id="2775" xr3:uid="{2B3257DA-28AD-4B64-A065-F16302891664}" name="Column2760" dataCellStyle="Normal 2"/>
    <tableColumn id="2776" xr3:uid="{60057C37-38B9-4812-AAEF-4A4B98DE3984}" name="Column2761" dataCellStyle="Normal 2"/>
    <tableColumn id="2777" xr3:uid="{DA60F122-9A1B-4CEC-9249-70E1C15731F4}" name="Column2762" dataCellStyle="Normal 2"/>
    <tableColumn id="2778" xr3:uid="{2868B291-8082-4988-907A-7BE6D7B19EC4}" name="Column2763" dataCellStyle="Normal 2"/>
    <tableColumn id="2779" xr3:uid="{80581E52-2591-4698-9B49-AE42945FB6C6}" name="Column2764" dataCellStyle="Normal 2"/>
    <tableColumn id="2780" xr3:uid="{29131618-5CD6-49E3-94DD-4155C965BE96}" name="Column2765" dataCellStyle="Normal 2"/>
    <tableColumn id="2781" xr3:uid="{02AF10A9-3D1B-4607-971B-582AD06B5C1F}" name="Column2766" dataCellStyle="Normal 2"/>
    <tableColumn id="2782" xr3:uid="{5A6C086D-8C75-4C57-BDAD-F38F7FE871E4}" name="Column2767" dataCellStyle="Normal 2"/>
    <tableColumn id="2783" xr3:uid="{661C9DF4-E275-426B-95EF-C104118E12EF}" name="Column2768" dataCellStyle="Normal 2"/>
    <tableColumn id="2784" xr3:uid="{2E80E1A2-4262-4D46-B72F-ED22D3E08ABF}" name="Column2769" dataCellStyle="Normal 2"/>
    <tableColumn id="2785" xr3:uid="{320B2BD8-6913-4628-AA6E-B039FCB8707F}" name="Column2770" dataCellStyle="Normal 2"/>
    <tableColumn id="2786" xr3:uid="{A50B9A1B-4F3A-44A1-A139-94069D1A4F43}" name="Column2771" dataCellStyle="Normal 2"/>
    <tableColumn id="2787" xr3:uid="{5A7FBBA4-C593-4DC1-8A13-0895C9F06D2C}" name="Column2772" dataCellStyle="Normal 2"/>
    <tableColumn id="2788" xr3:uid="{5DA4F597-96E4-4EA5-AA87-85EE118C928E}" name="Column2773" dataCellStyle="Normal 2"/>
    <tableColumn id="2789" xr3:uid="{1633C614-AF7D-4984-B92A-C89DAEFBB738}" name="Column2774" dataCellStyle="Normal 2"/>
    <tableColumn id="2790" xr3:uid="{7F4A0C83-1A4F-441B-8B01-B5D363D7A819}" name="Column2775" dataCellStyle="Normal 2"/>
    <tableColumn id="2791" xr3:uid="{7E7A0531-9900-4759-9D08-CCD558FE16A2}" name="Column2776" dataCellStyle="Normal 2"/>
    <tableColumn id="2792" xr3:uid="{FE75140C-45EF-4E8D-AF9E-CCAA42F2B32D}" name="Column2777" dataCellStyle="Normal 2"/>
    <tableColumn id="2793" xr3:uid="{C1972715-FC16-423A-BF95-493EB117BBB9}" name="Column2778" dataCellStyle="Normal 2"/>
    <tableColumn id="2794" xr3:uid="{1B005EB7-915E-4648-8B03-138B95E8BD4D}" name="Column2779" dataCellStyle="Normal 2"/>
    <tableColumn id="2795" xr3:uid="{9B7AB36E-24F3-4373-B604-B309E7217545}" name="Column2780" dataCellStyle="Normal 2"/>
    <tableColumn id="2796" xr3:uid="{6FEAD2BC-B214-487D-B5EA-AF33CBAB2947}" name="Column2781" dataCellStyle="Normal 2"/>
    <tableColumn id="2797" xr3:uid="{DA82114F-3820-4212-9712-4ECF65FD35AE}" name="Column2782" dataCellStyle="Normal 2"/>
    <tableColumn id="2798" xr3:uid="{90EB29F3-08F0-4458-B63A-90E777B0F0D4}" name="Column2783" dataCellStyle="Normal 2"/>
    <tableColumn id="2799" xr3:uid="{239CDA0F-9F49-453C-8FF4-B38A22981A24}" name="Column2784" dataCellStyle="Normal 2"/>
    <tableColumn id="2800" xr3:uid="{B184782F-58D6-4272-8329-73A8F36DC548}" name="Column2785" dataCellStyle="Normal 2"/>
    <tableColumn id="2801" xr3:uid="{FAD55787-438F-4A6F-ABAD-8D6AD2F2E58E}" name="Column2786" dataCellStyle="Normal 2"/>
    <tableColumn id="2802" xr3:uid="{8BABDEB7-2FAB-4863-8138-2BDAB3114F83}" name="Column2787" dataCellStyle="Normal 2"/>
    <tableColumn id="2803" xr3:uid="{06E08638-46FA-448B-9A81-A8CC4D94BFE0}" name="Column2788" dataCellStyle="Normal 2"/>
    <tableColumn id="2804" xr3:uid="{3CB28B5D-5440-4F6B-AA65-6F79752B152E}" name="Column2789" dataCellStyle="Normal 2"/>
    <tableColumn id="2805" xr3:uid="{A56D2AB3-B20F-400A-B08B-1B04DE709C5A}" name="Column2790" dataCellStyle="Normal 2"/>
    <tableColumn id="2806" xr3:uid="{1B756EEF-E053-494B-B2CD-AC3FC763F8D5}" name="Column2791" dataCellStyle="Normal 2"/>
    <tableColumn id="2807" xr3:uid="{D277B9FE-B7F6-435E-AE69-A5ECA408A4D7}" name="Column2792" dataCellStyle="Normal 2"/>
    <tableColumn id="2808" xr3:uid="{6910DFBD-904F-4F88-B1F8-E67ED5221C93}" name="Column2793" dataCellStyle="Normal 2"/>
    <tableColumn id="2809" xr3:uid="{48500C6C-0089-4118-96F0-AA3F0C02E3D6}" name="Column2794" dataCellStyle="Normal 2"/>
    <tableColumn id="2810" xr3:uid="{7F0D66AB-36FA-43BA-BF3E-047127FBD696}" name="Column2795" dataCellStyle="Normal 2"/>
    <tableColumn id="2811" xr3:uid="{A8FD7E1D-4F30-4480-BC92-0C74F79D410E}" name="Column2796" dataCellStyle="Normal 2"/>
    <tableColumn id="2812" xr3:uid="{E4AF68BE-4E31-497B-A801-CE35B6FAA1FB}" name="Column2797" dataCellStyle="Normal 2"/>
    <tableColumn id="2813" xr3:uid="{1C49BE99-5A6C-4873-AC51-4B18D2CA39A6}" name="Column2798" dataCellStyle="Normal 2"/>
    <tableColumn id="2814" xr3:uid="{C6A78345-50B2-4294-ACEA-5C913C840010}" name="Column2799" dataCellStyle="Normal 2"/>
    <tableColumn id="2815" xr3:uid="{B865A443-6954-468A-B52C-8CBF81F86621}" name="Column2800" dataCellStyle="Normal 2"/>
    <tableColumn id="2816" xr3:uid="{F4A83AC0-7337-4F22-8844-DEA442745710}" name="Column2801" dataCellStyle="Normal 2"/>
    <tableColumn id="2817" xr3:uid="{44E89DF6-DEAF-4264-9F91-7492EE21A4FE}" name="Column2802" dataCellStyle="Normal 2"/>
    <tableColumn id="2818" xr3:uid="{0A2D4182-CDA1-4C80-B057-6B3AF5EF3122}" name="Column2803" dataCellStyle="Normal 2"/>
    <tableColumn id="2819" xr3:uid="{FBF14433-080A-49A4-AB25-174148DD16D2}" name="Column2804" dataCellStyle="Normal 2"/>
    <tableColumn id="2820" xr3:uid="{11076B92-71C4-4F12-BCD8-59B16D4E1D2A}" name="Column2805" dataCellStyle="Normal 2"/>
    <tableColumn id="2821" xr3:uid="{526B0306-4288-4573-8694-A6CC34FBDC35}" name="Column2806" dataCellStyle="Normal 2"/>
    <tableColumn id="2822" xr3:uid="{8B033524-4AAB-4AA2-8BFB-1037702A3CF5}" name="Column2807" dataCellStyle="Normal 2"/>
    <tableColumn id="2823" xr3:uid="{757B2AA2-7FD1-4D18-A715-3A8205585564}" name="Column2808" dataCellStyle="Normal 2"/>
    <tableColumn id="2824" xr3:uid="{A2E97713-39F3-48B5-AA33-62F2CFF781BB}" name="Column2809" dataCellStyle="Normal 2"/>
    <tableColumn id="2825" xr3:uid="{EA0610B1-55E9-4577-B193-766961C2F31E}" name="Column2810" dataCellStyle="Normal 2"/>
    <tableColumn id="2826" xr3:uid="{E5F8F482-1F32-4213-AE3E-50C39C85BEDD}" name="Column2811" dataCellStyle="Normal 2"/>
    <tableColumn id="2827" xr3:uid="{832F15F7-FA0F-4702-A6EC-C558661DF910}" name="Column2812" dataCellStyle="Normal 2"/>
    <tableColumn id="2828" xr3:uid="{21B68B1D-30A3-4654-A71A-2E78FE3EE7F3}" name="Column2813" dataCellStyle="Normal 2"/>
    <tableColumn id="2829" xr3:uid="{8CBDF5CB-C905-43FA-ABCB-41A3122804C6}" name="Column2814" dataCellStyle="Normal 2"/>
    <tableColumn id="2830" xr3:uid="{096A3137-4B0E-49F9-94F3-1AD088933988}" name="Column2815" dataCellStyle="Normal 2"/>
    <tableColumn id="2831" xr3:uid="{99051258-A4BF-43AF-8785-4D103C639F41}" name="Column2816" dataCellStyle="Normal 2"/>
    <tableColumn id="2832" xr3:uid="{24782450-D621-4FE5-AAAD-AC2C45973FDB}" name="Column2817" dataCellStyle="Normal 2"/>
    <tableColumn id="2833" xr3:uid="{BC349EC8-A6EB-4707-9147-A2B66F61DFEB}" name="Column2818" dataCellStyle="Normal 2"/>
    <tableColumn id="2834" xr3:uid="{5D416B3D-B475-4BDD-8B73-5F7D44A096E6}" name="Column2819" dataCellStyle="Normal 2"/>
    <tableColumn id="2835" xr3:uid="{F08D2454-D884-4A88-8116-398E19354200}" name="Column2820" dataCellStyle="Normal 2"/>
    <tableColumn id="2836" xr3:uid="{501DEE32-4420-4F55-9362-D310C0E6D54E}" name="Column2821" dataCellStyle="Normal 2"/>
    <tableColumn id="2837" xr3:uid="{95540725-DA18-4348-A15A-D2B0BD6EBCDF}" name="Column2822" dataCellStyle="Normal 2"/>
    <tableColumn id="2838" xr3:uid="{3C6EA125-7D03-4901-AB92-7DBD30CCF30D}" name="Column2823" dataCellStyle="Normal 2"/>
    <tableColumn id="2839" xr3:uid="{4B5880A3-B5F4-451A-801D-3AB9177B6B99}" name="Column2824" dataCellStyle="Normal 2"/>
    <tableColumn id="2840" xr3:uid="{8A8D1095-8ED0-4D74-98F1-B84FB651FD40}" name="Column2825" dataCellStyle="Normal 2"/>
    <tableColumn id="2841" xr3:uid="{E64B593B-BEDB-42E0-83DF-0B987BF603C9}" name="Column2826" dataCellStyle="Normal 2"/>
    <tableColumn id="2842" xr3:uid="{49F3B0D5-1FC6-464C-880D-3B79CCF19E18}" name="Column2827" dataCellStyle="Normal 2"/>
    <tableColumn id="2843" xr3:uid="{A18832DF-D9ED-414F-9E46-5BA0DCA4F1A3}" name="Column2828" dataCellStyle="Normal 2"/>
    <tableColumn id="2844" xr3:uid="{A634A6AA-E0D6-49F7-A319-4B5B2805C775}" name="Column2829" dataCellStyle="Normal 2"/>
    <tableColumn id="2845" xr3:uid="{D58F322A-CB92-45A2-AEB0-85ACDBF5A519}" name="Column2830" dataCellStyle="Normal 2"/>
    <tableColumn id="2846" xr3:uid="{9C96D29F-0F80-4A25-BABE-83882DD3F6FA}" name="Column2831" dataCellStyle="Normal 2"/>
    <tableColumn id="2847" xr3:uid="{B96FCC07-9CCC-4779-8D7C-718A45C7B565}" name="Column2832" dataCellStyle="Normal 2"/>
    <tableColumn id="2848" xr3:uid="{84DB1206-CBBD-4E60-83F4-F704A75867F1}" name="Column2833" dataCellStyle="Normal 2"/>
    <tableColumn id="2849" xr3:uid="{4E204159-4C8C-498B-9429-3ED32102C37D}" name="Column2834" dataCellStyle="Normal 2"/>
    <tableColumn id="2850" xr3:uid="{0796C926-9F79-4045-AB27-E864FF381C7D}" name="Column2835" dataCellStyle="Normal 2"/>
    <tableColumn id="2851" xr3:uid="{26CEE91B-2180-400E-A9B7-100BC3796BB2}" name="Column2836" dataCellStyle="Normal 2"/>
    <tableColumn id="2852" xr3:uid="{E8701273-09AF-42E1-A60A-423E239EFC18}" name="Column2837" dataCellStyle="Normal 2"/>
    <tableColumn id="2853" xr3:uid="{161F69F3-064D-4BA5-A24C-4DF258D117DB}" name="Column2838" dataCellStyle="Normal 2"/>
    <tableColumn id="2854" xr3:uid="{835849F1-6253-4503-8092-12B2491C8A16}" name="Column2839" dataCellStyle="Normal 2"/>
    <tableColumn id="2855" xr3:uid="{13B67ED9-64F1-44FC-99AC-926327BE31E0}" name="Column2840" dataCellStyle="Normal 2"/>
    <tableColumn id="2856" xr3:uid="{616CB467-1D6F-4996-B9FD-0F9E043464F4}" name="Column2841" dataCellStyle="Normal 2"/>
    <tableColumn id="2857" xr3:uid="{E6024E15-7D13-4CC8-A931-DC88E68BEB2C}" name="Column2842" dataCellStyle="Normal 2"/>
    <tableColumn id="2858" xr3:uid="{FD744F16-7446-4D8D-8933-B2F62A19328F}" name="Column2843" dataCellStyle="Normal 2"/>
    <tableColumn id="2859" xr3:uid="{76BE76E8-A35C-4213-A395-D8585743EF1E}" name="Column2844" dataCellStyle="Normal 2"/>
    <tableColumn id="2860" xr3:uid="{E6589FD3-F9E5-4CCE-A88B-EDEE042582FA}" name="Column2845" dataCellStyle="Normal 2"/>
    <tableColumn id="2861" xr3:uid="{E6CA6818-F1ED-43E8-8712-1C8A7A26FFD7}" name="Column2846" dataCellStyle="Normal 2"/>
    <tableColumn id="2862" xr3:uid="{E5099D04-453C-4195-A6ED-86AAB87436EF}" name="Column2847" dataCellStyle="Normal 2"/>
    <tableColumn id="2863" xr3:uid="{D7813E24-607B-4864-99A1-4AF66CE6D96F}" name="Column2848" dataCellStyle="Normal 2"/>
    <tableColumn id="2864" xr3:uid="{F848B6CA-8C6E-4CCA-9154-AA3279933010}" name="Column2849" dataCellStyle="Normal 2"/>
    <tableColumn id="2865" xr3:uid="{7FE1F814-5335-4BC2-BA9F-3E564269B53D}" name="Column2850" dataCellStyle="Normal 2"/>
    <tableColumn id="2866" xr3:uid="{8DAAB2DB-CFCB-43BC-AEA8-938D33A00BE7}" name="Column2851" dataCellStyle="Normal 2"/>
    <tableColumn id="2867" xr3:uid="{4A73A48E-86F7-4E0B-A9E7-F56190165407}" name="Column2852" dataCellStyle="Normal 2"/>
    <tableColumn id="2868" xr3:uid="{9EF28A28-4575-42EE-96BA-9E6F46BEA872}" name="Column2853" dataCellStyle="Normal 2"/>
    <tableColumn id="2869" xr3:uid="{60D93BB6-C414-4CB7-8A51-E417405EFF4F}" name="Column2854" dataCellStyle="Normal 2"/>
    <tableColumn id="2870" xr3:uid="{2E34095F-24E3-4DBC-94DF-21AAD756FA20}" name="Column2855" dataCellStyle="Normal 2"/>
    <tableColumn id="2871" xr3:uid="{8EAF018C-C981-432C-A8B8-89B4A494350F}" name="Column2856" dataCellStyle="Normal 2"/>
    <tableColumn id="2872" xr3:uid="{5C11CC4B-39E7-46D3-85DB-321A479EA27C}" name="Column2857" dataCellStyle="Normal 2"/>
    <tableColumn id="2873" xr3:uid="{2D509F2B-3360-4402-ADF7-3C38120158A6}" name="Column2858" dataCellStyle="Normal 2"/>
    <tableColumn id="2874" xr3:uid="{4FB6D0C2-F213-413A-81C6-8328861F73DD}" name="Column2859" dataCellStyle="Normal 2"/>
    <tableColumn id="2875" xr3:uid="{E1D79BA2-72D2-43CF-89C5-6A3A27DCAAFA}" name="Column2860" dataCellStyle="Normal 2"/>
    <tableColumn id="2876" xr3:uid="{CE00F7FE-B964-41AD-AAD7-C1F3CE32DF4E}" name="Column2861" dataCellStyle="Normal 2"/>
    <tableColumn id="2877" xr3:uid="{29959697-75B0-4562-B560-4401BD16D061}" name="Column2862" dataCellStyle="Normal 2"/>
    <tableColumn id="2878" xr3:uid="{525B0EDA-D0E1-4996-AE14-BC9093B4013C}" name="Column2863" dataCellStyle="Normal 2"/>
    <tableColumn id="2879" xr3:uid="{2D991818-83BD-4E50-9D6C-6C4CD515C3A1}" name="Column2864" dataCellStyle="Normal 2"/>
    <tableColumn id="2880" xr3:uid="{9B903F54-BB99-420C-85CD-0DE6B0B91C5A}" name="Column2865" dataCellStyle="Normal 2"/>
    <tableColumn id="2881" xr3:uid="{F0629EE5-5ADB-406E-8EA1-F3E4A892441C}" name="Column2866" dataCellStyle="Normal 2"/>
    <tableColumn id="2882" xr3:uid="{BA4848F8-A784-4E82-BA78-8CC75FE75FBB}" name="Column2867" dataCellStyle="Normal 2"/>
    <tableColumn id="2883" xr3:uid="{D2B32C18-F069-4A95-B193-86ECB64359F0}" name="Column2868" dataCellStyle="Normal 2"/>
    <tableColumn id="2884" xr3:uid="{F6C6135A-F43A-4583-8A0E-309F3B7FD79E}" name="Column2869" dataCellStyle="Normal 2"/>
    <tableColumn id="2885" xr3:uid="{C440DA8B-54D9-4032-8280-C1977EB3605E}" name="Column2870" dataCellStyle="Normal 2"/>
    <tableColumn id="2886" xr3:uid="{A3868667-DE05-443A-ABBE-199669037816}" name="Column2871" dataCellStyle="Normal 2"/>
    <tableColumn id="2887" xr3:uid="{7A2991A6-DD0D-492C-BCE7-29C4CC21A245}" name="Column2872" dataCellStyle="Normal 2"/>
    <tableColumn id="2888" xr3:uid="{D7DB84C7-59DC-4A15-9156-C39D55ABF1E8}" name="Column2873" dataCellStyle="Normal 2"/>
    <tableColumn id="2889" xr3:uid="{10E8141B-6FB7-407B-8CB5-E85C5F0A6CCA}" name="Column2874" dataCellStyle="Normal 2"/>
    <tableColumn id="2890" xr3:uid="{77132DC9-067E-4B77-9944-61359D685AB2}" name="Column2875" dataCellStyle="Normal 2"/>
    <tableColumn id="2891" xr3:uid="{F72AE9E6-DA65-448D-843F-D11466B765B2}" name="Column2876" dataCellStyle="Normal 2"/>
    <tableColumn id="2892" xr3:uid="{46184C6F-B8EB-4E49-913F-9FEB5B2FA833}" name="Column2877" dataCellStyle="Normal 2"/>
    <tableColumn id="2893" xr3:uid="{0B3A7054-D3B7-4204-9E6B-CFC2CC305F59}" name="Column2878" dataCellStyle="Normal 2"/>
    <tableColumn id="2894" xr3:uid="{26254ADE-ED9C-4646-A51C-EC8FC5325D74}" name="Column2879" dataCellStyle="Normal 2"/>
    <tableColumn id="2895" xr3:uid="{C6BB4657-7259-44D2-851C-802C68906A2B}" name="Column2880" dataCellStyle="Normal 2"/>
    <tableColumn id="2896" xr3:uid="{EFB3558F-9AF7-4580-B530-6B9B62B8B68D}" name="Column2881" dataCellStyle="Normal 2"/>
    <tableColumn id="2897" xr3:uid="{3DE1D129-2395-4155-AD7A-57EFB9329A4E}" name="Column2882" dataCellStyle="Normal 2"/>
    <tableColumn id="2898" xr3:uid="{5CFD21EC-96BD-4339-AC48-27008896E535}" name="Column2883" dataCellStyle="Normal 2"/>
    <tableColumn id="2899" xr3:uid="{013998AA-0D0E-4A28-9F49-5293C3CC98CF}" name="Column2884" dataCellStyle="Normal 2"/>
    <tableColumn id="2900" xr3:uid="{FA1B5A8B-C09F-4CA7-AAF4-5079E68E7CC2}" name="Column2885" dataCellStyle="Normal 2"/>
    <tableColumn id="2901" xr3:uid="{96013BF9-9614-422A-9264-141A3991C201}" name="Column2886" dataCellStyle="Normal 2"/>
    <tableColumn id="2902" xr3:uid="{12B24538-04C2-4E88-8DF4-3835D4D4149A}" name="Column2887" dataCellStyle="Normal 2"/>
    <tableColumn id="2903" xr3:uid="{B4690DD7-3F2D-4480-802D-A2B7B69A379F}" name="Column2888" dataCellStyle="Normal 2"/>
    <tableColumn id="2904" xr3:uid="{9D9C93F9-9577-426D-A10D-2917C1EC2E9A}" name="Column2889" dataCellStyle="Normal 2"/>
    <tableColumn id="2905" xr3:uid="{230399DD-3447-4252-8484-04B91CEDB950}" name="Column2890" dataCellStyle="Normal 2"/>
    <tableColumn id="2906" xr3:uid="{5718BC04-1093-45DA-8B68-424B48293AC2}" name="Column2891" dataCellStyle="Normal 2"/>
    <tableColumn id="2907" xr3:uid="{657BEC9D-2A1E-4681-B52B-4566AF5BBF54}" name="Column2892" dataCellStyle="Normal 2"/>
    <tableColumn id="2908" xr3:uid="{2CFE8206-151E-49E6-8F2D-18BFCE70EAB2}" name="Column2893" dataCellStyle="Normal 2"/>
    <tableColumn id="2909" xr3:uid="{DF889D59-2192-4614-86C7-13622DF3E929}" name="Column2894" dataCellStyle="Normal 2"/>
    <tableColumn id="2910" xr3:uid="{5BFC3AD7-C8BC-42B9-8849-F9489C0FC0E9}" name="Column2895" dataCellStyle="Normal 2"/>
    <tableColumn id="2911" xr3:uid="{62E4E0BF-1C5A-41C9-A487-F34259F2ACF0}" name="Column2896" dataCellStyle="Normal 2"/>
    <tableColumn id="2912" xr3:uid="{83FB31DF-126A-4C6C-8E01-99647A2FC051}" name="Column2897" dataCellStyle="Normal 2"/>
    <tableColumn id="2913" xr3:uid="{87B05865-43D9-448F-9278-80C3D414D09C}" name="Column2898" dataCellStyle="Normal 2"/>
    <tableColumn id="2914" xr3:uid="{4870B5E5-AAE5-4730-B5E6-0A9B0537082D}" name="Column2899" dataCellStyle="Normal 2"/>
    <tableColumn id="2915" xr3:uid="{1B8BA4B7-B67C-4E1F-B6A5-287360447395}" name="Column2900" dataCellStyle="Normal 2"/>
    <tableColumn id="2916" xr3:uid="{6E089974-3B85-4932-8F50-ACF285A04FC5}" name="Column2901" dataCellStyle="Normal 2"/>
    <tableColumn id="2917" xr3:uid="{36827AEF-E173-4015-8A4A-EE3A3D40BF02}" name="Column2902" dataCellStyle="Normal 2"/>
    <tableColumn id="2918" xr3:uid="{5D6227B9-F8B7-4ED5-B76E-D7CC1CAF71F7}" name="Column2903" dataCellStyle="Normal 2"/>
    <tableColumn id="2919" xr3:uid="{C44C6B75-401E-4747-9406-FAEDD09C84B8}" name="Column2904" dataCellStyle="Normal 2"/>
    <tableColumn id="2920" xr3:uid="{030FF577-2986-47D9-BBCB-B205942911D8}" name="Column2905" dataCellStyle="Normal 2"/>
    <tableColumn id="2921" xr3:uid="{417C7976-BEBA-437B-A8A2-E8CEB63E363B}" name="Column2906" dataCellStyle="Normal 2"/>
    <tableColumn id="2922" xr3:uid="{B5E3EF3C-CBCD-4EAD-B573-E78E96B3815F}" name="Column2907" dataCellStyle="Normal 2"/>
    <tableColumn id="2923" xr3:uid="{9C842EDC-43FD-4452-A2EE-C7E64A512838}" name="Column2908" dataCellStyle="Normal 2"/>
    <tableColumn id="2924" xr3:uid="{EE96F84E-1969-4336-9DC8-345E697525D4}" name="Column2909" dataCellStyle="Normal 2"/>
    <tableColumn id="2925" xr3:uid="{8A26EA0E-DB4C-4E40-A974-A2F1E4883495}" name="Column2910" dataCellStyle="Normal 2"/>
    <tableColumn id="2926" xr3:uid="{7E9C9A25-BE37-4DD9-8474-B90F78722AA6}" name="Column2911" dataCellStyle="Normal 2"/>
    <tableColumn id="2927" xr3:uid="{C104330B-7740-4B33-9AB8-FD6D94E79828}" name="Column2912" dataCellStyle="Normal 2"/>
    <tableColumn id="2928" xr3:uid="{76E2EB08-3A44-4FDC-B8B7-19974CF7E30E}" name="Column2913" dataCellStyle="Normal 2"/>
    <tableColumn id="2929" xr3:uid="{6E30F6EB-DEBE-423C-9BFB-898BDFF1C0E5}" name="Column2914" dataCellStyle="Normal 2"/>
    <tableColumn id="2930" xr3:uid="{265E8226-58D3-4663-826F-9C329F7C1A72}" name="Column2915" dataCellStyle="Normal 2"/>
    <tableColumn id="2931" xr3:uid="{985EA1FB-BE76-4A3C-AFD3-66A7132786EC}" name="Column2916" dataCellStyle="Normal 2"/>
    <tableColumn id="2932" xr3:uid="{302557AF-AEC6-4394-8240-7D25BC303DD5}" name="Column2917" dataCellStyle="Normal 2"/>
    <tableColumn id="2933" xr3:uid="{689C17F1-0373-4182-A671-412D9E21C422}" name="Column2918" dataCellStyle="Normal 2"/>
    <tableColumn id="2934" xr3:uid="{49FF9BDD-D79E-400E-8D75-E91CF3C21BBB}" name="Column2919" dataCellStyle="Normal 2"/>
    <tableColumn id="2935" xr3:uid="{293E0113-F525-45A4-9043-188ED0B46157}" name="Column2920" dataCellStyle="Normal 2"/>
    <tableColumn id="2936" xr3:uid="{26D2343B-C481-4612-BB9C-0079E2CDFE35}" name="Column2921" dataCellStyle="Normal 2"/>
    <tableColumn id="2937" xr3:uid="{514F8BBA-40DA-4384-86C1-4422FBDCE66D}" name="Column2922" dataCellStyle="Normal 2"/>
    <tableColumn id="2938" xr3:uid="{D2BDB310-A6A5-4FA0-87E7-CE958F45F0BF}" name="Column2923" dataCellStyle="Normal 2"/>
    <tableColumn id="2939" xr3:uid="{25E27EBF-0E1D-4180-8F41-375F7621C8DF}" name="Column2924" dataCellStyle="Normal 2"/>
    <tableColumn id="2940" xr3:uid="{06CBD36E-EA37-43F9-9E69-D4CD70A2C632}" name="Column2925" dataCellStyle="Normal 2"/>
    <tableColumn id="2941" xr3:uid="{0592FE63-3C9F-4A90-9890-58D99F8A961B}" name="Column2926" dataCellStyle="Normal 2"/>
    <tableColumn id="2942" xr3:uid="{90EF28FB-BA4C-4489-8CBA-16CB4F3CA132}" name="Column2927" dataCellStyle="Normal 2"/>
    <tableColumn id="2943" xr3:uid="{0383E417-DB21-4F57-BD4F-7751E1EF7661}" name="Column2928" dataCellStyle="Normal 2"/>
    <tableColumn id="2944" xr3:uid="{AB6AEB30-0135-46BE-BC5F-DACEE3DD31B8}" name="Column2929" dataCellStyle="Normal 2"/>
    <tableColumn id="2945" xr3:uid="{99E3A746-9FC6-481B-A552-ADAD249AFD6A}" name="Column2930" dataCellStyle="Normal 2"/>
    <tableColumn id="2946" xr3:uid="{373BCAF7-DF14-46E5-BFD0-F825CC0FD652}" name="Column2931" dataCellStyle="Normal 2"/>
    <tableColumn id="2947" xr3:uid="{17295965-3DD7-434F-AC95-4CD16B766090}" name="Column2932" dataCellStyle="Normal 2"/>
    <tableColumn id="2948" xr3:uid="{39AAA1E7-F350-42A4-B385-575C5F90541D}" name="Column2933" dataCellStyle="Normal 2"/>
    <tableColumn id="2949" xr3:uid="{A65ED281-7903-4474-A0BC-10E9EFDA0D76}" name="Column2934" dataCellStyle="Normal 2"/>
    <tableColumn id="2950" xr3:uid="{65BA2C98-0857-428D-A5C6-DFEF54157A02}" name="Column2935" dataCellStyle="Normal 2"/>
    <tableColumn id="2951" xr3:uid="{5D811CF7-E214-4DAA-AF07-099B24E85996}" name="Column2936" dataCellStyle="Normal 2"/>
    <tableColumn id="2952" xr3:uid="{54480529-7FAB-45C4-9000-EE44E515E014}" name="Column2937" dataCellStyle="Normal 2"/>
    <tableColumn id="2953" xr3:uid="{BB76CF4C-29B3-4818-81E7-60B492F8A79C}" name="Column2938" dataCellStyle="Normal 2"/>
    <tableColumn id="2954" xr3:uid="{AE6CE6B1-5EB2-4CC1-A85A-7817EDD54FAB}" name="Column2939" dataCellStyle="Normal 2"/>
    <tableColumn id="2955" xr3:uid="{7E8D417D-8AA9-43E4-B32D-14C13D9AE57D}" name="Column2940" dataCellStyle="Normal 2"/>
    <tableColumn id="2956" xr3:uid="{7871655F-FA35-4079-9CDC-7C75B563DBFD}" name="Column2941" dataCellStyle="Normal 2"/>
    <tableColumn id="2957" xr3:uid="{A4030A64-EEEB-42E6-8436-1EE90B2811FA}" name="Column2942" dataCellStyle="Normal 2"/>
    <tableColumn id="2958" xr3:uid="{949BF730-8F7C-434F-84CC-94EDDEDE3691}" name="Column2943" dataCellStyle="Normal 2"/>
    <tableColumn id="2959" xr3:uid="{CEE74875-523C-4D5E-A5A2-7A380BD8BC30}" name="Column2944" dataCellStyle="Normal 2"/>
    <tableColumn id="2960" xr3:uid="{3E5F9199-3D2B-493B-977B-36B095DD445C}" name="Column2945" dataCellStyle="Normal 2"/>
    <tableColumn id="2961" xr3:uid="{C0E9630F-5191-42F6-94A9-1A1BF58130CD}" name="Column2946" dataCellStyle="Normal 2"/>
    <tableColumn id="2962" xr3:uid="{E07C99C5-5DBF-4370-9E1E-133685046F3E}" name="Column2947" dataCellStyle="Normal 2"/>
    <tableColumn id="2963" xr3:uid="{DC0AEF7D-3DE7-45AE-9A6A-921127E560AC}" name="Column2948" dataCellStyle="Normal 2"/>
    <tableColumn id="2964" xr3:uid="{DAFE82B1-E899-4A88-931D-6D041A752392}" name="Column2949" dataCellStyle="Normal 2"/>
    <tableColumn id="2965" xr3:uid="{DDB06A86-37A7-434B-A613-85F2FA1AD362}" name="Column2950" dataCellStyle="Normal 2"/>
    <tableColumn id="2966" xr3:uid="{54F2A241-9D78-4D95-97EA-8FBE0F114923}" name="Column2951" dataCellStyle="Normal 2"/>
    <tableColumn id="2967" xr3:uid="{34883600-D3C9-4F70-9C52-7FD52DC2D4ED}" name="Column2952" dataCellStyle="Normal 2"/>
    <tableColumn id="2968" xr3:uid="{783FC77E-4543-44A4-B303-A0CD9D9D164D}" name="Column2953" dataCellStyle="Normal 2"/>
    <tableColumn id="2969" xr3:uid="{7EB4FB0A-ACE6-454E-90AB-3EA25C5547E2}" name="Column2954" dataCellStyle="Normal 2"/>
    <tableColumn id="2970" xr3:uid="{43592B28-FC52-41AD-BC46-04FD69CD844E}" name="Column2955" dataCellStyle="Normal 2"/>
    <tableColumn id="2971" xr3:uid="{888ACD8F-5A54-4369-9739-8740DF3DF1F7}" name="Column2956" dataCellStyle="Normal 2"/>
    <tableColumn id="2972" xr3:uid="{61D22ABD-9FFB-4E5C-87BF-E13381CE7352}" name="Column2957" dataCellStyle="Normal 2"/>
    <tableColumn id="2973" xr3:uid="{5D4097AC-E787-4B2D-9D61-15B4ED063A5D}" name="Column2958" dataCellStyle="Normal 2"/>
    <tableColumn id="2974" xr3:uid="{90FE2209-B6DD-4658-9866-8CAC673DCF13}" name="Column2959" dataCellStyle="Normal 2"/>
    <tableColumn id="2975" xr3:uid="{E65737E4-096C-467A-9494-6E03F06F0291}" name="Column2960" dataCellStyle="Normal 2"/>
    <tableColumn id="2976" xr3:uid="{B2362E84-2A96-484C-B295-8E36A50C6E16}" name="Column2961" dataCellStyle="Normal 2"/>
    <tableColumn id="2977" xr3:uid="{3F7AE064-E225-4589-9DE0-978DB3683E53}" name="Column2962" dataCellStyle="Normal 2"/>
    <tableColumn id="2978" xr3:uid="{5E19C0A4-CA99-4E1D-8148-AEF7E5437B75}" name="Column2963" dataCellStyle="Normal 2"/>
    <tableColumn id="2979" xr3:uid="{E7C65107-4737-4331-A7F4-19BE6A9F0DA9}" name="Column2964" dataCellStyle="Normal 2"/>
    <tableColumn id="2980" xr3:uid="{5179307B-62DB-432D-89B6-CE7D6619225D}" name="Column2965" dataCellStyle="Normal 2"/>
    <tableColumn id="2981" xr3:uid="{7F1581B3-43C8-4616-8929-A1D53EF20991}" name="Column2966" dataCellStyle="Normal 2"/>
    <tableColumn id="2982" xr3:uid="{964FAA6E-FB22-444C-A5B8-15E31596E944}" name="Column2967" dataCellStyle="Normal 2"/>
    <tableColumn id="2983" xr3:uid="{991D6F69-C66B-447D-A7A2-B0CA2B10224C}" name="Column2968" dataCellStyle="Normal 2"/>
    <tableColumn id="2984" xr3:uid="{C62B9AED-FA5F-4C11-BF9C-5135F04FC735}" name="Column2969" dataCellStyle="Normal 2"/>
    <tableColumn id="2985" xr3:uid="{45A34E44-5526-4F70-8AA4-A0E1D63FE8BC}" name="Column2970" dataCellStyle="Normal 2"/>
    <tableColumn id="2986" xr3:uid="{FCD09771-5983-449E-9417-EC9E8E19348B}" name="Column2971" dataCellStyle="Normal 2"/>
    <tableColumn id="2987" xr3:uid="{B7E9B684-78EE-4036-BA6C-CB6700F2388A}" name="Column2972" dataCellStyle="Normal 2"/>
    <tableColumn id="2988" xr3:uid="{664191F2-2B74-42D0-A76A-EF8E425AF670}" name="Column2973" dataCellStyle="Normal 2"/>
    <tableColumn id="2989" xr3:uid="{A0954072-FA27-44F3-A26D-0694EE1CD8D2}" name="Column2974" dataCellStyle="Normal 2"/>
    <tableColumn id="2990" xr3:uid="{FAC942C2-4A15-46F9-9096-9C3126AA29F3}" name="Column2975" dataCellStyle="Normal 2"/>
    <tableColumn id="2991" xr3:uid="{E93ED87F-B0C9-4FBE-B45A-A6BFD93F45D5}" name="Column2976" dataCellStyle="Normal 2"/>
    <tableColumn id="2992" xr3:uid="{BCF1B324-EB3B-440D-90C3-6A3242D7EB9B}" name="Column2977" dataCellStyle="Normal 2"/>
    <tableColumn id="2993" xr3:uid="{6182EC0A-B88F-4CEA-9C40-27AA47F24366}" name="Column2978" dataCellStyle="Normal 2"/>
    <tableColumn id="2994" xr3:uid="{B810DA83-C45F-49DF-91F3-187FE6921306}" name="Column2979" dataCellStyle="Normal 2"/>
    <tableColumn id="2995" xr3:uid="{A8DE8BCA-8019-447B-BAAF-10931B87023E}" name="Column2980" dataCellStyle="Normal 2"/>
    <tableColumn id="2996" xr3:uid="{D1C72DE1-24FE-44FC-AAAE-A4837FDA8A6C}" name="Column2981" dataCellStyle="Normal 2"/>
    <tableColumn id="2997" xr3:uid="{7B5BB597-A2AC-4F75-9C83-992792E89D8D}" name="Column2982" dataCellStyle="Normal 2"/>
    <tableColumn id="2998" xr3:uid="{BDB22215-44D0-46B5-9B0E-6BF4EF5F8686}" name="Column2983" dataCellStyle="Normal 2"/>
    <tableColumn id="2999" xr3:uid="{858DDA13-5FA7-43EE-9A35-620280B195E8}" name="Column2984" dataCellStyle="Normal 2"/>
    <tableColumn id="3000" xr3:uid="{F9EC8923-06D3-44E2-B2AF-A76252F55029}" name="Column2985" dataCellStyle="Normal 2"/>
    <tableColumn id="3001" xr3:uid="{54FD31CD-2D28-4DA9-BA58-B3A198BA72E1}" name="Column2986" dataCellStyle="Normal 2"/>
    <tableColumn id="3002" xr3:uid="{9D69A933-1EA1-4159-8641-34EA4D17A826}" name="Column2987" dataCellStyle="Normal 2"/>
    <tableColumn id="3003" xr3:uid="{3514C6CD-28C5-4941-9119-BA3857A55FAD}" name="Column2988" dataCellStyle="Normal 2"/>
    <tableColumn id="3004" xr3:uid="{5C22FA00-136A-4B2E-B718-45759B1B02A6}" name="Column2989" dataCellStyle="Normal 2"/>
    <tableColumn id="3005" xr3:uid="{48C0C161-479F-4CEB-B8EA-64360F8D8E59}" name="Column2990" dataCellStyle="Normal 2"/>
    <tableColumn id="3006" xr3:uid="{63EC0635-2119-49A8-A040-1A47ACCD1898}" name="Column2991" dataCellStyle="Normal 2"/>
    <tableColumn id="3007" xr3:uid="{563AA220-DF52-4C0D-AC97-805F9C65F9C6}" name="Column2992" dataCellStyle="Normal 2"/>
    <tableColumn id="3008" xr3:uid="{E2D55CD0-5319-4B85-89CA-06FFAA6D18A6}" name="Column2993" dataCellStyle="Normal 2"/>
    <tableColumn id="3009" xr3:uid="{CAEDBFEA-26D3-4E69-B201-BDFA9E816779}" name="Column2994" dataCellStyle="Normal 2"/>
    <tableColumn id="3010" xr3:uid="{3D202997-F785-4EFD-A2E4-493D86C735F4}" name="Column2995" dataCellStyle="Normal 2"/>
    <tableColumn id="3011" xr3:uid="{693F6DFB-A211-4852-B152-97FCC4F3CB6B}" name="Column2996" dataCellStyle="Normal 2"/>
    <tableColumn id="3012" xr3:uid="{D2C6B2F9-8C06-44D7-98FE-578266C98669}" name="Column2997" dataCellStyle="Normal 2"/>
    <tableColumn id="3013" xr3:uid="{AC6FF16C-8229-4D4A-B4DD-7699007CF313}" name="Column2998" dataCellStyle="Normal 2"/>
    <tableColumn id="3014" xr3:uid="{90933324-3D54-4594-BB4F-AF88721055A0}" name="Column2999" dataCellStyle="Normal 2"/>
    <tableColumn id="3015" xr3:uid="{FED96FC2-28FE-421C-A374-F76A57CC12EF}" name="Column3000" dataCellStyle="Normal 2"/>
    <tableColumn id="3016" xr3:uid="{31777767-FCAC-45DE-A0E9-597F7FF85CAD}" name="Column3001" dataCellStyle="Normal 2"/>
    <tableColumn id="3017" xr3:uid="{BCF6E113-D690-4CDF-9447-57C826D130B2}" name="Column3002" dataCellStyle="Normal 2"/>
    <tableColumn id="3018" xr3:uid="{CD6E30C9-6D4E-4B0E-AD5F-0954649D9A1C}" name="Column3003" dataCellStyle="Normal 2"/>
    <tableColumn id="3019" xr3:uid="{351F026B-7064-4029-AF5A-963E8C23B5ED}" name="Column3004" dataCellStyle="Normal 2"/>
    <tableColumn id="3020" xr3:uid="{B36957A5-A41A-4549-9200-942EDFE19662}" name="Column3005" dataCellStyle="Normal 2"/>
    <tableColumn id="3021" xr3:uid="{ACC3BFBB-559F-45AE-B0C0-C5323E7BEE91}" name="Column3006" dataCellStyle="Normal 2"/>
    <tableColumn id="3022" xr3:uid="{757CAE5A-DDC2-49A8-8C1C-AC18B9372169}" name="Column3007" dataCellStyle="Normal 2"/>
    <tableColumn id="3023" xr3:uid="{DC2CBB01-95D1-43D2-AAD3-93CED9622925}" name="Column3008" dataCellStyle="Normal 2"/>
    <tableColumn id="3024" xr3:uid="{A63AA5E6-4AC5-45EB-9F6C-5FC2959C440F}" name="Column3009" dataCellStyle="Normal 2"/>
    <tableColumn id="3025" xr3:uid="{199142D5-6ADB-498C-B284-7A38E770061E}" name="Column3010" dataCellStyle="Normal 2"/>
    <tableColumn id="3026" xr3:uid="{68CBFDFC-1039-4690-A209-8D5C7BC1C26A}" name="Column3011" dataCellStyle="Normal 2"/>
    <tableColumn id="3027" xr3:uid="{751831D5-25DE-457F-9A1C-36450EA531A8}" name="Column3012" dataCellStyle="Normal 2"/>
    <tableColumn id="3028" xr3:uid="{82FC8636-CC32-4C13-B933-C2043B776F90}" name="Column3013" dataCellStyle="Normal 2"/>
    <tableColumn id="3029" xr3:uid="{8BAC21CA-C13D-4BD4-9125-2558E630A7E6}" name="Column3014" dataCellStyle="Normal 2"/>
    <tableColumn id="3030" xr3:uid="{035C2A67-FFAA-42D0-9137-A599E158B378}" name="Column3015" dataCellStyle="Normal 2"/>
    <tableColumn id="3031" xr3:uid="{B5445B63-6742-40BC-9586-E4AF1CA23DF5}" name="Column3016" dataCellStyle="Normal 2"/>
    <tableColumn id="3032" xr3:uid="{C869091C-CFAB-4090-80C2-B7E9FFEDBC1F}" name="Column3017" dataCellStyle="Normal 2"/>
    <tableColumn id="3033" xr3:uid="{B7B2406B-98F5-4437-B373-5E4CB80273A9}" name="Column3018" dataCellStyle="Normal 2"/>
    <tableColumn id="3034" xr3:uid="{A1DEB12C-D15D-4D86-A0A5-E33CC41BFD71}" name="Column3019" dataCellStyle="Normal 2"/>
    <tableColumn id="3035" xr3:uid="{3C4417B9-3B19-4147-98E5-CD66B0C261F0}" name="Column3020" dataCellStyle="Normal 2"/>
    <tableColumn id="3036" xr3:uid="{17E3BD37-FAB4-48DF-90A7-B9DC50EFB307}" name="Column3021" dataCellStyle="Normal 2"/>
    <tableColumn id="3037" xr3:uid="{4E4D5514-EBC3-4D35-9FE0-FD088217A354}" name="Column3022" dataCellStyle="Normal 2"/>
    <tableColumn id="3038" xr3:uid="{46425658-7F11-4A37-83FD-29B19605B490}" name="Column3023" dataCellStyle="Normal 2"/>
    <tableColumn id="3039" xr3:uid="{BCAB388B-6DC9-4D03-A888-7F3661DE60D6}" name="Column3024" dataCellStyle="Normal 2"/>
    <tableColumn id="3040" xr3:uid="{05A758AA-1683-4F61-A064-28B03BC3292E}" name="Column3025" dataCellStyle="Normal 2"/>
    <tableColumn id="3041" xr3:uid="{29D5AB66-70FC-4A38-8B24-9E9A51DB29E0}" name="Column3026" dataCellStyle="Normal 2"/>
    <tableColumn id="3042" xr3:uid="{48552F31-EE24-46C1-8C4A-FEAE722B63D4}" name="Column3027" dataCellStyle="Normal 2"/>
    <tableColumn id="3043" xr3:uid="{6B0E119F-593E-426F-9AE6-43D97D34FB3D}" name="Column3028" dataCellStyle="Normal 2"/>
    <tableColumn id="3044" xr3:uid="{6D1E6CEB-2DF1-49D6-AFCD-AFAFCD13E8BA}" name="Column3029" dataCellStyle="Normal 2"/>
    <tableColumn id="3045" xr3:uid="{C721843B-1931-4873-803A-D94FF3B0F0C4}" name="Column3030" dataCellStyle="Normal 2"/>
    <tableColumn id="3046" xr3:uid="{97BBFCCF-070E-4146-A60D-601EB4685552}" name="Column3031" dataCellStyle="Normal 2"/>
    <tableColumn id="3047" xr3:uid="{EF931F39-35D9-4FFB-9878-7F004BC3A356}" name="Column3032" dataCellStyle="Normal 2"/>
    <tableColumn id="3048" xr3:uid="{3E94CC43-4077-4960-9EE0-03E09FE20C27}" name="Column3033" dataCellStyle="Normal 2"/>
    <tableColumn id="3049" xr3:uid="{837F8D83-D6E6-4DED-AB75-26CDA7308A02}" name="Column3034" dataCellStyle="Normal 2"/>
    <tableColumn id="3050" xr3:uid="{36783BC7-E306-4EC1-8817-5DAB16081935}" name="Column3035" dataCellStyle="Normal 2"/>
    <tableColumn id="3051" xr3:uid="{6F9E1119-0118-4609-88D0-CA794FE41EEF}" name="Column3036" dataCellStyle="Normal 2"/>
    <tableColumn id="3052" xr3:uid="{F0FE9199-1721-4DDC-8221-B555490B780C}" name="Column3037" dataCellStyle="Normal 2"/>
    <tableColumn id="3053" xr3:uid="{A8CC576B-A26B-4C6D-83BE-26E2E0BFE9FE}" name="Column3038" dataCellStyle="Normal 2"/>
    <tableColumn id="3054" xr3:uid="{14216DA4-0372-48C8-9281-01BFAB4ED32F}" name="Column3039" dataCellStyle="Normal 2"/>
    <tableColumn id="3055" xr3:uid="{7FD1613C-3A4E-484B-89CD-3EC5C9444D6D}" name="Column3040" dataCellStyle="Normal 2"/>
    <tableColumn id="3056" xr3:uid="{AB1666E9-DF17-466E-9B3E-3BB58DBA8561}" name="Column3041" dataCellStyle="Normal 2"/>
    <tableColumn id="3057" xr3:uid="{BA479C17-55C0-4D28-8735-46359E0BEE1C}" name="Column3042" dataCellStyle="Normal 2"/>
    <tableColumn id="3058" xr3:uid="{E67726DE-E3BD-483C-B9CB-52BCFCB92336}" name="Column3043" dataCellStyle="Normal 2"/>
    <tableColumn id="3059" xr3:uid="{49D88980-2F0A-4704-B530-5CAE79DCE81C}" name="Column3044" dataCellStyle="Normal 2"/>
    <tableColumn id="3060" xr3:uid="{97A01FFC-5EAE-4C39-8584-F71C2A90DB01}" name="Column3045" dataCellStyle="Normal 2"/>
    <tableColumn id="3061" xr3:uid="{3DAEF225-A93A-40AE-9BDB-E40C2099C2C2}" name="Column3046" dataCellStyle="Normal 2"/>
    <tableColumn id="3062" xr3:uid="{49875ECE-B0E4-4A6F-BF9E-F8F9BE2AC3BA}" name="Column3047" dataCellStyle="Normal 2"/>
    <tableColumn id="3063" xr3:uid="{D794BD4B-CC3B-4070-91B8-34969A5E02E5}" name="Column3048" dataCellStyle="Normal 2"/>
    <tableColumn id="3064" xr3:uid="{F205420C-BECB-4019-A655-B0D110F1F0C7}" name="Column3049" dataCellStyle="Normal 2"/>
    <tableColumn id="3065" xr3:uid="{CCB92C20-9A68-43DE-9D4E-454B94A28B53}" name="Column3050" dataCellStyle="Normal 2"/>
    <tableColumn id="3066" xr3:uid="{9085D87A-F804-4CAD-9786-B05CB8D1CC3C}" name="Column3051" dataCellStyle="Normal 2"/>
    <tableColumn id="3067" xr3:uid="{52B7AAF1-BE2D-4338-97DB-EB813AD2F7C7}" name="Column3052" dataCellStyle="Normal 2"/>
    <tableColumn id="3068" xr3:uid="{245C9C3A-BBA1-4A6F-BD41-5A2B1C310676}" name="Column3053" dataCellStyle="Normal 2"/>
    <tableColumn id="3069" xr3:uid="{D9C9BD21-1154-4F43-9960-5A253BB6AA44}" name="Column3054" dataCellStyle="Normal 2"/>
    <tableColumn id="3070" xr3:uid="{2B071C18-2173-45B2-99EE-7AD2D55B08E9}" name="Column3055" dataCellStyle="Normal 2"/>
    <tableColumn id="3071" xr3:uid="{06E8284C-A772-4201-B59A-D03D3B724DD9}" name="Column3056" dataCellStyle="Normal 2"/>
    <tableColumn id="3072" xr3:uid="{7CBD3162-A5CF-4C93-809E-CF452896BFDB}" name="Column3057" dataCellStyle="Normal 2"/>
    <tableColumn id="3073" xr3:uid="{65F28C99-6872-4F06-9D47-0AB4B81E354B}" name="Column3058" dataCellStyle="Normal 2"/>
    <tableColumn id="3074" xr3:uid="{AE7A7D07-042B-4B6E-874D-74FF34CC5FFA}" name="Column3059" dataCellStyle="Normal 2"/>
    <tableColumn id="3075" xr3:uid="{25779DD5-1183-4743-A44D-4A9FED6979F2}" name="Column3060" dataCellStyle="Normal 2"/>
    <tableColumn id="3076" xr3:uid="{0B243516-A178-44FD-8FCD-92FD49E1053F}" name="Column3061" dataCellStyle="Normal 2"/>
    <tableColumn id="3077" xr3:uid="{D4151011-757B-45DF-809B-80FA8A8C8DCA}" name="Column3062" dataCellStyle="Normal 2"/>
    <tableColumn id="3078" xr3:uid="{01DA5A46-17F1-4259-A135-3D56C51BF8D9}" name="Column3063" dataCellStyle="Normal 2"/>
    <tableColumn id="3079" xr3:uid="{70E3DBCA-393B-4BF7-8815-95ACF850BAE8}" name="Column3064" dataCellStyle="Normal 2"/>
    <tableColumn id="3080" xr3:uid="{F1D12935-8CCC-4732-B11E-05BADEEBB543}" name="Column3065" dataCellStyle="Normal 2"/>
    <tableColumn id="3081" xr3:uid="{A0FA0D12-334C-4B6E-8E48-30E719B36EF3}" name="Column3066" dataCellStyle="Normal 2"/>
    <tableColumn id="3082" xr3:uid="{978256B2-E917-4DA7-A3B5-288EC66BEE5D}" name="Column3067" dataCellStyle="Normal 2"/>
    <tableColumn id="3083" xr3:uid="{38DBD81B-EE12-4ECB-B6E0-0FCF74CD6ACD}" name="Column3068" dataCellStyle="Normal 2"/>
    <tableColumn id="3084" xr3:uid="{420A49B1-FC97-4F98-BED7-BDAE92D21B85}" name="Column3069" dataCellStyle="Normal 2"/>
    <tableColumn id="3085" xr3:uid="{054671C1-E2D5-45A6-A1EC-61D4539DFFF5}" name="Column3070" dataCellStyle="Normal 2"/>
    <tableColumn id="3086" xr3:uid="{7B654998-63FE-4D43-9FD0-86B378386BFF}" name="Column3071" dataCellStyle="Normal 2"/>
    <tableColumn id="3087" xr3:uid="{AC80CA8E-B77E-44DE-863D-510B5FD20A18}" name="Column3072" dataCellStyle="Normal 2"/>
    <tableColumn id="3088" xr3:uid="{8FA8F4AA-1F63-4587-813D-C4090CB7228D}" name="Column3073" dataCellStyle="Normal 2"/>
    <tableColumn id="3089" xr3:uid="{DF7DB000-3955-49DB-8338-14E890463D58}" name="Column3074" dataCellStyle="Normal 2"/>
    <tableColumn id="3090" xr3:uid="{5A1C7B48-12AE-43B7-82CC-2CD8B3147C79}" name="Column3075" dataCellStyle="Normal 2"/>
    <tableColumn id="3091" xr3:uid="{39FC5320-E1BB-45BE-8D94-8721C75814E2}" name="Column3076" dataCellStyle="Normal 2"/>
    <tableColumn id="3092" xr3:uid="{31164406-BDD5-44F9-AB40-A1864CD4D5FD}" name="Column3077" dataCellStyle="Normal 2"/>
    <tableColumn id="3093" xr3:uid="{391CBA19-E1FF-4808-A072-3D188EB0610F}" name="Column3078" dataCellStyle="Normal 2"/>
    <tableColumn id="3094" xr3:uid="{C6E2CF0D-DE81-4682-A494-9271D8AB0B5C}" name="Column3079" dataCellStyle="Normal 2"/>
    <tableColumn id="3095" xr3:uid="{B56D5050-014C-4104-85C2-BCA7AC9054E7}" name="Column3080" dataCellStyle="Normal 2"/>
    <tableColumn id="3096" xr3:uid="{D71B0973-63B1-4DF8-A0FB-17B42EE21785}" name="Column3081" dataCellStyle="Normal 2"/>
    <tableColumn id="3097" xr3:uid="{653C217A-F4DC-4651-A095-68FE94FC1BC8}" name="Column3082" dataCellStyle="Normal 2"/>
    <tableColumn id="3098" xr3:uid="{477C4119-CA9A-47DA-9E03-4396E8EA0BC6}" name="Column3083" dataCellStyle="Normal 2"/>
    <tableColumn id="3099" xr3:uid="{D11F712C-97C3-41A9-BE65-145D359338C5}" name="Column3084" dataCellStyle="Normal 2"/>
    <tableColumn id="3100" xr3:uid="{A42DD78A-5AFB-45DA-8197-8FBBB8D46754}" name="Column3085" dataCellStyle="Normal 2"/>
    <tableColumn id="3101" xr3:uid="{4B98E9B6-D9D2-4C88-8039-FA83DB6B6EF3}" name="Column3086" dataCellStyle="Normal 2"/>
    <tableColumn id="3102" xr3:uid="{FA0DC294-0E8F-4048-9901-B8F538FECDB5}" name="Column3087" dataCellStyle="Normal 2"/>
    <tableColumn id="3103" xr3:uid="{DCF1359F-D7BC-4A42-B416-7FE56D9CF082}" name="Column3088" dataCellStyle="Normal 2"/>
    <tableColumn id="3104" xr3:uid="{E52A6D99-5BE0-423B-B065-2548938CDD50}" name="Column3089" dataCellStyle="Normal 2"/>
    <tableColumn id="3105" xr3:uid="{B020F880-D854-4AD3-B932-896420732CE0}" name="Column3090" dataCellStyle="Normal 2"/>
    <tableColumn id="3106" xr3:uid="{A0615DD6-F2ED-4712-AA17-F2BE274AA3AE}" name="Column3091" dataCellStyle="Normal 2"/>
    <tableColumn id="3107" xr3:uid="{9CF67012-93C5-4372-A3ED-8F1852627D04}" name="Column3092" dataCellStyle="Normal 2"/>
    <tableColumn id="3108" xr3:uid="{815F92BB-833A-489B-BAA3-437B251C279F}" name="Column3093" dataCellStyle="Normal 2"/>
    <tableColumn id="3109" xr3:uid="{F9BE539F-ED90-4884-9C7A-26E3634A67BE}" name="Column3094" dataCellStyle="Normal 2"/>
    <tableColumn id="3110" xr3:uid="{B768F702-C481-4081-B21D-98B190E065B9}" name="Column3095" dataCellStyle="Normal 2"/>
    <tableColumn id="3111" xr3:uid="{974D0DF2-94B8-4202-8F74-719612AB46E0}" name="Column3096" dataCellStyle="Normal 2"/>
    <tableColumn id="3112" xr3:uid="{8054E185-B6B6-430E-B0FE-70B921532301}" name="Column3097" dataCellStyle="Normal 2"/>
    <tableColumn id="3113" xr3:uid="{49956BFC-62A5-4696-A17A-5CF0C00105E5}" name="Column3098" dataCellStyle="Normal 2"/>
    <tableColumn id="3114" xr3:uid="{197A5112-2EB9-4027-8EF0-91FD0DF55E4D}" name="Column3099" dataCellStyle="Normal 2"/>
    <tableColumn id="3115" xr3:uid="{98DBB8ED-C5B6-4989-B8BA-E81B65427E7A}" name="Column3100" dataCellStyle="Normal 2"/>
    <tableColumn id="3116" xr3:uid="{F3741B9B-3D48-4C4D-853C-A970A91A68D3}" name="Column3101" dataCellStyle="Normal 2"/>
    <tableColumn id="3117" xr3:uid="{372D739C-0A24-4D27-8567-47145C632C8D}" name="Column3102" dataCellStyle="Normal 2"/>
    <tableColumn id="3118" xr3:uid="{C7848445-7F81-491E-8C9C-42D755094539}" name="Column3103" dataCellStyle="Normal 2"/>
    <tableColumn id="3119" xr3:uid="{89598F3A-FB0E-4E65-9EB4-C0290A2B0C31}" name="Column3104" dataCellStyle="Normal 2"/>
    <tableColumn id="3120" xr3:uid="{C9BFB70A-788B-4306-A7FD-3A1AB6940C3A}" name="Column3105" dataCellStyle="Normal 2"/>
    <tableColumn id="3121" xr3:uid="{EEDAA089-8F65-4FE7-88ED-FCA0B8DFFD49}" name="Column3106" dataCellStyle="Normal 2"/>
    <tableColumn id="3122" xr3:uid="{AE451621-BAC7-4456-8C3E-38914EA06CE6}" name="Column3107" dataCellStyle="Normal 2"/>
    <tableColumn id="3123" xr3:uid="{CB2542A8-DAAC-42D4-87C2-12BEC0583A52}" name="Column3108" dataCellStyle="Normal 2"/>
    <tableColumn id="3124" xr3:uid="{901CEEFE-AD80-46BC-A438-BC44C98A24D2}" name="Column3109" dataCellStyle="Normal 2"/>
    <tableColumn id="3125" xr3:uid="{3D53D851-2DF9-4C36-B1EB-463FE3202FD7}" name="Column3110" dataCellStyle="Normal 2"/>
    <tableColumn id="3126" xr3:uid="{4CF0593A-F6BB-4DFA-B952-A79CA4B4B1B4}" name="Column3111" dataCellStyle="Normal 2"/>
    <tableColumn id="3127" xr3:uid="{6AB15D53-3069-44DB-BBED-39EBE6725C04}" name="Column3112" dataCellStyle="Normal 2"/>
    <tableColumn id="3128" xr3:uid="{D4E30E45-AB5C-4FDC-BDFE-4A8F072A38C3}" name="Column3113" dataCellStyle="Normal 2"/>
    <tableColumn id="3129" xr3:uid="{AD4D7BC5-3836-4AAB-91BF-812DC5DFCEF0}" name="Column3114" dataCellStyle="Normal 2"/>
    <tableColumn id="3130" xr3:uid="{B771F497-FD99-4EFB-B224-A19A036BD1F4}" name="Column3115" dataCellStyle="Normal 2"/>
    <tableColumn id="3131" xr3:uid="{B34BC131-9F29-4C97-9B05-7D2471F6A596}" name="Column3116" dataCellStyle="Normal 2"/>
    <tableColumn id="3132" xr3:uid="{6445E49C-6DF7-4143-992A-286D8727D5CE}" name="Column3117" dataCellStyle="Normal 2"/>
    <tableColumn id="3133" xr3:uid="{02513B00-1141-4C9F-B9A8-FFABC894E108}" name="Column3118" dataCellStyle="Normal 2"/>
    <tableColumn id="3134" xr3:uid="{06FBC1AD-5630-4948-8A74-15D9E005EBD6}" name="Column3119" dataCellStyle="Normal 2"/>
    <tableColumn id="3135" xr3:uid="{104BBFCF-3D18-4ECE-BEC6-CBDE611135AF}" name="Column3120" dataCellStyle="Normal 2"/>
    <tableColumn id="3136" xr3:uid="{D83E35AD-4FDE-4FDE-B589-6A65D16B68BF}" name="Column3121" dataCellStyle="Normal 2"/>
    <tableColumn id="3137" xr3:uid="{C37F7A02-CB59-4926-A7C5-2A95208C866F}" name="Column3122" dataCellStyle="Normal 2"/>
    <tableColumn id="3138" xr3:uid="{3C3E8E22-380C-41AE-98AB-0E2B57F0653E}" name="Column3123" dataCellStyle="Normal 2"/>
    <tableColumn id="3139" xr3:uid="{B6FD464A-BDFC-436C-B4B8-E18B6263F85C}" name="Column3124" dataCellStyle="Normal 2"/>
    <tableColumn id="3140" xr3:uid="{62DA19DB-1131-4E5E-980D-760DC3E58A1F}" name="Column3125" dataCellStyle="Normal 2"/>
    <tableColumn id="3141" xr3:uid="{8764AC7E-A106-4AB3-86ED-5D53935080F0}" name="Column3126" dataCellStyle="Normal 2"/>
    <tableColumn id="3142" xr3:uid="{67C325AA-1E9B-46E8-A61C-3C39327AC10E}" name="Column3127" dataCellStyle="Normal 2"/>
    <tableColumn id="3143" xr3:uid="{B03F6D75-29C0-4F09-B095-7578F4A80521}" name="Column3128" dataCellStyle="Normal 2"/>
    <tableColumn id="3144" xr3:uid="{7C67B588-16B3-4CBA-8371-22CB91C6E5E9}" name="Column3129" dataCellStyle="Normal 2"/>
    <tableColumn id="3145" xr3:uid="{969C8209-5607-44B0-A15D-F93A2088DD83}" name="Column3130" dataCellStyle="Normal 2"/>
    <tableColumn id="3146" xr3:uid="{FB687968-8BEE-4C34-9A07-B0C160ED443D}" name="Column3131" dataCellStyle="Normal 2"/>
    <tableColumn id="3147" xr3:uid="{E2A3EECF-EA35-41A8-AEFE-B287E4C68EE8}" name="Column3132" dataCellStyle="Normal 2"/>
    <tableColumn id="3148" xr3:uid="{B285A130-198F-419D-BE54-97C83299A408}" name="Column3133" dataCellStyle="Normal 2"/>
    <tableColumn id="3149" xr3:uid="{BECFA13B-1CAE-44F5-B4E4-65E87E2E39D8}" name="Column3134" dataCellStyle="Normal 2"/>
    <tableColumn id="3150" xr3:uid="{A69D8B13-2A82-4177-9B83-808C2D33DAE4}" name="Column3135" dataCellStyle="Normal 2"/>
    <tableColumn id="3151" xr3:uid="{48F461C9-7344-4EE8-B382-CF9EB9781BBC}" name="Column3136" dataCellStyle="Normal 2"/>
    <tableColumn id="3152" xr3:uid="{A803FA4B-0905-4F19-A6F3-F9B1E27548ED}" name="Column3137" dataCellStyle="Normal 2"/>
    <tableColumn id="3153" xr3:uid="{26E6C9D0-B6C1-41A9-A239-679019D78030}" name="Column3138" dataCellStyle="Normal 2"/>
    <tableColumn id="3154" xr3:uid="{7C28189D-F5D4-4BCD-82A4-80EE23B9822A}" name="Column3139" dataCellStyle="Normal 2"/>
    <tableColumn id="3155" xr3:uid="{10895415-5371-4054-9B38-CBC42ECC86F4}" name="Column3140" dataCellStyle="Normal 2"/>
    <tableColumn id="3156" xr3:uid="{13B38756-CB2B-4C08-9FF2-5AA1F170A800}" name="Column3141" dataCellStyle="Normal 2"/>
    <tableColumn id="3157" xr3:uid="{45C870E9-3A09-43F7-8E6A-7757CFC99EBA}" name="Column3142" dataCellStyle="Normal 2"/>
    <tableColumn id="3158" xr3:uid="{5ABE53D7-D010-4D99-B946-3F1D6DA2099F}" name="Column3143" dataCellStyle="Normal 2"/>
    <tableColumn id="3159" xr3:uid="{F8F73694-4DFE-4725-9195-957BF1C89F58}" name="Column3144" dataCellStyle="Normal 2"/>
    <tableColumn id="3160" xr3:uid="{5305557E-187A-4BA7-B997-B7D887030470}" name="Column3145" dataCellStyle="Normal 2"/>
    <tableColumn id="3161" xr3:uid="{6EAABB59-A7E0-4A5C-B01A-77A70C7CDB7F}" name="Column3146" dataCellStyle="Normal 2"/>
    <tableColumn id="3162" xr3:uid="{5BFCBB76-CA6F-4048-AA74-1113DABFD1A3}" name="Column3147" dataCellStyle="Normal 2"/>
    <tableColumn id="3163" xr3:uid="{FCAE1B85-B15F-453B-960F-8260D1DD5637}" name="Column3148" dataCellStyle="Normal 2"/>
    <tableColumn id="3164" xr3:uid="{D48419B7-51AE-4C51-86E4-831FDAED5EAE}" name="Column3149" dataCellStyle="Normal 2"/>
    <tableColumn id="3165" xr3:uid="{C9BE57EC-DE99-43C7-BAB5-584656266B49}" name="Column3150" dataCellStyle="Normal 2"/>
    <tableColumn id="3166" xr3:uid="{5FA2FC86-1441-488E-82B6-B2C263A33D82}" name="Column3151" dataCellStyle="Normal 2"/>
    <tableColumn id="3167" xr3:uid="{B98F6B3F-549C-4A28-BC52-09D23DD5D28A}" name="Column3152" dataCellStyle="Normal 2"/>
    <tableColumn id="3168" xr3:uid="{FD27165B-A520-4D47-8831-4999C64870EF}" name="Column3153" dataCellStyle="Normal 2"/>
    <tableColumn id="3169" xr3:uid="{80618FC3-1AF4-4CA0-84F0-633BD2627D86}" name="Column3154" dataCellStyle="Normal 2"/>
    <tableColumn id="3170" xr3:uid="{73389CE2-E26C-4A59-9066-8337F6A70837}" name="Column3155" dataCellStyle="Normal 2"/>
    <tableColumn id="3171" xr3:uid="{D45DF549-FFB4-407A-A7E4-611EE2CA0A3A}" name="Column3156" dataCellStyle="Normal 2"/>
    <tableColumn id="3172" xr3:uid="{8DCA51C6-9D8A-40A6-A72B-31A714C07D1F}" name="Column3157" dataCellStyle="Normal 2"/>
    <tableColumn id="3173" xr3:uid="{80EA74C9-251B-4E0E-9F45-2927225FC89C}" name="Column3158" dataCellStyle="Normal 2"/>
    <tableColumn id="3174" xr3:uid="{4DCC0419-C002-4851-80D1-D4C57B8048D5}" name="Column3159" dataCellStyle="Normal 2"/>
    <tableColumn id="3175" xr3:uid="{AA657D5E-99F1-4501-8067-7220518C6AEA}" name="Column3160" dataCellStyle="Normal 2"/>
    <tableColumn id="3176" xr3:uid="{D7504C51-3A59-4909-90E1-AD9547522EE9}" name="Column3161" dataCellStyle="Normal 2"/>
    <tableColumn id="3177" xr3:uid="{516AC1AF-1AC9-477A-B8FE-BF0C563AE97E}" name="Column3162" dataCellStyle="Normal 2"/>
    <tableColumn id="3178" xr3:uid="{CB50D31D-C0E6-410B-B4F6-74BCBA139FF1}" name="Column3163" dataCellStyle="Normal 2"/>
    <tableColumn id="3179" xr3:uid="{0ABFD600-F721-4408-8938-5E1EEB40B4EE}" name="Column3164" dataCellStyle="Normal 2"/>
    <tableColumn id="3180" xr3:uid="{CAFC59D6-4DBD-498E-BADE-81F2F9BE06A4}" name="Column3165" dataCellStyle="Normal 2"/>
    <tableColumn id="3181" xr3:uid="{CBF0B20B-8755-43FD-8E10-E94D64014D48}" name="Column3166" dataCellStyle="Normal 2"/>
    <tableColumn id="3182" xr3:uid="{A07DFE7D-BB86-4F54-9B09-9D729946857C}" name="Column3167" dataCellStyle="Normal 2"/>
    <tableColumn id="3183" xr3:uid="{D474165D-29B1-43DF-9D79-F508FF743D2C}" name="Column3168" dataCellStyle="Normal 2"/>
    <tableColumn id="3184" xr3:uid="{58BC8436-1625-4144-8AD2-75DE9A4C8784}" name="Column3169" dataCellStyle="Normal 2"/>
    <tableColumn id="3185" xr3:uid="{4F2B523C-B90A-43CA-8366-F8EEB5D8A48B}" name="Column3170" dataCellStyle="Normal 2"/>
    <tableColumn id="3186" xr3:uid="{13568FFF-A589-4CA0-B7C9-406EED212A9B}" name="Column3171" dataCellStyle="Normal 2"/>
    <tableColumn id="3187" xr3:uid="{929056F7-929A-40CA-8FC8-8A6B51322ADD}" name="Column3172" dataCellStyle="Normal 2"/>
    <tableColumn id="3188" xr3:uid="{416B8F9B-9C8D-4CA3-AE22-2F3E4D6611D3}" name="Column3173" dataCellStyle="Normal 2"/>
    <tableColumn id="3189" xr3:uid="{29E9EAC3-4946-4053-8F44-EB17C615367E}" name="Column3174" dataCellStyle="Normal 2"/>
    <tableColumn id="3190" xr3:uid="{64BC0941-CA47-413C-97BA-44BC964C32BB}" name="Column3175" dataCellStyle="Normal 2"/>
    <tableColumn id="3191" xr3:uid="{1F55A6AD-C850-497F-9991-6864E777DD7F}" name="Column3176" dataCellStyle="Normal 2"/>
    <tableColumn id="3192" xr3:uid="{5CF5C3C8-1D44-4D9A-A8AF-503F30F7DA05}" name="Column3177" dataCellStyle="Normal 2"/>
    <tableColumn id="3193" xr3:uid="{D119B91A-CB1A-47B0-AD99-4AC7F7CEFC3E}" name="Column3178" dataCellStyle="Normal 2"/>
    <tableColumn id="3194" xr3:uid="{D756DF18-250C-44E0-8CAF-8110BA8DECC7}" name="Column3179" dataCellStyle="Normal 2"/>
    <tableColumn id="3195" xr3:uid="{80C77908-18F3-4C16-A297-A8C866E2E15C}" name="Column3180" dataCellStyle="Normal 2"/>
    <tableColumn id="3196" xr3:uid="{A29C10C7-EE4F-4FD7-A329-16E2640E7CB0}" name="Column3181" dataCellStyle="Normal 2"/>
    <tableColumn id="3197" xr3:uid="{8D387FBF-07E9-49F2-9EDB-1927D3DCE5D3}" name="Column3182" dataCellStyle="Normal 2"/>
    <tableColumn id="3198" xr3:uid="{4ECB6780-CDD2-4D88-BBDD-D691D2CED1BD}" name="Column3183" dataCellStyle="Normal 2"/>
    <tableColumn id="3199" xr3:uid="{9C8075B0-3195-4020-911F-33AAF767EB5B}" name="Column3184" dataCellStyle="Normal 2"/>
    <tableColumn id="3200" xr3:uid="{818FCB5E-B388-4E16-8662-E25F24EC315A}" name="Column3185" dataCellStyle="Normal 2"/>
    <tableColumn id="3201" xr3:uid="{C11652EE-8406-43D5-8D49-4A457D6CCB8F}" name="Column3186" dataCellStyle="Normal 2"/>
    <tableColumn id="3202" xr3:uid="{A25FE8DD-37D2-40DF-9FB3-DB3A332865C8}" name="Column3187" dataCellStyle="Normal 2"/>
    <tableColumn id="3203" xr3:uid="{7F462994-6CD0-4025-BF29-9E1BAC84C0A7}" name="Column3188" dataCellStyle="Normal 2"/>
    <tableColumn id="3204" xr3:uid="{8EB7041E-527C-4E00-9A2C-F9F36A513082}" name="Column3189" dataCellStyle="Normal 2"/>
    <tableColumn id="3205" xr3:uid="{B1B6067E-106E-425D-8E7E-C52E4376C56E}" name="Column3190" dataCellStyle="Normal 2"/>
    <tableColumn id="3206" xr3:uid="{C8B852D6-3F2C-4C95-89A1-7EFD9E72F720}" name="Column3191" dataCellStyle="Normal 2"/>
    <tableColumn id="3207" xr3:uid="{AD7A561F-B18D-4854-99E3-FA7A313D49BE}" name="Column3192" dataCellStyle="Normal 2"/>
    <tableColumn id="3208" xr3:uid="{5F4BADB3-7D0A-4D25-9906-2A89404E920F}" name="Column3193" dataCellStyle="Normal 2"/>
    <tableColumn id="3209" xr3:uid="{86EB432D-5118-4B83-B4BA-623DE68BEAD2}" name="Column3194" dataCellStyle="Normal 2"/>
    <tableColumn id="3210" xr3:uid="{F0A6A7EE-56AC-4A7A-8691-2C899037310A}" name="Column3195" dataCellStyle="Normal 2"/>
    <tableColumn id="3211" xr3:uid="{9371119D-CB33-4A92-BC56-5FAEBC79B594}" name="Column3196" dataCellStyle="Normal 2"/>
    <tableColumn id="3212" xr3:uid="{CB018177-5AC4-4E8D-BE08-0A62AC82C264}" name="Column3197" dataCellStyle="Normal 2"/>
    <tableColumn id="3213" xr3:uid="{2BC4C135-3378-484A-8248-501759BB0702}" name="Column3198" dataCellStyle="Normal 2"/>
    <tableColumn id="3214" xr3:uid="{783AC068-732A-4D5E-9FE0-074BC5BCC458}" name="Column3199" dataCellStyle="Normal 2"/>
    <tableColumn id="3215" xr3:uid="{F95E5502-4AF0-4B12-BFC9-EEFE23AF6ABB}" name="Column3200" dataCellStyle="Normal 2"/>
    <tableColumn id="3216" xr3:uid="{2E846368-A16F-48B4-AE50-F92E7BE36254}" name="Column3201" dataCellStyle="Normal 2"/>
    <tableColumn id="3217" xr3:uid="{B190D4E2-6838-4C62-89DB-99E7D5A1B28D}" name="Column3202" dataCellStyle="Normal 2"/>
    <tableColumn id="3218" xr3:uid="{DE6ADCC3-A9E7-4D8F-86C9-0EE1111D7AF1}" name="Column3203" dataCellStyle="Normal 2"/>
    <tableColumn id="3219" xr3:uid="{D613EDE5-E9A1-4C4D-95B3-32FFAEFF5A20}" name="Column3204" dataCellStyle="Normal 2"/>
    <tableColumn id="3220" xr3:uid="{1DA134BA-B914-4CB8-905A-9A8CA4C3BC39}" name="Column3205" dataCellStyle="Normal 2"/>
    <tableColumn id="3221" xr3:uid="{8D80C15C-DB09-4DA5-BC82-AEACEA151FBF}" name="Column3206" dataCellStyle="Normal 2"/>
    <tableColumn id="3222" xr3:uid="{9B5342F3-CBB1-4C43-87EB-35B67477EBD3}" name="Column3207" dataCellStyle="Normal 2"/>
    <tableColumn id="3223" xr3:uid="{1D710587-0AD0-4AC3-9A31-CD0F173C2B94}" name="Column3208" dataCellStyle="Normal 2"/>
    <tableColumn id="3224" xr3:uid="{A6DC5701-EA6E-4F58-B2A3-0816CD6B92B2}" name="Column3209" dataCellStyle="Normal 2"/>
    <tableColumn id="3225" xr3:uid="{19334DF8-5CBD-4C2C-A803-97B28BE39E04}" name="Column3210" dataCellStyle="Normal 2"/>
    <tableColumn id="3226" xr3:uid="{E6521060-9CB2-4465-A545-2B1DE2ADEE06}" name="Column3211" dataCellStyle="Normal 2"/>
    <tableColumn id="3227" xr3:uid="{F6EFBF37-0731-4307-B911-5C77388BDC60}" name="Column3212" dataCellStyle="Normal 2"/>
    <tableColumn id="3228" xr3:uid="{25857473-AC66-4D7B-BE80-DD90BA3FA3B1}" name="Column3213" dataCellStyle="Normal 2"/>
    <tableColumn id="3229" xr3:uid="{8DF469AB-D530-4EA5-9812-2685C4877C0B}" name="Column3214" dataCellStyle="Normal 2"/>
    <tableColumn id="3230" xr3:uid="{0E08AE88-BB58-4876-A318-399C9E48C8FE}" name="Column3215" dataCellStyle="Normal 2"/>
    <tableColumn id="3231" xr3:uid="{1463FAAF-204C-4AD3-B31D-A589538006F0}" name="Column3216" dataCellStyle="Normal 2"/>
    <tableColumn id="3232" xr3:uid="{36A3C8E2-A0F5-4700-9C45-24179DFF38B0}" name="Column3217" dataCellStyle="Normal 2"/>
    <tableColumn id="3233" xr3:uid="{0E25947D-BAEE-4CD0-9FD2-AD02556F7E67}" name="Column3218" dataCellStyle="Normal 2"/>
    <tableColumn id="3234" xr3:uid="{C1578F04-1949-42CD-8A73-69933471E0CD}" name="Column3219" dataCellStyle="Normal 2"/>
    <tableColumn id="3235" xr3:uid="{FAC6DE81-9C48-49B5-AA6A-81D0A2B292E8}" name="Column3220" dataCellStyle="Normal 2"/>
    <tableColumn id="3236" xr3:uid="{FBB7B5C2-DF16-47B9-A4EF-A9654EF988E1}" name="Column3221" dataCellStyle="Normal 2"/>
    <tableColumn id="3237" xr3:uid="{8B276EF3-F290-4E1A-AE96-06E14C6ACF30}" name="Column3222" dataCellStyle="Normal 2"/>
    <tableColumn id="3238" xr3:uid="{B4D8F79E-F496-47F2-A999-3116EC70068C}" name="Column3223" dataCellStyle="Normal 2"/>
    <tableColumn id="3239" xr3:uid="{DA6C2B76-F1B6-4C1C-856D-5A644026F559}" name="Column3224" dataCellStyle="Normal 2"/>
    <tableColumn id="3240" xr3:uid="{7996B96A-A5FB-44B7-8077-8DD3CFCEBE11}" name="Column3225" dataCellStyle="Normal 2"/>
    <tableColumn id="3241" xr3:uid="{906C9B40-6B87-40BB-8F97-3CB20AA4F8E9}" name="Column3226" dataCellStyle="Normal 2"/>
    <tableColumn id="3242" xr3:uid="{85AE25CF-FB15-4A21-862A-3C7C4629D4D2}" name="Column3227" dataCellStyle="Normal 2"/>
    <tableColumn id="3243" xr3:uid="{632F1C8C-921D-44AE-BB7E-158A4F7BA1D3}" name="Column3228" dataCellStyle="Normal 2"/>
    <tableColumn id="3244" xr3:uid="{2A1A1A94-5804-4E33-A492-4B8FB43ECF02}" name="Column3229" dataCellStyle="Normal 2"/>
    <tableColumn id="3245" xr3:uid="{1406DE0A-0BA4-4B8B-8FD6-9B58FD9E8479}" name="Column3230" dataCellStyle="Normal 2"/>
    <tableColumn id="3246" xr3:uid="{A5DE6365-24EA-4EF7-9EEA-222C1D935E29}" name="Column3231" dataCellStyle="Normal 2"/>
    <tableColumn id="3247" xr3:uid="{17921538-B7AF-4950-BB1F-3E217B155CAA}" name="Column3232" dataCellStyle="Normal 2"/>
    <tableColumn id="3248" xr3:uid="{96589EB7-075C-4E60-8368-D0EE36F4E6C5}" name="Column3233" dataCellStyle="Normal 2"/>
    <tableColumn id="3249" xr3:uid="{48D75BC2-9F78-42D8-9435-740091D86E54}" name="Column3234" dataCellStyle="Normal 2"/>
    <tableColumn id="3250" xr3:uid="{15121A81-4636-49C0-AA96-9BF018F8F1B6}" name="Column3235" dataCellStyle="Normal 2"/>
    <tableColumn id="3251" xr3:uid="{8235439E-B4A0-4C44-B999-46A4D17F4ED0}" name="Column3236" dataCellStyle="Normal 2"/>
    <tableColumn id="3252" xr3:uid="{404D3C31-16F3-4E2F-82B8-FAB3BF04D461}" name="Column3237" dataCellStyle="Normal 2"/>
    <tableColumn id="3253" xr3:uid="{9BC37D42-2F1B-4875-92E1-038649EB96A5}" name="Column3238" dataCellStyle="Normal 2"/>
    <tableColumn id="3254" xr3:uid="{01BDC8CB-A823-49C5-A5E8-6F076370B184}" name="Column3239" dataCellStyle="Normal 2"/>
    <tableColumn id="3255" xr3:uid="{67606D85-27B5-4122-937E-8EA8BAAAD23F}" name="Column3240" dataCellStyle="Normal 2"/>
    <tableColumn id="3256" xr3:uid="{A49446BA-6F8A-4668-AD46-FC15820D2703}" name="Column3241" dataCellStyle="Normal 2"/>
    <tableColumn id="3257" xr3:uid="{65D566F6-AF3A-4A2D-9634-EF3F5B962596}" name="Column3242" dataCellStyle="Normal 2"/>
    <tableColumn id="3258" xr3:uid="{C0A5517D-262B-485F-8FC3-7ABF003BD0CE}" name="Column3243" dataCellStyle="Normal 2"/>
    <tableColumn id="3259" xr3:uid="{FC3074E5-FD87-40B7-8447-5FB4AC0BF640}" name="Column3244" dataCellStyle="Normal 2"/>
    <tableColumn id="3260" xr3:uid="{B5CD5068-1807-41EB-8526-0374594D22EE}" name="Column3245" dataCellStyle="Normal 2"/>
    <tableColumn id="3261" xr3:uid="{F2D158A8-303D-44F5-870F-2A00CE8798FA}" name="Column3246" dataCellStyle="Normal 2"/>
    <tableColumn id="3262" xr3:uid="{1E4C1AC0-4675-4952-B4E6-472171D36A32}" name="Column3247" dataCellStyle="Normal 2"/>
    <tableColumn id="3263" xr3:uid="{364D7055-57F9-4085-89F1-7A8067DFB928}" name="Column3248" dataCellStyle="Normal 2"/>
    <tableColumn id="3264" xr3:uid="{12BEA5CF-3561-4786-88F1-35B5CF701ADD}" name="Column3249" dataCellStyle="Normal 2"/>
    <tableColumn id="3265" xr3:uid="{07545F11-076D-46AF-AD81-7B9953EBFDEA}" name="Column3250" dataCellStyle="Normal 2"/>
    <tableColumn id="3266" xr3:uid="{A425DD0A-9091-47B3-9DBA-DC000BE9FFC6}" name="Column3251" dataCellStyle="Normal 2"/>
    <tableColumn id="3267" xr3:uid="{C8ED4C9A-8440-49A4-BEC6-8FA8AF60732A}" name="Column3252" dataCellStyle="Normal 2"/>
    <tableColumn id="3268" xr3:uid="{1DA6407B-1679-4FB5-95FB-7FEE6AB87DFD}" name="Column3253" dataCellStyle="Normal 2"/>
    <tableColumn id="3269" xr3:uid="{9B763DE0-3F45-4855-B633-DC95F6E0E5BD}" name="Column3254" dataCellStyle="Normal 2"/>
    <tableColumn id="3270" xr3:uid="{667D8DB7-3B0F-4A13-B7B5-DC9B378FBF52}" name="Column3255" dataCellStyle="Normal 2"/>
    <tableColumn id="3271" xr3:uid="{27533062-4623-4288-AB11-E01A845D548A}" name="Column3256" dataCellStyle="Normal 2"/>
    <tableColumn id="3272" xr3:uid="{E48C245C-EE52-4CA1-87E3-3BAC4D5FF5F4}" name="Column3257" dataCellStyle="Normal 2"/>
    <tableColumn id="3273" xr3:uid="{7D4839DF-662D-4DF0-A4DC-6A28B2DEC2AB}" name="Column3258" dataCellStyle="Normal 2"/>
    <tableColumn id="3274" xr3:uid="{4336457E-D074-4641-880C-714C494EA687}" name="Column3259" dataCellStyle="Normal 2"/>
    <tableColumn id="3275" xr3:uid="{03BAA706-2ED9-4641-ABED-7C4BB6611E43}" name="Column3260" dataCellStyle="Normal 2"/>
    <tableColumn id="3276" xr3:uid="{D74979EB-E29C-42E9-A97C-658FA406B2EB}" name="Column3261" dataCellStyle="Normal 2"/>
    <tableColumn id="3277" xr3:uid="{83BBAFCD-53EB-4386-BB63-5F5D3BBA1F05}" name="Column3262" dataCellStyle="Normal 2"/>
    <tableColumn id="3278" xr3:uid="{F91E3335-CB95-4D31-85BF-76B8B6B2EA76}" name="Column3263" dataCellStyle="Normal 2"/>
    <tableColumn id="3279" xr3:uid="{711A4054-AC2A-4096-AFDB-40E0768412A3}" name="Column3264" dataCellStyle="Normal 2"/>
    <tableColumn id="3280" xr3:uid="{5F78D5AB-5549-4CD8-AB00-2819551F58D2}" name="Column3265" dataCellStyle="Normal 2"/>
    <tableColumn id="3281" xr3:uid="{9E564A87-94F4-4071-92D8-55A3198BE0D3}" name="Column3266" dataCellStyle="Normal 2"/>
    <tableColumn id="3282" xr3:uid="{A8350396-00EE-456E-BE31-E7B2AE47DB8A}" name="Column3267" dataCellStyle="Normal 2"/>
    <tableColumn id="3283" xr3:uid="{9819D509-1152-4B85-993A-7F62A63914CD}" name="Column3268" dataCellStyle="Normal 2"/>
    <tableColumn id="3284" xr3:uid="{C622ADC6-E53A-4558-9AB2-5CCFC95E3C1C}" name="Column3269" dataCellStyle="Normal 2"/>
    <tableColumn id="3285" xr3:uid="{0C206ECF-A826-49F2-BCF7-65F7B3838E33}" name="Column3270" dataCellStyle="Normal 2"/>
    <tableColumn id="3286" xr3:uid="{B07501F7-4326-4FA9-BB7A-2EE2B16EBE11}" name="Column3271" dataCellStyle="Normal 2"/>
    <tableColumn id="3287" xr3:uid="{100DDAAE-A061-4DF6-8177-327810E186A1}" name="Column3272" dataCellStyle="Normal 2"/>
    <tableColumn id="3288" xr3:uid="{8EE64091-5834-4CDE-BC7B-F70D626512D1}" name="Column3273" dataCellStyle="Normal 2"/>
    <tableColumn id="3289" xr3:uid="{3DF0E183-058B-49D0-AA00-13195A3903F2}" name="Column3274" dataCellStyle="Normal 2"/>
    <tableColumn id="3290" xr3:uid="{7EFB5AB0-CF83-4A00-A3C8-2DCD87FBE929}" name="Column3275" dataCellStyle="Normal 2"/>
    <tableColumn id="3291" xr3:uid="{DB5FAED0-3AC5-4256-AA2E-E4E6EB91A5A0}" name="Column3276" dataCellStyle="Normal 2"/>
    <tableColumn id="3292" xr3:uid="{E8384840-164B-4CE4-B127-6DA0364EEA84}" name="Column3277" dataCellStyle="Normal 2"/>
    <tableColumn id="3293" xr3:uid="{F8A7B56F-7206-45B7-96B4-C4E2C27BE5AC}" name="Column3278" dataCellStyle="Normal 2"/>
    <tableColumn id="3294" xr3:uid="{D09B3D6A-0B16-4745-9B93-31BF1DA20D2A}" name="Column3279" dataCellStyle="Normal 2"/>
    <tableColumn id="3295" xr3:uid="{2605847F-D58F-44C3-95E5-2727F6D994B3}" name="Column3280" dataCellStyle="Normal 2"/>
    <tableColumn id="3296" xr3:uid="{1D3BD3D1-5A3B-461D-A38C-1900E23B4374}" name="Column3281" dataCellStyle="Normal 2"/>
    <tableColumn id="3297" xr3:uid="{777B9A34-A84D-4CA8-B37F-C0891F252B5E}" name="Column3282" dataCellStyle="Normal 2"/>
    <tableColumn id="3298" xr3:uid="{2C69464C-7F6D-4144-BE7F-3A6A613A0ACD}" name="Column3283" dataCellStyle="Normal 2"/>
    <tableColumn id="3299" xr3:uid="{D11D3B2E-B012-49AD-A8AC-EAEB792E70A9}" name="Column3284" dataCellStyle="Normal 2"/>
    <tableColumn id="3300" xr3:uid="{A69768A7-F094-4A85-A002-BF2ED989F14E}" name="Column3285" dataCellStyle="Normal 2"/>
    <tableColumn id="3301" xr3:uid="{9AE544A4-F0BF-46DF-937B-21CBF4087B68}" name="Column3286" dataCellStyle="Normal 2"/>
    <tableColumn id="3302" xr3:uid="{8DE63A8F-B2C0-453F-B77E-787FAE975574}" name="Column3287" dataCellStyle="Normal 2"/>
    <tableColumn id="3303" xr3:uid="{BBC23DFB-60E8-448A-A012-23676A6AC3D6}" name="Column3288" dataCellStyle="Normal 2"/>
    <tableColumn id="3304" xr3:uid="{F52529E7-DF0D-44E9-959B-B92FB4D14A5B}" name="Column3289" dataCellStyle="Normal 2"/>
    <tableColumn id="3305" xr3:uid="{F330D75D-E295-4963-888E-DBA32FA15A3C}" name="Column3290" dataCellStyle="Normal 2"/>
    <tableColumn id="3306" xr3:uid="{78E7DC43-A9E0-4851-9218-9AE97120E472}" name="Column3291" dataCellStyle="Normal 2"/>
    <tableColumn id="3307" xr3:uid="{7D664A4C-2B94-4C6B-809E-274345B81CF3}" name="Column3292" dataCellStyle="Normal 2"/>
    <tableColumn id="3308" xr3:uid="{49B1D017-6B1C-4563-A5D8-1E35B2575252}" name="Column3293" dataCellStyle="Normal 2"/>
    <tableColumn id="3309" xr3:uid="{0A7C1A70-8DAB-4A02-86A7-2B5ED0D6FA63}" name="Column3294" dataCellStyle="Normal 2"/>
    <tableColumn id="3310" xr3:uid="{56C7466B-5267-4A7F-A364-75007B098DC4}" name="Column3295" dataCellStyle="Normal 2"/>
    <tableColumn id="3311" xr3:uid="{C2C85190-5F07-4A8E-A5CE-CCE2C00C86B7}" name="Column3296" dataCellStyle="Normal 2"/>
    <tableColumn id="3312" xr3:uid="{D545CD92-DE1F-4339-9FC0-D9CC66FEE4C5}" name="Column3297" dataCellStyle="Normal 2"/>
    <tableColumn id="3313" xr3:uid="{F14C40EA-85AD-49CE-9EF3-4E055F895695}" name="Column3298" dataCellStyle="Normal 2"/>
    <tableColumn id="3314" xr3:uid="{650765CF-D148-4148-8F9A-F1E0E5A68B3F}" name="Column3299" dataCellStyle="Normal 2"/>
    <tableColumn id="3315" xr3:uid="{16BED8C6-1DCD-4B31-8523-6927E9E8F953}" name="Column3300" dataCellStyle="Normal 2"/>
    <tableColumn id="3316" xr3:uid="{0C728C28-EC1B-498B-9F5E-8257B04049B8}" name="Column3301" dataCellStyle="Normal 2"/>
    <tableColumn id="3317" xr3:uid="{AE7912DD-F5D4-41FE-B1F0-5FC7A405A98B}" name="Column3302" dataCellStyle="Normal 2"/>
    <tableColumn id="3318" xr3:uid="{FD807C26-9243-4863-B391-B4D95566ED72}" name="Column3303" dataCellStyle="Normal 2"/>
    <tableColumn id="3319" xr3:uid="{E0E170CE-89A0-43F8-BE37-1D720F39B958}" name="Column3304" dataCellStyle="Normal 2"/>
    <tableColumn id="3320" xr3:uid="{94540986-DE86-4117-BD08-5D8413388FDC}" name="Column3305" dataCellStyle="Normal 2"/>
    <tableColumn id="3321" xr3:uid="{C28D910D-7445-4A52-AC66-F6A4575D0AA3}" name="Column3306" dataCellStyle="Normal 2"/>
    <tableColumn id="3322" xr3:uid="{07EE443B-CDD8-4A85-8EB8-D90406771596}" name="Column3307" dataCellStyle="Normal 2"/>
    <tableColumn id="3323" xr3:uid="{00E2B538-E9A8-4B73-BEF7-D71298973DDD}" name="Column3308" dataCellStyle="Normal 2"/>
    <tableColumn id="3324" xr3:uid="{F3651023-B675-4F8A-8C5E-5B48374BC4D7}" name="Column3309" dataCellStyle="Normal 2"/>
    <tableColumn id="3325" xr3:uid="{89B33F08-81C2-4F38-ACDF-4385CEA2081F}" name="Column3310" dataCellStyle="Normal 2"/>
    <tableColumn id="3326" xr3:uid="{FDB386F5-93C1-4128-9F51-6A03C6E41390}" name="Column3311" dataCellStyle="Normal 2"/>
    <tableColumn id="3327" xr3:uid="{F57DB251-4891-4923-BC97-7E9145BE8ED4}" name="Column3312" dataCellStyle="Normal 2"/>
    <tableColumn id="3328" xr3:uid="{CF53BA78-6CE3-40FF-A431-217D6EE1F9BE}" name="Column3313" dataCellStyle="Normal 2"/>
    <tableColumn id="3329" xr3:uid="{D55674A5-B53E-4FC9-AC5C-F486105A5B56}" name="Column3314" dataCellStyle="Normal 2"/>
    <tableColumn id="3330" xr3:uid="{196E4EA3-8D19-4AFA-96DF-67786AD0A142}" name="Column3315" dataCellStyle="Normal 2"/>
    <tableColumn id="3331" xr3:uid="{8A5F54AD-6A67-4B6E-8884-1DBDADC22BBB}" name="Column3316" dataCellStyle="Normal 2"/>
    <tableColumn id="3332" xr3:uid="{03401CD8-130B-4970-90D2-5135C8C86F0E}" name="Column3317" dataCellStyle="Normal 2"/>
    <tableColumn id="3333" xr3:uid="{B8E3026F-304E-4798-A55D-B5E4AF50DCA5}" name="Column3318" dataCellStyle="Normal 2"/>
    <tableColumn id="3334" xr3:uid="{8147B7D2-F2EF-4662-9B68-06DFDC6BAE37}" name="Column3319" dataCellStyle="Normal 2"/>
    <tableColumn id="3335" xr3:uid="{9DF6724C-730E-4686-9968-6D26AE52BD55}" name="Column3320" dataCellStyle="Normal 2"/>
    <tableColumn id="3336" xr3:uid="{5EA99029-D367-405E-96AE-D8F77FA3369C}" name="Column3321" dataCellStyle="Normal 2"/>
    <tableColumn id="3337" xr3:uid="{AE1295FF-99B1-4D5E-838C-79FF0954BFAB}" name="Column3322" dataCellStyle="Normal 2"/>
    <tableColumn id="3338" xr3:uid="{0C857BE8-BC8C-402F-9B92-FFE408360B58}" name="Column3323" dataCellStyle="Normal 2"/>
    <tableColumn id="3339" xr3:uid="{A40ACFEB-469F-477A-90F2-5CC06969012F}" name="Column3324" dataCellStyle="Normal 2"/>
    <tableColumn id="3340" xr3:uid="{A4674C97-6A71-42FC-8262-8F40F63D94B1}" name="Column3325" dataCellStyle="Normal 2"/>
    <tableColumn id="3341" xr3:uid="{B74AEEE0-02DC-470B-8C19-B096DC5E44B0}" name="Column3326" dataCellStyle="Normal 2"/>
    <tableColumn id="3342" xr3:uid="{D3EC339C-F1D6-45B4-8742-5F5F799CC110}" name="Column3327" dataCellStyle="Normal 2"/>
    <tableColumn id="3343" xr3:uid="{F4185A6F-0C15-4F3F-94B4-F5BF6147BB5A}" name="Column3328" dataCellStyle="Normal 2"/>
    <tableColumn id="3344" xr3:uid="{AE5BBABB-75D3-459F-AD9D-45848265FB87}" name="Column3329" dataCellStyle="Normal 2"/>
    <tableColumn id="3345" xr3:uid="{4FF54812-383A-4062-B6F6-6657D0483375}" name="Column3330" dataCellStyle="Normal 2"/>
    <tableColumn id="3346" xr3:uid="{A853F5AA-E574-49AF-9692-00BF1AF0DB38}" name="Column3331" dataCellStyle="Normal 2"/>
    <tableColumn id="3347" xr3:uid="{DD07B042-43C9-4446-8648-961448E8D381}" name="Column3332" dataCellStyle="Normal 2"/>
    <tableColumn id="3348" xr3:uid="{4ED5D6EA-CE31-447F-B273-D3AED92FCE49}" name="Column3333" dataCellStyle="Normal 2"/>
    <tableColumn id="3349" xr3:uid="{7992B01F-0ADD-4338-8DEC-560C0627E1AE}" name="Column3334" dataCellStyle="Normal 2"/>
    <tableColumn id="3350" xr3:uid="{65FCC984-645A-4A55-8BA8-EC12DCF75C48}" name="Column3335" dataCellStyle="Normal 2"/>
    <tableColumn id="3351" xr3:uid="{DCA5946B-6E17-4951-94A2-C808DD3F38F0}" name="Column3336" dataCellStyle="Normal 2"/>
    <tableColumn id="3352" xr3:uid="{76293307-33B8-4500-8F6F-01A897B4C6AC}" name="Column3337" dataCellStyle="Normal 2"/>
    <tableColumn id="3353" xr3:uid="{A11620DC-63D6-44A7-843C-0A7C92AB999C}" name="Column3338" dataCellStyle="Normal 2"/>
    <tableColumn id="3354" xr3:uid="{9375B091-EB49-46BC-B48E-AA56493F82C5}" name="Column3339" dataCellStyle="Normal 2"/>
    <tableColumn id="3355" xr3:uid="{E0F44D9A-7D3A-4F97-A75D-AB841E2D37E3}" name="Column3340" dataCellStyle="Normal 2"/>
    <tableColumn id="3356" xr3:uid="{458282A6-FBE2-439A-8833-93519D81E74B}" name="Column3341" dataCellStyle="Normal 2"/>
    <tableColumn id="3357" xr3:uid="{7F9AA446-0917-4787-84B3-D8288514BD6B}" name="Column3342" dataCellStyle="Normal 2"/>
    <tableColumn id="3358" xr3:uid="{89ADE0D4-B06D-4760-80B6-AC62737CE114}" name="Column3343" dataCellStyle="Normal 2"/>
    <tableColumn id="3359" xr3:uid="{1CB8B365-10EB-4C4F-B60B-7E47C90504E4}" name="Column3344" dataCellStyle="Normal 2"/>
    <tableColumn id="3360" xr3:uid="{0B34DC2A-2C1A-442D-B367-67C1C4E37A02}" name="Column3345" dataCellStyle="Normal 2"/>
    <tableColumn id="3361" xr3:uid="{A8E0063F-B68F-418E-95CA-9A9EDA3FDDC0}" name="Column3346" dataCellStyle="Normal 2"/>
    <tableColumn id="3362" xr3:uid="{6A2E41E7-2B22-44E4-9E66-FFEF43A1B9FC}" name="Column3347" dataCellStyle="Normal 2"/>
    <tableColumn id="3363" xr3:uid="{450A21E4-169E-4190-AB8C-ECAA85D0C59D}" name="Column3348" dataCellStyle="Normal 2"/>
    <tableColumn id="3364" xr3:uid="{8A4903E5-51D3-4458-8C6F-06E122FEC8CB}" name="Column3349" dataCellStyle="Normal 2"/>
    <tableColumn id="3365" xr3:uid="{61644F52-C149-43D8-970E-94E5ED6AE994}" name="Column3350" dataCellStyle="Normal 2"/>
    <tableColumn id="3366" xr3:uid="{3A9213D9-6871-4A11-97B9-E3CBF9C067DB}" name="Column3351" dataCellStyle="Normal 2"/>
    <tableColumn id="3367" xr3:uid="{013C8F2A-AE08-4A0F-A8E8-A3E77C044652}" name="Column3352" dataCellStyle="Normal 2"/>
    <tableColumn id="3368" xr3:uid="{4ED9CDB1-0301-4A41-9228-997FC68DC2CD}" name="Column3353" dataCellStyle="Normal 2"/>
    <tableColumn id="3369" xr3:uid="{4D286DC8-71F2-4577-B622-33CD507A145F}" name="Column3354" dataCellStyle="Normal 2"/>
    <tableColumn id="3370" xr3:uid="{6A40DEF2-C03F-4BCF-A58E-72E019132DB2}" name="Column3355" dataCellStyle="Normal 2"/>
    <tableColumn id="3371" xr3:uid="{7640B910-254D-4171-A21C-93E22BD42463}" name="Column3356" dataCellStyle="Normal 2"/>
    <tableColumn id="3372" xr3:uid="{E33FA6E5-A4AE-4D1D-8918-7E4B5F65B9D4}" name="Column3357" dataCellStyle="Normal 2"/>
    <tableColumn id="3373" xr3:uid="{AA6518F8-5C62-4A79-BAA8-A74BB1B23F0B}" name="Column3358" dataCellStyle="Normal 2"/>
    <tableColumn id="3374" xr3:uid="{57A503AF-859A-4B83-A09D-6DE17D7FBE34}" name="Column3359" dataCellStyle="Normal 2"/>
    <tableColumn id="3375" xr3:uid="{6DC5D5C6-9F8F-4ECF-BC37-F30010A7556B}" name="Column3360" dataCellStyle="Normal 2"/>
    <tableColumn id="3376" xr3:uid="{6679C33D-B5BB-4533-A34A-736CA77909D9}" name="Column3361" dataCellStyle="Normal 2"/>
    <tableColumn id="3377" xr3:uid="{69C71786-7C16-4FF9-BB7F-C085EB91CF42}" name="Column3362" dataCellStyle="Normal 2"/>
    <tableColumn id="3378" xr3:uid="{410A46F0-F0FE-4C68-8FD5-ED3B11527DC1}" name="Column3363" dataCellStyle="Normal 2"/>
    <tableColumn id="3379" xr3:uid="{6435BB77-8397-4679-8166-2F2CCB74CDB6}" name="Column3364" dataCellStyle="Normal 2"/>
    <tableColumn id="3380" xr3:uid="{3F0EA208-49ED-4D75-AF37-BCFB33F43636}" name="Column3365" dataCellStyle="Normal 2"/>
    <tableColumn id="3381" xr3:uid="{A32C1CF6-0C86-4DF8-9DC9-88CE853E4E17}" name="Column3366" dataCellStyle="Normal 2"/>
    <tableColumn id="3382" xr3:uid="{B0AE69D8-8442-4BC0-BD6E-602255AF4971}" name="Column3367" dataCellStyle="Normal 2"/>
    <tableColumn id="3383" xr3:uid="{7778D7D5-A54C-4558-9568-2F484FB9E2A3}" name="Column3368" dataCellStyle="Normal 2"/>
    <tableColumn id="3384" xr3:uid="{9DE71711-D0C8-40A4-97C2-7D939F9ACE55}" name="Column3369" dataCellStyle="Normal 2"/>
    <tableColumn id="3385" xr3:uid="{4046444D-87E4-4490-AE1F-1B42204F2B92}" name="Column3370" dataCellStyle="Normal 2"/>
    <tableColumn id="3386" xr3:uid="{98AA3664-874E-49CF-AE3C-6234C550335A}" name="Column3371" dataCellStyle="Normal 2"/>
    <tableColumn id="3387" xr3:uid="{C24C851F-A255-417F-BB7E-A7CC4C52BD0C}" name="Column3372" dataCellStyle="Normal 2"/>
    <tableColumn id="3388" xr3:uid="{59CDA995-5195-414A-8122-11FF65F277F3}" name="Column3373" dataCellStyle="Normal 2"/>
    <tableColumn id="3389" xr3:uid="{87211863-05FF-4CE0-BA00-D7FE19E01C4E}" name="Column3374" dataCellStyle="Normal 2"/>
    <tableColumn id="3390" xr3:uid="{834D7239-EB0D-4180-B358-059F14C46411}" name="Column3375" dataCellStyle="Normal 2"/>
    <tableColumn id="3391" xr3:uid="{E75FB827-5A06-4DD4-A614-C5CA7A6B437A}" name="Column3376" dataCellStyle="Normal 2"/>
    <tableColumn id="3392" xr3:uid="{C71B9825-5EFE-4F9A-A5A9-861E0E62F910}" name="Column3377" dataCellStyle="Normal 2"/>
    <tableColumn id="3393" xr3:uid="{50790B94-1886-4EC6-BADC-BC0EAA2EFA29}" name="Column3378" dataCellStyle="Normal 2"/>
    <tableColumn id="3394" xr3:uid="{75F85481-3C3C-4EA5-B03A-A4D1DEDDEB24}" name="Column3379" dataCellStyle="Normal 2"/>
    <tableColumn id="3395" xr3:uid="{A62B6C64-2CE4-4F33-9DA3-17CA22B108C9}" name="Column3380" dataCellStyle="Normal 2"/>
    <tableColumn id="3396" xr3:uid="{F1747F90-07E0-42AA-BE15-54FD84BAA611}" name="Column3381" dataCellStyle="Normal 2"/>
    <tableColumn id="3397" xr3:uid="{9F0E69DF-C032-4EAA-ADEB-0F77AEB3E7B6}" name="Column3382" dataCellStyle="Normal 2"/>
    <tableColumn id="3398" xr3:uid="{50045C2D-8B08-4E0A-B73E-9599F74A304B}" name="Column3383" dataCellStyle="Normal 2"/>
    <tableColumn id="3399" xr3:uid="{88B28938-82D4-4852-88F6-7D34799E6D97}" name="Column3384" dataCellStyle="Normal 2"/>
    <tableColumn id="3400" xr3:uid="{8BD59C9E-3DEE-4B52-9654-FF4E18B6A8F2}" name="Column3385" dataCellStyle="Normal 2"/>
    <tableColumn id="3401" xr3:uid="{CA941823-1E05-4FCA-BD3B-901231FEB3B9}" name="Column3386" dataCellStyle="Normal 2"/>
    <tableColumn id="3402" xr3:uid="{13B3D205-207E-4D1E-BF34-43577D0EA31C}" name="Column3387" dataCellStyle="Normal 2"/>
    <tableColumn id="3403" xr3:uid="{F801F596-03B0-4D0D-9C35-5B3EF3B463E6}" name="Column3388" dataCellStyle="Normal 2"/>
    <tableColumn id="3404" xr3:uid="{B4E710A3-7187-426F-AB83-49AEC0F8CA4E}" name="Column3389" dataCellStyle="Normal 2"/>
    <tableColumn id="3405" xr3:uid="{93B3D649-3C78-468E-8619-19F824A2DD88}" name="Column3390" dataCellStyle="Normal 2"/>
    <tableColumn id="3406" xr3:uid="{39E4619F-FA35-40F2-BBFC-43E128B19393}" name="Column3391" dataCellStyle="Normal 2"/>
    <tableColumn id="3407" xr3:uid="{6739BC3F-2B47-457F-9221-4B7A1CD29F72}" name="Column3392" dataCellStyle="Normal 2"/>
    <tableColumn id="3408" xr3:uid="{8A3CE093-59C9-4B31-B615-5F537CF02C7C}" name="Column3393" dataCellStyle="Normal 2"/>
    <tableColumn id="3409" xr3:uid="{70A6A466-F68E-4B16-9FAE-95F1739B4D38}" name="Column3394" dataCellStyle="Normal 2"/>
    <tableColumn id="3410" xr3:uid="{A757EC9D-8143-4AC0-B55B-866F266BC329}" name="Column3395" dataCellStyle="Normal 2"/>
    <tableColumn id="3411" xr3:uid="{630DC439-2EC5-48D5-BAA9-B43A34B5A393}" name="Column3396" dataCellStyle="Normal 2"/>
    <tableColumn id="3412" xr3:uid="{9307244A-7E93-4AB6-A508-B7B9CD1E2CCA}" name="Column3397" dataCellStyle="Normal 2"/>
    <tableColumn id="3413" xr3:uid="{3554A68C-E1E4-433D-8B63-6E95D5CF124E}" name="Column3398" dataCellStyle="Normal 2"/>
    <tableColumn id="3414" xr3:uid="{B49D2C6D-C7F1-481F-8613-62FE0DBD2636}" name="Column3399" dataCellStyle="Normal 2"/>
    <tableColumn id="3415" xr3:uid="{FC585EBB-DDE7-4A5A-8C5F-53561C3F51CD}" name="Column3400" dataCellStyle="Normal 2"/>
    <tableColumn id="3416" xr3:uid="{6B392947-CC03-40E3-8866-DC39F794F7F8}" name="Column3401" dataCellStyle="Normal 2"/>
    <tableColumn id="3417" xr3:uid="{71B99B98-9C83-4045-80D0-5F8414E29422}" name="Column3402" dataCellStyle="Normal 2"/>
    <tableColumn id="3418" xr3:uid="{55D0EC83-D903-4981-8909-0D7F1FE0FD7E}" name="Column3403" dataCellStyle="Normal 2"/>
    <tableColumn id="3419" xr3:uid="{63AB1BFC-33CA-4E99-96BA-65C7386711EF}" name="Column3404" dataCellStyle="Normal 2"/>
    <tableColumn id="3420" xr3:uid="{2C11A744-6D56-4141-A3C4-66F95BEF72B3}" name="Column3405" dataCellStyle="Normal 2"/>
    <tableColumn id="3421" xr3:uid="{06F4BBFF-CEC8-4004-96AB-3AB5887F8FD7}" name="Column3406" dataCellStyle="Normal 2"/>
    <tableColumn id="3422" xr3:uid="{A9977F41-BEAC-4FCA-AED4-54787542FCDE}" name="Column3407" dataCellStyle="Normal 2"/>
    <tableColumn id="3423" xr3:uid="{DAAD007A-DE81-451C-B264-E19822F3FF99}" name="Column3408" dataCellStyle="Normal 2"/>
    <tableColumn id="3424" xr3:uid="{D64ADD0A-8E0F-47A4-B459-6008EC230033}" name="Column3409" dataCellStyle="Normal 2"/>
    <tableColumn id="3425" xr3:uid="{0ABEADE6-5144-486D-BFA8-69A32E1C31EE}" name="Column3410" dataCellStyle="Normal 2"/>
    <tableColumn id="3426" xr3:uid="{FF94C2D2-73E8-47FF-8D14-C4A8EAA3162D}" name="Column3411" dataCellStyle="Normal 2"/>
    <tableColumn id="3427" xr3:uid="{A89901EC-82E3-4B4B-BD72-4F074B0321B9}" name="Column3412" dataCellStyle="Normal 2"/>
    <tableColumn id="3428" xr3:uid="{580B8141-BD69-4CFB-8F77-8EBCAF50F37A}" name="Column3413" dataCellStyle="Normal 2"/>
    <tableColumn id="3429" xr3:uid="{1B971127-587C-48B5-A6D8-C09B4E26CDEF}" name="Column3414" dataCellStyle="Normal 2"/>
    <tableColumn id="3430" xr3:uid="{EEFA3354-62EC-4B9B-89F2-B656F43AB3CF}" name="Column3415" dataCellStyle="Normal 2"/>
    <tableColumn id="3431" xr3:uid="{F364D218-CF84-427C-A341-2C186390722F}" name="Column3416" dataCellStyle="Normal 2"/>
    <tableColumn id="3432" xr3:uid="{5AC15983-D6BF-4C66-8520-45AF9473879F}" name="Column3417" dataCellStyle="Normal 2"/>
    <tableColumn id="3433" xr3:uid="{19ED892C-B606-4072-BFAF-19FD704AFC2D}" name="Column3418" dataCellStyle="Normal 2"/>
    <tableColumn id="3434" xr3:uid="{6E344F53-A6A2-4410-A549-CAB90DA0F538}" name="Column3419" dataCellStyle="Normal 2"/>
    <tableColumn id="3435" xr3:uid="{F6F1E297-813A-47C6-8F5C-C571FB0BF257}" name="Column3420" dataCellStyle="Normal 2"/>
    <tableColumn id="3436" xr3:uid="{AD543AF9-EF4C-4747-9E1B-DFE6B921F6D1}" name="Column3421" dataCellStyle="Normal 2"/>
    <tableColumn id="3437" xr3:uid="{23CE6881-A528-4DBD-8CC8-262FD7EF465E}" name="Column3422" dataCellStyle="Normal 2"/>
    <tableColumn id="3438" xr3:uid="{AA2BB190-FDDB-46D6-871D-126FF38C8013}" name="Column3423" dataCellStyle="Normal 2"/>
    <tableColumn id="3439" xr3:uid="{73F9C2F5-C895-45EE-A542-6EE2E6A870BA}" name="Column3424" dataCellStyle="Normal 2"/>
    <tableColumn id="3440" xr3:uid="{F8071735-51C7-4FAB-9EDA-601CE76D60FE}" name="Column3425" dataCellStyle="Normal 2"/>
    <tableColumn id="3441" xr3:uid="{166E54F6-B391-4C18-B1AB-01E07E8C389C}" name="Column3426" dataCellStyle="Normal 2"/>
    <tableColumn id="3442" xr3:uid="{7BB7ED7B-3797-4CAB-843E-8CB9484675F9}" name="Column3427" dataCellStyle="Normal 2"/>
    <tableColumn id="3443" xr3:uid="{6040BDEC-9C77-4214-A8AE-3D850907D1C9}" name="Column3428" dataCellStyle="Normal 2"/>
    <tableColumn id="3444" xr3:uid="{00207BF1-23A6-46B3-905D-00584E16B9E6}" name="Column3429" dataCellStyle="Normal 2"/>
    <tableColumn id="3445" xr3:uid="{811B9ADD-0F53-4076-9FBF-3EF2E182CB0C}" name="Column3430" dataCellStyle="Normal 2"/>
    <tableColumn id="3446" xr3:uid="{276BFB1A-BF5E-4D02-882C-65B9D1791439}" name="Column3431" dataCellStyle="Normal 2"/>
    <tableColumn id="3447" xr3:uid="{9D5A327A-3A4D-4CEE-ABE5-B73922038D23}" name="Column3432" dataCellStyle="Normal 2"/>
    <tableColumn id="3448" xr3:uid="{8DB666E0-7428-446E-A24D-24305743AE7D}" name="Column3433" dataCellStyle="Normal 2"/>
    <tableColumn id="3449" xr3:uid="{0E259365-1E24-4DAE-A9D1-B548420F98E7}" name="Column3434" dataCellStyle="Normal 2"/>
    <tableColumn id="3450" xr3:uid="{E2A893F5-2ACE-49B3-80AD-1252806B6A40}" name="Column3435" dataCellStyle="Normal 2"/>
    <tableColumn id="3451" xr3:uid="{1CE378AF-28D3-4382-BAC8-D343796C28E2}" name="Column3436" dataCellStyle="Normal 2"/>
    <tableColumn id="3452" xr3:uid="{EB2C9DAA-DA02-40E3-AD4B-21C2243C9F65}" name="Column3437" dataCellStyle="Normal 2"/>
    <tableColumn id="3453" xr3:uid="{9CBF6E61-B00D-497E-B5D8-986CCB57C182}" name="Column3438" dataCellStyle="Normal 2"/>
    <tableColumn id="3454" xr3:uid="{B1651AA5-4923-496B-AFB4-C4B08B8C975D}" name="Column3439" dataCellStyle="Normal 2"/>
    <tableColumn id="3455" xr3:uid="{FD53E073-A0CB-4A05-992A-13C74846BC42}" name="Column3440" dataCellStyle="Normal 2"/>
    <tableColumn id="3456" xr3:uid="{AB40C2B1-CA9F-4D3D-ADB7-94D17426F33C}" name="Column3441" dataCellStyle="Normal 2"/>
    <tableColumn id="3457" xr3:uid="{C1E6BCF1-81DC-4EC1-AF66-8FC20CF8C271}" name="Column3442" dataCellStyle="Normal 2"/>
    <tableColumn id="3458" xr3:uid="{C03BD526-8F23-45C1-8B47-8A1FB6D4D0A2}" name="Column3443" dataCellStyle="Normal 2"/>
    <tableColumn id="3459" xr3:uid="{D478AA3A-1702-47CF-9954-CBFD2FD9A42F}" name="Column3444" dataCellStyle="Normal 2"/>
    <tableColumn id="3460" xr3:uid="{8EC4EE9C-1352-422D-8C03-1BE769255C06}" name="Column3445" dataCellStyle="Normal 2"/>
    <tableColumn id="3461" xr3:uid="{5854DAB4-5502-4068-AD51-C46B2ADD6055}" name="Column3446" dataCellStyle="Normal 2"/>
    <tableColumn id="3462" xr3:uid="{6B8CF954-39AC-41BF-9636-4AC4D27E3641}" name="Column3447" dataCellStyle="Normal 2"/>
    <tableColumn id="3463" xr3:uid="{64B73FC6-D1AE-4C66-ACFE-52EA8F90B233}" name="Column3448" dataCellStyle="Normal 2"/>
    <tableColumn id="3464" xr3:uid="{AB237A92-F786-4E20-8FD7-819EE700BA8A}" name="Column3449" dataCellStyle="Normal 2"/>
    <tableColumn id="3465" xr3:uid="{9F9EEEB1-ADE9-47AB-B18F-BC7092A83A9C}" name="Column3450" dataCellStyle="Normal 2"/>
    <tableColumn id="3466" xr3:uid="{3A35D293-A7D9-43E0-BF1F-048A7183142C}" name="Column3451" dataCellStyle="Normal 2"/>
    <tableColumn id="3467" xr3:uid="{3D8365AC-99CA-435F-BD44-D4256791D104}" name="Column3452" dataCellStyle="Normal 2"/>
    <tableColumn id="3468" xr3:uid="{CE8907D0-B40C-40F4-80F4-9BF8FDE31D5F}" name="Column3453" dataCellStyle="Normal 2"/>
    <tableColumn id="3469" xr3:uid="{7BCB0D0C-87C3-4320-97CD-B66B2CA9F157}" name="Column3454" dataCellStyle="Normal 2"/>
    <tableColumn id="3470" xr3:uid="{907A6F2B-AF64-4F98-9F6B-4370CF66C6B1}" name="Column3455" dataCellStyle="Normal 2"/>
    <tableColumn id="3471" xr3:uid="{8EB607AD-2A19-4DF4-A7DC-A8C3A8302C73}" name="Column3456" dataCellStyle="Normal 2"/>
    <tableColumn id="3472" xr3:uid="{066D8F59-099C-4766-AED0-12EEB0E720ED}" name="Column3457" dataCellStyle="Normal 2"/>
    <tableColumn id="3473" xr3:uid="{3234102F-1495-4401-90BA-9AE0F9AE34FC}" name="Column3458" dataCellStyle="Normal 2"/>
    <tableColumn id="3474" xr3:uid="{F3081C3E-F3EC-4C9C-90F1-F9398B11630C}" name="Column3459" dataCellStyle="Normal 2"/>
    <tableColumn id="3475" xr3:uid="{14074962-843A-4E84-BFFC-04C5AB64B66D}" name="Column3460" dataCellStyle="Normal 2"/>
    <tableColumn id="3476" xr3:uid="{C7704221-65C5-45B2-93A2-AA9F1A43F4A8}" name="Column3461" dataCellStyle="Normal 2"/>
    <tableColumn id="3477" xr3:uid="{3DE3EBCB-050F-4A79-B8CC-529DA89889E3}" name="Column3462" dataCellStyle="Normal 2"/>
    <tableColumn id="3478" xr3:uid="{2A6B5FE7-347E-4F9F-90BE-93159D1253BA}" name="Column3463" dataCellStyle="Normal 2"/>
    <tableColumn id="3479" xr3:uid="{453E8296-3A8A-419A-8452-D7C5327CFE16}" name="Column3464" dataCellStyle="Normal 2"/>
    <tableColumn id="3480" xr3:uid="{5B8806DB-B030-4221-82B6-864A4B7CD1CC}" name="Column3465" dataCellStyle="Normal 2"/>
    <tableColumn id="3481" xr3:uid="{5DB02C14-07F6-428A-83D5-CFC8CEA41AD7}" name="Column3466" dataCellStyle="Normal 2"/>
    <tableColumn id="3482" xr3:uid="{0D4E6E2B-9C74-44B3-8CAC-96623D7DC91E}" name="Column3467" dataCellStyle="Normal 2"/>
    <tableColumn id="3483" xr3:uid="{9A21E582-DEAA-47F2-BEFB-AC9E56C0F56F}" name="Column3468" dataCellStyle="Normal 2"/>
    <tableColumn id="3484" xr3:uid="{1A82BB0B-9F4D-477B-8A0E-7E956FD7579E}" name="Column3469" dataCellStyle="Normal 2"/>
    <tableColumn id="3485" xr3:uid="{CFF5397F-A682-467E-8A37-288AA69CAEC0}" name="Column3470" dataCellStyle="Normal 2"/>
    <tableColumn id="3486" xr3:uid="{54CCCB75-359F-48B8-AC30-81CB2D3DF060}" name="Column3471" dataCellStyle="Normal 2"/>
    <tableColumn id="3487" xr3:uid="{28B0A11B-8849-4C94-A27E-88552257D390}" name="Column3472" dataCellStyle="Normal 2"/>
    <tableColumn id="3488" xr3:uid="{9580D293-8C4B-4770-A755-C042632426D6}" name="Column3473" dataCellStyle="Normal 2"/>
    <tableColumn id="3489" xr3:uid="{D9B637A6-16DC-4044-9C74-850DB1E3FC32}" name="Column3474" dataCellStyle="Normal 2"/>
    <tableColumn id="3490" xr3:uid="{537571FA-D781-4E1D-9A77-21C14ECF8169}" name="Column3475" dataCellStyle="Normal 2"/>
    <tableColumn id="3491" xr3:uid="{C2C90D43-D247-4905-81AD-98CFD4D42458}" name="Column3476" dataCellStyle="Normal 2"/>
    <tableColumn id="3492" xr3:uid="{E268706E-5AF7-4864-B52E-EB7D528B0A33}" name="Column3477" dataCellStyle="Normal 2"/>
    <tableColumn id="3493" xr3:uid="{C522599B-09E1-4EAD-BCD6-FE1ADF89D9EC}" name="Column3478" dataCellStyle="Normal 2"/>
    <tableColumn id="3494" xr3:uid="{A3E7A3F0-F8A6-474A-8FE4-E0585CFF25D6}" name="Column3479" dataCellStyle="Normal 2"/>
    <tableColumn id="3495" xr3:uid="{EA029DCC-02EA-4EA0-BB57-2733A87454CE}" name="Column3480" dataCellStyle="Normal 2"/>
    <tableColumn id="3496" xr3:uid="{961A1F35-B814-469C-B645-DC77BFD05D0A}" name="Column3481" dataCellStyle="Normal 2"/>
    <tableColumn id="3497" xr3:uid="{112D5951-6AC9-4F7D-8338-58D6EF1325C0}" name="Column3482" dataCellStyle="Normal 2"/>
    <tableColumn id="3498" xr3:uid="{5B8C9027-A3D5-455D-8A95-CE3460B599BC}" name="Column3483" dataCellStyle="Normal 2"/>
    <tableColumn id="3499" xr3:uid="{1A327C8F-4A19-407B-9303-E4943F4251A0}" name="Column3484" dataCellStyle="Normal 2"/>
    <tableColumn id="3500" xr3:uid="{68160180-39AB-4C5D-8FD7-10FFE231D581}" name="Column3485" dataCellStyle="Normal 2"/>
    <tableColumn id="3501" xr3:uid="{0BAE89C9-595F-4561-B681-C1A23E50F388}" name="Column3486" dataCellStyle="Normal 2"/>
    <tableColumn id="3502" xr3:uid="{950DA545-4035-4E8D-9DCA-20F86E702A79}" name="Column3487" dataCellStyle="Normal 2"/>
    <tableColumn id="3503" xr3:uid="{A8FB9F0A-E292-4067-B491-673D40625A62}" name="Column3488" dataCellStyle="Normal 2"/>
    <tableColumn id="3504" xr3:uid="{E82F4FBD-2F65-424A-85A5-31F0732717D6}" name="Column3489" dataCellStyle="Normal 2"/>
    <tableColumn id="3505" xr3:uid="{A1C01C81-9C48-478A-A7BF-38ADD0D4B53B}" name="Column3490" dataCellStyle="Normal 2"/>
    <tableColumn id="3506" xr3:uid="{4DD51DEF-3816-4942-A291-899914809BC9}" name="Column3491" dataCellStyle="Normal 2"/>
    <tableColumn id="3507" xr3:uid="{A4FA7687-CB2C-4250-AAC0-AF4E53F259AE}" name="Column3492" dataCellStyle="Normal 2"/>
    <tableColumn id="3508" xr3:uid="{44114143-FFB1-432C-B7F6-6386593D3DA2}" name="Column3493" dataCellStyle="Normal 2"/>
    <tableColumn id="3509" xr3:uid="{6533114C-2D7B-4531-95C8-01EA88643077}" name="Column3494" dataCellStyle="Normal 2"/>
    <tableColumn id="3510" xr3:uid="{4B69B178-8E04-487C-9A09-D8D142EDDEDF}" name="Column3495" dataCellStyle="Normal 2"/>
    <tableColumn id="3511" xr3:uid="{50F7FB02-5FFE-464E-851E-044FF412148D}" name="Column3496" dataCellStyle="Normal 2"/>
    <tableColumn id="3512" xr3:uid="{C1BE6A55-A0CC-4094-9902-CDC6DE71BADE}" name="Column3497" dataCellStyle="Normal 2"/>
    <tableColumn id="3513" xr3:uid="{8B8A25B1-EF31-4CAD-9002-F862B1511422}" name="Column3498" dataCellStyle="Normal 2"/>
    <tableColumn id="3514" xr3:uid="{3CFB59B1-6825-45C2-8AEB-89C27C486F98}" name="Column3499" dataCellStyle="Normal 2"/>
    <tableColumn id="3515" xr3:uid="{D3CDFCF0-B7DF-4C0A-8149-1B72C96CDDEC}" name="Column3500" dataCellStyle="Normal 2"/>
    <tableColumn id="3516" xr3:uid="{BAD51471-3C8E-4DD1-878F-0182B2D858D9}" name="Column3501" dataCellStyle="Normal 2"/>
    <tableColumn id="3517" xr3:uid="{7B8E1F6D-FDB5-494A-B809-DCEA13D58989}" name="Column3502" dataCellStyle="Normal 2"/>
    <tableColumn id="3518" xr3:uid="{1696338C-F4A5-4395-B097-11AE7130EF57}" name="Column3503" dataCellStyle="Normal 2"/>
    <tableColumn id="3519" xr3:uid="{2EE1F487-D8BE-4AF6-88F9-9A31F2CA6348}" name="Column3504" dataCellStyle="Normal 2"/>
    <tableColumn id="3520" xr3:uid="{2A58701E-F60D-4B59-9B0E-E1AB752C9262}" name="Column3505" dataCellStyle="Normal 2"/>
    <tableColumn id="3521" xr3:uid="{E7BE0FCE-901A-47CE-B273-064181264076}" name="Column3506" dataCellStyle="Normal 2"/>
    <tableColumn id="3522" xr3:uid="{1798A807-F050-4B4E-BCDE-9C721C4ED16E}" name="Column3507" dataCellStyle="Normal 2"/>
    <tableColumn id="3523" xr3:uid="{3D7C3292-376D-4D4F-B788-D4160C040937}" name="Column3508" dataCellStyle="Normal 2"/>
    <tableColumn id="3524" xr3:uid="{719FAEB6-167A-4B3F-9D09-FE4E8B286F75}" name="Column3509" dataCellStyle="Normal 2"/>
    <tableColumn id="3525" xr3:uid="{95FC6DFE-2C32-4673-9257-5E30A55E0D75}" name="Column3510" dataCellStyle="Normal 2"/>
    <tableColumn id="3526" xr3:uid="{5CEAA7B5-27D8-4510-B648-0EF6118A8EC8}" name="Column3511" dataCellStyle="Normal 2"/>
    <tableColumn id="3527" xr3:uid="{D7D7A3D1-C70F-4B0E-90FA-3D536451F859}" name="Column3512" dataCellStyle="Normal 2"/>
    <tableColumn id="3528" xr3:uid="{4FAC09BA-FFB0-4BF4-8C38-CF43510DD460}" name="Column3513" dataCellStyle="Normal 2"/>
    <tableColumn id="3529" xr3:uid="{86AFB314-0B5E-4CE8-A8B6-A3158D3C4C2F}" name="Column3514" dataCellStyle="Normal 2"/>
    <tableColumn id="3530" xr3:uid="{5167990A-8E23-4065-8268-BA123717A149}" name="Column3515" dataCellStyle="Normal 2"/>
    <tableColumn id="3531" xr3:uid="{886551D5-8113-4C58-AFB7-28EFBC69F034}" name="Column3516" dataCellStyle="Normal 2"/>
    <tableColumn id="3532" xr3:uid="{BFF708CF-B0EB-4593-9D68-BF0A62D4B352}" name="Column3517" dataCellStyle="Normal 2"/>
    <tableColumn id="3533" xr3:uid="{B20201F8-F239-4E2F-9243-CDD8810F5F22}" name="Column3518" dataCellStyle="Normal 2"/>
    <tableColumn id="3534" xr3:uid="{3ACBF70C-11DB-4D95-9991-F4E74AB655F3}" name="Column3519" dataCellStyle="Normal 2"/>
    <tableColumn id="3535" xr3:uid="{A38FCB2F-6738-446D-A4A0-CCA761054175}" name="Column3520" dataCellStyle="Normal 2"/>
    <tableColumn id="3536" xr3:uid="{6F6379D9-BA57-4EAB-8ADD-2FCC53D88EDA}" name="Column3521" dataCellStyle="Normal 2"/>
    <tableColumn id="3537" xr3:uid="{97C79317-0018-4DA6-BB35-01127AF1CB78}" name="Column3522" dataCellStyle="Normal 2"/>
    <tableColumn id="3538" xr3:uid="{940653CC-B882-4076-85AD-59F2EC9E3D84}" name="Column3523" dataCellStyle="Normal 2"/>
    <tableColumn id="3539" xr3:uid="{8B621CF9-34F7-4151-B8AB-96BFB525618B}" name="Column3524" dataCellStyle="Normal 2"/>
    <tableColumn id="3540" xr3:uid="{D302301F-09F7-4E91-A6EC-DC4B7E0321B9}" name="Column3525" dataCellStyle="Normal 2"/>
    <tableColumn id="3541" xr3:uid="{54ED8E55-E447-4A4C-8290-30873C031514}" name="Column3526" dataCellStyle="Normal 2"/>
    <tableColumn id="3542" xr3:uid="{AF2E4836-7E8E-4451-ACFE-192B6E88F880}" name="Column3527" dataCellStyle="Normal 2"/>
    <tableColumn id="3543" xr3:uid="{0B7F1831-439B-42F1-B29D-B96469174FB9}" name="Column3528" dataCellStyle="Normal 2"/>
    <tableColumn id="3544" xr3:uid="{61B47780-07C3-456A-95B2-8186D842A2B0}" name="Column3529" dataCellStyle="Normal 2"/>
    <tableColumn id="3545" xr3:uid="{70292D94-736A-4A13-AE7A-C35B99167D0A}" name="Column3530" dataCellStyle="Normal 2"/>
    <tableColumn id="3546" xr3:uid="{1C381DB0-4DD6-497A-B281-9321EEBBA5EA}" name="Column3531" dataCellStyle="Normal 2"/>
    <tableColumn id="3547" xr3:uid="{FD247EDA-47C4-4861-9FF2-BD7A016FFB02}" name="Column3532" dataCellStyle="Normal 2"/>
    <tableColumn id="3548" xr3:uid="{E03B4CE9-001F-4A72-9421-7B2DCEE63083}" name="Column3533" dataCellStyle="Normal 2"/>
    <tableColumn id="3549" xr3:uid="{B1667520-DD61-4ADF-9678-7F91E3093FEC}" name="Column3534" dataCellStyle="Normal 2"/>
    <tableColumn id="3550" xr3:uid="{A0DD3E9B-44BC-47A0-80B7-8B1EB6915638}" name="Column3535" dataCellStyle="Normal 2"/>
    <tableColumn id="3551" xr3:uid="{68281E4E-D461-4630-BAAE-1B00547600C0}" name="Column3536" dataCellStyle="Normal 2"/>
    <tableColumn id="3552" xr3:uid="{2B9936B3-DEC5-48E0-9AE4-D8B3F9C267DD}" name="Column3537" dataCellStyle="Normal 2"/>
    <tableColumn id="3553" xr3:uid="{1821CA83-25EC-45AE-B410-F98F7BC8353E}" name="Column3538" dataCellStyle="Normal 2"/>
    <tableColumn id="3554" xr3:uid="{BD91AF1E-7AC9-4F4A-84DF-0E29DF602B35}" name="Column3539" dataCellStyle="Normal 2"/>
    <tableColumn id="3555" xr3:uid="{65FB279C-DBA3-489C-9E71-296C59BAE1C0}" name="Column3540" dataCellStyle="Normal 2"/>
    <tableColumn id="3556" xr3:uid="{6F7312EF-6C9D-40E3-A822-78C3661B7A33}" name="Column3541" dataCellStyle="Normal 2"/>
    <tableColumn id="3557" xr3:uid="{E47D8BCB-A619-45D4-BEC3-BB6979AFC386}" name="Column3542" dataCellStyle="Normal 2"/>
    <tableColumn id="3558" xr3:uid="{856B868B-73D6-4ECD-A6C5-09571B5F8A2A}" name="Column3543" dataCellStyle="Normal 2"/>
    <tableColumn id="3559" xr3:uid="{7E6B7546-5FB0-4A78-B64D-A118BB2A0D20}" name="Column3544" dataCellStyle="Normal 2"/>
    <tableColumn id="3560" xr3:uid="{7CBD677A-4A40-46B3-81F7-B816AC0432CC}" name="Column3545" dataCellStyle="Normal 2"/>
    <tableColumn id="3561" xr3:uid="{959B801F-5419-447F-8561-91921079E277}" name="Column3546" dataCellStyle="Normal 2"/>
    <tableColumn id="3562" xr3:uid="{5522ACB6-4089-4ABE-BA6F-8657EF062D02}" name="Column3547" dataCellStyle="Normal 2"/>
    <tableColumn id="3563" xr3:uid="{5B2AA775-C825-42DD-ADCE-9F59DC2ADD6B}" name="Column3548" dataCellStyle="Normal 2"/>
    <tableColumn id="3564" xr3:uid="{A5099D5B-F917-4199-9008-630B04F9D0FE}" name="Column3549" dataCellStyle="Normal 2"/>
    <tableColumn id="3565" xr3:uid="{3582DAA1-ADCE-4024-9E6C-5CEF2B8390BA}" name="Column3550" dataCellStyle="Normal 2"/>
    <tableColumn id="3566" xr3:uid="{C0FF795A-9E72-4B7B-AB53-2B04E4CA0B1D}" name="Column3551" dataCellStyle="Normal 2"/>
    <tableColumn id="3567" xr3:uid="{B6D0A0C2-10C4-4559-9D56-CAF3C117D7A1}" name="Column3552" dataCellStyle="Normal 2"/>
    <tableColumn id="3568" xr3:uid="{076C7041-D96D-4C68-9058-BEF932523354}" name="Column3553" dataCellStyle="Normal 2"/>
    <tableColumn id="3569" xr3:uid="{681FF38A-347B-4A56-BEA8-A11D70361D6A}" name="Column3554" dataCellStyle="Normal 2"/>
    <tableColumn id="3570" xr3:uid="{1185E8EA-70E2-47D3-8704-273404551E1D}" name="Column3555" dataCellStyle="Normal 2"/>
    <tableColumn id="3571" xr3:uid="{720EDAB4-58D1-4DD1-8D08-FD50652F3DD1}" name="Column3556" dataCellStyle="Normal 2"/>
    <tableColumn id="3572" xr3:uid="{15A77CF9-9D2E-4B53-9818-EE3ED17CEB85}" name="Column3557" dataCellStyle="Normal 2"/>
    <tableColumn id="3573" xr3:uid="{9E0D726F-0259-4FB3-96C1-EE0981698FC1}" name="Column3558" dataCellStyle="Normal 2"/>
    <tableColumn id="3574" xr3:uid="{BC78A06F-7656-45C7-8237-623DCA860325}" name="Column3559" dataCellStyle="Normal 2"/>
    <tableColumn id="3575" xr3:uid="{4485AF75-633E-4AF6-A55A-F3193067662C}" name="Column3560" dataCellStyle="Normal 2"/>
    <tableColumn id="3576" xr3:uid="{BA06A952-977A-4EFC-BC07-A687C3F7C934}" name="Column3561" dataCellStyle="Normal 2"/>
    <tableColumn id="3577" xr3:uid="{874B8340-269C-44FC-99EA-CF6AAB4B93DC}" name="Column3562" dataCellStyle="Normal 2"/>
    <tableColumn id="3578" xr3:uid="{580B0C12-4294-44C9-9B6F-7D30BE1F6AB7}" name="Column3563" dataCellStyle="Normal 2"/>
    <tableColumn id="3579" xr3:uid="{CFF3CC5F-E9BC-4294-8271-52A6A01EF653}" name="Column3564" dataCellStyle="Normal 2"/>
    <tableColumn id="3580" xr3:uid="{B48258C3-F3CA-4FA2-B45D-9AFB78E41BDF}" name="Column3565" dataCellStyle="Normal 2"/>
    <tableColumn id="3581" xr3:uid="{7B5F1CFB-D5DD-446B-A7E5-13236F4EE18A}" name="Column3566" dataCellStyle="Normal 2"/>
    <tableColumn id="3582" xr3:uid="{787AA076-6926-4ACB-9ABF-74E5252E91A3}" name="Column3567" dataCellStyle="Normal 2"/>
    <tableColumn id="3583" xr3:uid="{EA77F835-B24C-44F2-9AD0-D857FF7767A0}" name="Column3568" dataCellStyle="Normal 2"/>
    <tableColumn id="3584" xr3:uid="{F271CFA6-0C53-4547-9C43-3265ECC656B3}" name="Column3569" dataCellStyle="Normal 2"/>
    <tableColumn id="3585" xr3:uid="{BDDBF01E-6A20-49DC-B07A-818CE7034643}" name="Column3570" dataCellStyle="Normal 2"/>
    <tableColumn id="3586" xr3:uid="{38E0487F-46E7-4872-B8B2-E39345F9BBB2}" name="Column3571" dataCellStyle="Normal 2"/>
    <tableColumn id="3587" xr3:uid="{8DA2C58E-1B86-4EDD-B6CC-49F906017F8F}" name="Column3572" dataCellStyle="Normal 2"/>
    <tableColumn id="3588" xr3:uid="{75EBFB24-5BBD-42A3-97AE-59A0D973537A}" name="Column3573" dataCellStyle="Normal 2"/>
    <tableColumn id="3589" xr3:uid="{CC3AD5C5-3057-4B8C-B4AB-D2F58885B86A}" name="Column3574" dataCellStyle="Normal 2"/>
    <tableColumn id="3590" xr3:uid="{394B4C0A-8AD0-4ABF-B493-4F94D0EA98F2}" name="Column3575" dataCellStyle="Normal 2"/>
    <tableColumn id="3591" xr3:uid="{999CD644-C9B1-4233-8052-774DC3317C41}" name="Column3576" dataCellStyle="Normal 2"/>
    <tableColumn id="3592" xr3:uid="{95634ACD-20F9-4F35-A09F-846F452E1DE9}" name="Column3577" dataCellStyle="Normal 2"/>
    <tableColumn id="3593" xr3:uid="{09E61EB1-78A8-40AC-B7CE-BE2D56DDCED2}" name="Column3578" dataCellStyle="Normal 2"/>
    <tableColumn id="3594" xr3:uid="{6B8B2F85-79F2-4077-989C-73E1EA42BD5E}" name="Column3579" dataCellStyle="Normal 2"/>
    <tableColumn id="3595" xr3:uid="{D38503DA-99DF-420B-B8A2-61864AE992A0}" name="Column3580" dataCellStyle="Normal 2"/>
    <tableColumn id="3596" xr3:uid="{47BF825C-CE34-4C00-B977-BEAC0F8FA190}" name="Column3581" dataCellStyle="Normal 2"/>
    <tableColumn id="3597" xr3:uid="{A2DDDF57-8727-47D7-A871-33624881D1BA}" name="Column3582" dataCellStyle="Normal 2"/>
    <tableColumn id="3598" xr3:uid="{EA855628-D27B-480F-8C5B-9AE92C2E9F82}" name="Column3583" dataCellStyle="Normal 2"/>
    <tableColumn id="3599" xr3:uid="{EA5D2867-BDE9-4C5F-9478-DA3EF19593D1}" name="Column3584" dataCellStyle="Normal 2"/>
    <tableColumn id="3600" xr3:uid="{AA3010C6-1937-40B1-8953-A115E73666EE}" name="Column3585" dataCellStyle="Normal 2"/>
    <tableColumn id="3601" xr3:uid="{111E55A8-D01E-4F9C-809A-68FEE20AA7FE}" name="Column3586" dataCellStyle="Normal 2"/>
    <tableColumn id="3602" xr3:uid="{4ADA0C15-48A2-41A5-BE6C-85B1A33B3A73}" name="Column3587" dataCellStyle="Normal 2"/>
    <tableColumn id="3603" xr3:uid="{F2FB3DD6-5591-4379-A400-348F54EB9142}" name="Column3588" dataCellStyle="Normal 2"/>
    <tableColumn id="3604" xr3:uid="{42D084FE-A1DB-49B5-8715-EEA56F6645E2}" name="Column3589" dataCellStyle="Normal 2"/>
    <tableColumn id="3605" xr3:uid="{A5A0F542-D3CE-478A-AF13-E68E656ED5BC}" name="Column3590" dataCellStyle="Normal 2"/>
    <tableColumn id="3606" xr3:uid="{4B7AE363-D030-4064-BFB7-3BFF8379A8F1}" name="Column3591" dataCellStyle="Normal 2"/>
    <tableColumn id="3607" xr3:uid="{7A8EFE29-8903-42B9-A03D-86179ECF7696}" name="Column3592" dataCellStyle="Normal 2"/>
    <tableColumn id="3608" xr3:uid="{74693D20-E7C7-49D8-9AF2-5291E250E172}" name="Column3593" dataCellStyle="Normal 2"/>
    <tableColumn id="3609" xr3:uid="{5A668745-BC2F-43A9-8B24-5639F97B1269}" name="Column3594" dataCellStyle="Normal 2"/>
    <tableColumn id="3610" xr3:uid="{178A421A-5D06-4896-99D0-BA30D00A0699}" name="Column3595" dataCellStyle="Normal 2"/>
    <tableColumn id="3611" xr3:uid="{0CF42A1C-9AD7-4FDE-A4BF-2D9BFEFDF254}" name="Column3596" dataCellStyle="Normal 2"/>
    <tableColumn id="3612" xr3:uid="{5E0BE73B-7804-4701-B305-33A6CAB0F246}" name="Column3597" dataCellStyle="Normal 2"/>
    <tableColumn id="3613" xr3:uid="{F2B19B45-C24E-4A23-B10D-14611C395BED}" name="Column3598" dataCellStyle="Normal 2"/>
    <tableColumn id="3614" xr3:uid="{17ADF5F9-E4E5-4D5A-838C-B55FC6DB299F}" name="Column3599" dataCellStyle="Normal 2"/>
    <tableColumn id="3615" xr3:uid="{F3131D9E-C8B9-442A-8D4E-879C9D64A72E}" name="Column3600" dataCellStyle="Normal 2"/>
    <tableColumn id="3616" xr3:uid="{A9E29B52-2DA0-4B4C-A67A-BC0BF8590460}" name="Column3601" dataCellStyle="Normal 2"/>
    <tableColumn id="3617" xr3:uid="{7BED04DB-19A8-4434-A989-73442CAFFE2A}" name="Column3602" dataCellStyle="Normal 2"/>
    <tableColumn id="3618" xr3:uid="{8CF902A9-C8F9-4062-A0E4-D27A12BD040A}" name="Column3603" dataCellStyle="Normal 2"/>
    <tableColumn id="3619" xr3:uid="{D4209D8F-8E66-4F7F-A86B-B2430D78C6CA}" name="Column3604" dataCellStyle="Normal 2"/>
    <tableColumn id="3620" xr3:uid="{B501D600-1093-4FF3-AE35-5C5C06EAAF60}" name="Column3605" dataCellStyle="Normal 2"/>
    <tableColumn id="3621" xr3:uid="{0020393D-8057-4320-B985-5365A654E9A8}" name="Column3606" dataCellStyle="Normal 2"/>
    <tableColumn id="3622" xr3:uid="{9CE61518-EEFD-4F5E-A13F-23C482AAE38D}" name="Column3607" dataCellStyle="Normal 2"/>
    <tableColumn id="3623" xr3:uid="{EEA7650B-00E1-4E82-913D-D03077EEA5A0}" name="Column3608" dataCellStyle="Normal 2"/>
    <tableColumn id="3624" xr3:uid="{EDD21196-D456-4E96-8880-94973E07623F}" name="Column3609" dataCellStyle="Normal 2"/>
    <tableColumn id="3625" xr3:uid="{08AC1FAD-45A5-4DCA-BBFD-6C2E7E97B041}" name="Column3610" dataCellStyle="Normal 2"/>
    <tableColumn id="3626" xr3:uid="{76F52063-586D-4C1B-BDD4-18E2415946D2}" name="Column3611" dataCellStyle="Normal 2"/>
    <tableColumn id="3627" xr3:uid="{FAFC2F73-028D-444B-9A82-72DC3D9EE6A0}" name="Column3612" dataCellStyle="Normal 2"/>
    <tableColumn id="3628" xr3:uid="{ED575BF7-1096-4177-87F4-4D7D02F1EBE5}" name="Column3613" dataCellStyle="Normal 2"/>
    <tableColumn id="3629" xr3:uid="{53712860-55AE-4192-8CD8-CFD69733A69E}" name="Column3614" dataCellStyle="Normal 2"/>
    <tableColumn id="3630" xr3:uid="{6D203ADB-6D0F-4AC7-AA13-D33C28622154}" name="Column3615" dataCellStyle="Normal 2"/>
    <tableColumn id="3631" xr3:uid="{7E83636A-A7B6-4B4E-BE9C-15ADAB3FBF45}" name="Column3616" dataCellStyle="Normal 2"/>
    <tableColumn id="3632" xr3:uid="{DBB2DD9D-5DCF-4C15-ADE7-1F767419EB2D}" name="Column3617" dataCellStyle="Normal 2"/>
    <tableColumn id="3633" xr3:uid="{2C5F30B3-DE03-4FF2-BFB2-7AFFCA7B332B}" name="Column3618" dataCellStyle="Normal 2"/>
    <tableColumn id="3634" xr3:uid="{1BCD1CB4-D044-434A-A4FE-0636155DF843}" name="Column3619" dataCellStyle="Normal 2"/>
    <tableColumn id="3635" xr3:uid="{8B4ACDBD-7077-426C-AF39-2D648DF24B75}" name="Column3620" dataCellStyle="Normal 2"/>
    <tableColumn id="3636" xr3:uid="{702F0F4C-1818-472B-96CE-EC7C2EAE981A}" name="Column3621" dataCellStyle="Normal 2"/>
    <tableColumn id="3637" xr3:uid="{070D221E-12D0-4C4B-81C5-C215C3D9A0E9}" name="Column3622" dataCellStyle="Normal 2"/>
    <tableColumn id="3638" xr3:uid="{BE3F909A-278F-4A03-871A-E2ADB4274710}" name="Column3623" dataCellStyle="Normal 2"/>
    <tableColumn id="3639" xr3:uid="{80AD479B-F4F7-4ED6-866C-A990A8DD4E49}" name="Column3624" dataCellStyle="Normal 2"/>
    <tableColumn id="3640" xr3:uid="{7FDA2E0D-B15F-45DB-A5F5-1876E77D21F0}" name="Column3625" dataCellStyle="Normal 2"/>
    <tableColumn id="3641" xr3:uid="{629B6327-1678-465C-BB8A-A5F65D0081B2}" name="Column3626" dataCellStyle="Normal 2"/>
    <tableColumn id="3642" xr3:uid="{5E73B122-EE45-4AF8-8EED-1B5B1C2E18A0}" name="Column3627" dataCellStyle="Normal 2"/>
    <tableColumn id="3643" xr3:uid="{FD995C0E-0B4C-4E92-94B3-7CA2253E5A51}" name="Column3628" dataCellStyle="Normal 2"/>
    <tableColumn id="3644" xr3:uid="{3B38F7FA-7EA7-41F9-8526-7677FF5E9ACD}" name="Column3629" dataCellStyle="Normal 2"/>
    <tableColumn id="3645" xr3:uid="{CBBBC39D-CFEF-4F7C-A432-75C7FFA54A12}" name="Column3630" dataCellStyle="Normal 2"/>
    <tableColumn id="3646" xr3:uid="{46F775D5-CFB0-4787-AA00-308E970ED3C1}" name="Column3631" dataCellStyle="Normal 2"/>
    <tableColumn id="3647" xr3:uid="{B0459923-769D-48DA-BD5E-2D5085AA1FD8}" name="Column3632" dataCellStyle="Normal 2"/>
    <tableColumn id="3648" xr3:uid="{311EE5EC-88B8-495B-A8E6-DFE453ACEFAC}" name="Column3633" dataCellStyle="Normal 2"/>
    <tableColumn id="3649" xr3:uid="{86599AE4-0D49-4B07-88D8-7D0BEC66AF30}" name="Column3634" dataCellStyle="Normal 2"/>
    <tableColumn id="3650" xr3:uid="{D67E3764-22A7-451D-9286-E631193667EB}" name="Column3635" dataCellStyle="Normal 2"/>
    <tableColumn id="3651" xr3:uid="{6F283F8C-1C62-4286-B034-505EC5DA379C}" name="Column3636" dataCellStyle="Normal 2"/>
    <tableColumn id="3652" xr3:uid="{E65DE807-13EB-4BCF-A48B-7094B6155B02}" name="Column3637" dataCellStyle="Normal 2"/>
    <tableColumn id="3653" xr3:uid="{B74E8A65-012C-4383-BAF1-E7E7860300EB}" name="Column3638" dataCellStyle="Normal 2"/>
    <tableColumn id="3654" xr3:uid="{042E7A09-8292-456C-914E-9556971533FD}" name="Column3639" dataCellStyle="Normal 2"/>
    <tableColumn id="3655" xr3:uid="{8B7B855C-3FC9-47A7-956A-A7FFB152E200}" name="Column3640" dataCellStyle="Normal 2"/>
    <tableColumn id="3656" xr3:uid="{C690ADD9-ED45-4B55-AED8-C5129FB9BBAE}" name="Column3641" dataCellStyle="Normal 2"/>
    <tableColumn id="3657" xr3:uid="{69AA7E06-C67B-48F4-B60E-C0147DF5BC1A}" name="Column3642" dataCellStyle="Normal 2"/>
    <tableColumn id="3658" xr3:uid="{770539EA-FC59-41C2-98E4-77CFA3840251}" name="Column3643" dataCellStyle="Normal 2"/>
    <tableColumn id="3659" xr3:uid="{2698F9EE-B210-4D50-B4DE-5D9825CB8B8F}" name="Column3644" dataCellStyle="Normal 2"/>
    <tableColumn id="3660" xr3:uid="{399713DE-5AA1-4B29-895B-81773E1D9B9F}" name="Column3645" dataCellStyle="Normal 2"/>
    <tableColumn id="3661" xr3:uid="{92E3F41C-2DC5-4316-9AFA-B6E1562638AD}" name="Column3646" dataCellStyle="Normal 2"/>
    <tableColumn id="3662" xr3:uid="{0F40579D-B007-4B87-860F-0114A30E2B34}" name="Column3647" dataCellStyle="Normal 2"/>
    <tableColumn id="3663" xr3:uid="{86D63ED3-287C-45E6-8120-916652E19291}" name="Column3648" dataCellStyle="Normal 2"/>
    <tableColumn id="3664" xr3:uid="{83989005-7BC4-4E58-BB88-EA4E8E9B9887}" name="Column3649" dataCellStyle="Normal 2"/>
    <tableColumn id="3665" xr3:uid="{FBD15F64-6102-4E0A-A004-82102F89B105}" name="Column3650" dataCellStyle="Normal 2"/>
    <tableColumn id="3666" xr3:uid="{3164E8EE-485C-4F6A-BF6F-11AC1EBB9665}" name="Column3651" dataCellStyle="Normal 2"/>
    <tableColumn id="3667" xr3:uid="{394797A1-CDE3-4FC1-B8AC-64F7100AD826}" name="Column3652" dataCellStyle="Normal 2"/>
    <tableColumn id="3668" xr3:uid="{02FF82F2-274F-4FE0-B02C-3D93CB6DD1CA}" name="Column3653" dataCellStyle="Normal 2"/>
    <tableColumn id="3669" xr3:uid="{9BC5FA99-CDE8-410A-9F3E-BB1EF07425CB}" name="Column3654" dataCellStyle="Normal 2"/>
    <tableColumn id="3670" xr3:uid="{E7264D57-0F58-4F48-83E2-55B1C536DC18}" name="Column3655" dataCellStyle="Normal 2"/>
    <tableColumn id="3671" xr3:uid="{8131F27C-AEF6-4D22-B3FB-D6A0DB96FB8A}" name="Column3656" dataCellStyle="Normal 2"/>
    <tableColumn id="3672" xr3:uid="{9458E0E0-B38D-4604-9B2C-6064D7990047}" name="Column3657" dataCellStyle="Normal 2"/>
    <tableColumn id="3673" xr3:uid="{DE028F57-2499-4F71-B7AC-B22C749B04D2}" name="Column3658" dataCellStyle="Normal 2"/>
    <tableColumn id="3674" xr3:uid="{D381BF4D-823D-4F1A-BBBC-33BF537F804B}" name="Column3659" dataCellStyle="Normal 2"/>
    <tableColumn id="3675" xr3:uid="{94FDCBFB-5E39-42B2-BF8E-74FFCB492BA6}" name="Column3660" dataCellStyle="Normal 2"/>
    <tableColumn id="3676" xr3:uid="{FC44477E-23A1-48EC-AC1F-AC82DCF71237}" name="Column3661" dataCellStyle="Normal 2"/>
    <tableColumn id="3677" xr3:uid="{AF1B1386-4542-4AD9-906A-15A2996FC748}" name="Column3662" dataCellStyle="Normal 2"/>
    <tableColumn id="3678" xr3:uid="{1DE4E81D-7E9A-4DF5-ADDD-F3829B14C27A}" name="Column3663" dataCellStyle="Normal 2"/>
    <tableColumn id="3679" xr3:uid="{6A2289B5-6DF1-4947-B174-7263549ECC1B}" name="Column3664" dataCellStyle="Normal 2"/>
    <tableColumn id="3680" xr3:uid="{820C4683-2892-4ACE-A255-815AC2EF15DA}" name="Column3665" dataCellStyle="Normal 2"/>
    <tableColumn id="3681" xr3:uid="{C002A6ED-A90D-423F-B0BF-4F9CDA31B39A}" name="Column3666" dataCellStyle="Normal 2"/>
    <tableColumn id="3682" xr3:uid="{C13E15A4-9F47-4A3B-8864-08D3426CFFCC}" name="Column3667" dataCellStyle="Normal 2"/>
    <tableColumn id="3683" xr3:uid="{BF7E7F8B-96B8-4F38-AEE5-0938A0C0E7CB}" name="Column3668" dataCellStyle="Normal 2"/>
    <tableColumn id="3684" xr3:uid="{B59A3A31-23BC-4F11-B438-7AB002550E9B}" name="Column3669" dataCellStyle="Normal 2"/>
    <tableColumn id="3685" xr3:uid="{C0DDAF95-4D76-4FA0-814D-533DACD764C2}" name="Column3670" dataCellStyle="Normal 2"/>
    <tableColumn id="3686" xr3:uid="{AA7110D4-FD73-4BF8-B40C-6E3B203356F0}" name="Column3671" dataCellStyle="Normal 2"/>
    <tableColumn id="3687" xr3:uid="{B7A36D06-2007-4D97-9DD5-36E4EF8D702C}" name="Column3672" dataCellStyle="Normal 2"/>
    <tableColumn id="3688" xr3:uid="{3AB0FFC9-DF97-48FB-B671-02B3BA257F83}" name="Column3673" dataCellStyle="Normal 2"/>
    <tableColumn id="3689" xr3:uid="{7907EB73-D77A-4F26-B5BB-6465E534C59B}" name="Column3674" dataCellStyle="Normal 2"/>
    <tableColumn id="3690" xr3:uid="{36086290-4214-4655-B6DB-82F7670C2490}" name="Column3675" dataCellStyle="Normal 2"/>
    <tableColumn id="3691" xr3:uid="{7B6AF60C-A582-40EB-ADFA-F1B5289DF542}" name="Column3676" dataCellStyle="Normal 2"/>
    <tableColumn id="3692" xr3:uid="{CCFAF898-C0B3-42AB-94F8-F8A3070C0216}" name="Column3677" dataCellStyle="Normal 2"/>
    <tableColumn id="3693" xr3:uid="{703A99A2-D772-4A3B-877D-A5AD0177AF04}" name="Column3678" dataCellStyle="Normal 2"/>
    <tableColumn id="3694" xr3:uid="{15326E4B-DF80-43BB-8BE4-4ADA2AB50221}" name="Column3679" dataCellStyle="Normal 2"/>
    <tableColumn id="3695" xr3:uid="{FFCAF318-159F-4DBF-A39A-CFD5F537CC6F}" name="Column3680" dataCellStyle="Normal 2"/>
    <tableColumn id="3696" xr3:uid="{57D28A9A-43DC-4A0B-8E8E-54DE2809042B}" name="Column3681" dataCellStyle="Normal 2"/>
    <tableColumn id="3697" xr3:uid="{7D95D749-50FB-43D7-AD8B-D92823A73A19}" name="Column3682" dataCellStyle="Normal 2"/>
    <tableColumn id="3698" xr3:uid="{DB6E5177-6B52-49E4-8410-0E4714E18C85}" name="Column3683" dataCellStyle="Normal 2"/>
    <tableColumn id="3699" xr3:uid="{0EF76EF7-4F51-4495-8BDF-5C7871073995}" name="Column3684" dataCellStyle="Normal 2"/>
    <tableColumn id="3700" xr3:uid="{E3CE8E27-5352-467C-8B47-C04BBBDC4065}" name="Column3685" dataCellStyle="Normal 2"/>
    <tableColumn id="3701" xr3:uid="{9874D870-EC23-4C5F-A524-D143DFA39369}" name="Column3686" dataCellStyle="Normal 2"/>
    <tableColumn id="3702" xr3:uid="{40B5A8D1-ECC1-4DDF-8196-3C498CEC8904}" name="Column3687" dataCellStyle="Normal 2"/>
    <tableColumn id="3703" xr3:uid="{4CAF2BA0-8134-4C89-8269-5C416A665101}" name="Column3688" dataCellStyle="Normal 2"/>
    <tableColumn id="3704" xr3:uid="{7F6F02B8-F7F0-489D-975F-0DE6F7E685D2}" name="Column3689" dataCellStyle="Normal 2"/>
    <tableColumn id="3705" xr3:uid="{02BFDF48-3524-4FE4-A966-CED1ADB05FA1}" name="Column3690" dataCellStyle="Normal 2"/>
    <tableColumn id="3706" xr3:uid="{AAF6E7E2-B692-4CC5-BACC-CF863FB9882E}" name="Column3691" dataCellStyle="Normal 2"/>
    <tableColumn id="3707" xr3:uid="{4D903240-C48A-41A6-B249-D9E6FE05671B}" name="Column3692" dataCellStyle="Normal 2"/>
    <tableColumn id="3708" xr3:uid="{4B3EA519-CBA2-4988-9517-9DFE4EB86E32}" name="Column3693" dataCellStyle="Normal 2"/>
    <tableColumn id="3709" xr3:uid="{47D3D75C-89F7-48C0-9316-7BE387C9EE72}" name="Column3694" dataCellStyle="Normal 2"/>
    <tableColumn id="3710" xr3:uid="{D0B1D6DE-E5D8-4402-B244-303D01E4E2C4}" name="Column3695" dataCellStyle="Normal 2"/>
    <tableColumn id="3711" xr3:uid="{5397B7C3-5E7D-4DDA-ABB3-11655DA65440}" name="Column3696" dataCellStyle="Normal 2"/>
    <tableColumn id="3712" xr3:uid="{569C067B-4FF7-4B26-989F-515AE890C536}" name="Column3697" dataCellStyle="Normal 2"/>
    <tableColumn id="3713" xr3:uid="{6A1AB592-4115-4323-9905-4579A6FED10B}" name="Column3698" dataCellStyle="Normal 2"/>
    <tableColumn id="3714" xr3:uid="{D39BDD5D-3428-4F10-BA80-86FDCD967A5E}" name="Column3699" dataCellStyle="Normal 2"/>
    <tableColumn id="3715" xr3:uid="{08501FFC-A498-4024-97E3-78E9C7696149}" name="Column3700" dataCellStyle="Normal 2"/>
    <tableColumn id="3716" xr3:uid="{10D048FD-E2D5-4FF8-8F4D-05CCE2BC283F}" name="Column3701" dataCellStyle="Normal 2"/>
    <tableColumn id="3717" xr3:uid="{4BCAE6C7-5007-4951-980F-CC94C4788D93}" name="Column3702" dataCellStyle="Normal 2"/>
    <tableColumn id="3718" xr3:uid="{8760557A-239D-467A-A432-2F5B715C675C}" name="Column3703" dataCellStyle="Normal 2"/>
    <tableColumn id="3719" xr3:uid="{9D22C233-1EE0-48EB-A65C-98D3BC2439F0}" name="Column3704" dataCellStyle="Normal 2"/>
    <tableColumn id="3720" xr3:uid="{46C6EC03-0681-4812-B3FD-AE77D448C8F6}" name="Column3705" dataCellStyle="Normal 2"/>
    <tableColumn id="3721" xr3:uid="{14F28773-EBE1-407E-89BD-1CBB92885A5A}" name="Column3706" dataCellStyle="Normal 2"/>
    <tableColumn id="3722" xr3:uid="{4C4E8813-9AC6-458C-99CA-DD1203CB6E05}" name="Column3707" dataCellStyle="Normal 2"/>
    <tableColumn id="3723" xr3:uid="{EB89C137-F1DB-4BD7-A686-500B9D67FBE7}" name="Column3708" dataCellStyle="Normal 2"/>
    <tableColumn id="3724" xr3:uid="{A8111DDB-AB20-4F69-A1F6-4D879436EAF3}" name="Column3709" dataCellStyle="Normal 2"/>
    <tableColumn id="3725" xr3:uid="{1F5F47B9-52DD-41C3-9F8E-5E1BD0DDE34B}" name="Column3710" dataCellStyle="Normal 2"/>
    <tableColumn id="3726" xr3:uid="{3B6F8162-1690-48AC-8DEB-F66743C079D8}" name="Column3711" dataCellStyle="Normal 2"/>
    <tableColumn id="3727" xr3:uid="{400C9CD7-4197-42BC-9EE0-0EFB53C187A5}" name="Column3712" dataCellStyle="Normal 2"/>
    <tableColumn id="3728" xr3:uid="{804E67D9-F90F-4CE1-90AF-602CDF57363F}" name="Column3713" dataCellStyle="Normal 2"/>
    <tableColumn id="3729" xr3:uid="{C3C02451-2A9A-4451-9E37-45524E2E0F98}" name="Column3714" dataCellStyle="Normal 2"/>
    <tableColumn id="3730" xr3:uid="{4BF83C69-7F5D-443C-B8DD-2F3FEE61D109}" name="Column3715" dataCellStyle="Normal 2"/>
    <tableColumn id="3731" xr3:uid="{46038223-AC5B-4F16-9B8A-CA8AF957770C}" name="Column3716" dataCellStyle="Normal 2"/>
    <tableColumn id="3732" xr3:uid="{DCC88143-C745-4C60-9DEC-2CE095DA51EE}" name="Column3717" dataCellStyle="Normal 2"/>
    <tableColumn id="3733" xr3:uid="{8E3CF139-6BC8-46EB-81B4-122441DFF9E6}" name="Column3718" dataCellStyle="Normal 2"/>
    <tableColumn id="3734" xr3:uid="{1FC5512F-AEBB-4416-A1B7-2DD30A8795DB}" name="Column3719" dataCellStyle="Normal 2"/>
    <tableColumn id="3735" xr3:uid="{B9B6BCAF-FBED-4D13-8F4A-04333AACDDC8}" name="Column3720" dataCellStyle="Normal 2"/>
    <tableColumn id="3736" xr3:uid="{41BF491A-B49B-4853-97F3-82A5228DFDA1}" name="Column3721" dataCellStyle="Normal 2"/>
    <tableColumn id="3737" xr3:uid="{56376243-484B-4F46-AB2D-17F1B48E9AEC}" name="Column3722" dataCellStyle="Normal 2"/>
    <tableColumn id="3738" xr3:uid="{60FDECC4-FD72-4ECF-9114-A121DB073108}" name="Column3723" dataCellStyle="Normal 2"/>
    <tableColumn id="3739" xr3:uid="{D1070FBE-95AC-4392-8FB3-F476D60F62EA}" name="Column3724" dataCellStyle="Normal 2"/>
    <tableColumn id="3740" xr3:uid="{9E844787-21CE-410D-9BB2-850E1CD94097}" name="Column3725" dataCellStyle="Normal 2"/>
    <tableColumn id="3741" xr3:uid="{E4825674-A936-48F3-ABC2-04E21DAB3BE8}" name="Column3726" dataCellStyle="Normal 2"/>
    <tableColumn id="3742" xr3:uid="{27B8809B-45AE-4303-B57A-A2FE2A61FF31}" name="Column3727" dataCellStyle="Normal 2"/>
    <tableColumn id="3743" xr3:uid="{C9200C59-05E5-4818-94FE-E03531B107CB}" name="Column3728" dataCellStyle="Normal 2"/>
    <tableColumn id="3744" xr3:uid="{F916EFB1-8038-4672-B069-3CAC368E7FDD}" name="Column3729" dataCellStyle="Normal 2"/>
    <tableColumn id="3745" xr3:uid="{4620447B-2FA4-47FE-B0B2-852D5DF1A789}" name="Column3730" dataCellStyle="Normal 2"/>
    <tableColumn id="3746" xr3:uid="{71D6A662-C00B-41D4-A178-157AACF94900}" name="Column3731" dataCellStyle="Normal 2"/>
    <tableColumn id="3747" xr3:uid="{A1F312A9-DB2A-4C00-BBD7-056997B9B048}" name="Column3732" dataCellStyle="Normal 2"/>
    <tableColumn id="3748" xr3:uid="{00C6C7A4-F507-4806-8DF2-65CD18207265}" name="Column3733" dataCellStyle="Normal 2"/>
    <tableColumn id="3749" xr3:uid="{8A374BC4-D517-4AA2-A8A5-6850131091DD}" name="Column3734" dataCellStyle="Normal 2"/>
    <tableColumn id="3750" xr3:uid="{CA07003B-3AA4-40AC-BB0E-FDA2CD993614}" name="Column3735" dataCellStyle="Normal 2"/>
    <tableColumn id="3751" xr3:uid="{B4669C4C-24DC-4851-971D-56F265A4D23B}" name="Column3736" dataCellStyle="Normal 2"/>
    <tableColumn id="3752" xr3:uid="{73F549C8-8932-45F1-81D9-C2903AA8B30F}" name="Column3737" dataCellStyle="Normal 2"/>
    <tableColumn id="3753" xr3:uid="{F4A8B6F6-3C79-4E0D-9C9E-058F07C6868F}" name="Column3738" dataCellStyle="Normal 2"/>
    <tableColumn id="3754" xr3:uid="{7FDD44A1-CF18-48A6-837B-C6985F7B687C}" name="Column3739" dataCellStyle="Normal 2"/>
    <tableColumn id="3755" xr3:uid="{DFE348D7-F142-4029-B3E1-A79A577FBDD3}" name="Column3740" dataCellStyle="Normal 2"/>
    <tableColumn id="3756" xr3:uid="{AF8DAFA5-C1EB-43C9-A8EF-8CD823683011}" name="Column3741" dataCellStyle="Normal 2"/>
    <tableColumn id="3757" xr3:uid="{D4B659A4-D93F-42AC-ABB6-2353D5B8311E}" name="Column3742" dataCellStyle="Normal 2"/>
    <tableColumn id="3758" xr3:uid="{1DB71BC5-7361-4D2C-963C-CCC69F96F84B}" name="Column3743" dataCellStyle="Normal 2"/>
    <tableColumn id="3759" xr3:uid="{B3056460-9FB6-4B38-BA65-A0E04BA3171B}" name="Column3744" dataCellStyle="Normal 2"/>
    <tableColumn id="3760" xr3:uid="{2FC7EE4D-D26D-4069-8F68-5A53E5C0643A}" name="Column3745" dataCellStyle="Normal 2"/>
    <tableColumn id="3761" xr3:uid="{BFFB249D-2B54-40AE-A639-2AAB44FC5848}" name="Column3746" dataCellStyle="Normal 2"/>
    <tableColumn id="3762" xr3:uid="{A17271F2-A213-42A1-ADF5-DEE1A54ACF61}" name="Column3747" dataCellStyle="Normal 2"/>
    <tableColumn id="3763" xr3:uid="{8E408C09-B351-488C-9592-8AA7EAD82BB1}" name="Column3748" dataCellStyle="Normal 2"/>
    <tableColumn id="3764" xr3:uid="{CDB4074B-91F1-4AFC-8E3F-24E7114CFA34}" name="Column3749" dataCellStyle="Normal 2"/>
    <tableColumn id="3765" xr3:uid="{92EB8931-EB89-4938-BEEE-90817D41D71C}" name="Column3750" dataCellStyle="Normal 2"/>
    <tableColumn id="3766" xr3:uid="{1B34957A-617E-4DC2-9A3B-F083DE62BD24}" name="Column3751" dataCellStyle="Normal 2"/>
    <tableColumn id="3767" xr3:uid="{4AEE5A3B-A31D-4734-B3AC-445C660329CC}" name="Column3752" dataCellStyle="Normal 2"/>
    <tableColumn id="3768" xr3:uid="{A3D82BF3-6B14-4052-BCF5-054A384E8ECE}" name="Column3753" dataCellStyle="Normal 2"/>
    <tableColumn id="3769" xr3:uid="{669C4BB2-25C7-4C37-8A2E-5A3B3A64AEE1}" name="Column3754" dataCellStyle="Normal 2"/>
    <tableColumn id="3770" xr3:uid="{2767BCBC-851D-4BCA-B515-97602AAB094E}" name="Column3755" dataCellStyle="Normal 2"/>
    <tableColumn id="3771" xr3:uid="{522A8310-50D6-4C9F-B5E3-03AE28ED7ECE}" name="Column3756" dataCellStyle="Normal 2"/>
    <tableColumn id="3772" xr3:uid="{9B22CE2D-7AD9-4388-990C-C4C89FEBCB0C}" name="Column3757" dataCellStyle="Normal 2"/>
    <tableColumn id="3773" xr3:uid="{851E7F9F-70A5-4082-9CC1-6A99B37D0E5F}" name="Column3758" dataCellStyle="Normal 2"/>
    <tableColumn id="3774" xr3:uid="{819485FC-CE11-45BE-B40B-9C4F48E8F0F8}" name="Column3759" dataCellStyle="Normal 2"/>
    <tableColumn id="3775" xr3:uid="{97AC707A-7070-4369-B951-6BE4787AEA98}" name="Column3760" dataCellStyle="Normal 2"/>
    <tableColumn id="3776" xr3:uid="{B6F822F3-0D44-4640-8211-4ECBB558F979}" name="Column3761" dataCellStyle="Normal 2"/>
    <tableColumn id="3777" xr3:uid="{EC68EF88-EA4D-469D-8B90-66921E3160AE}" name="Column3762" dataCellStyle="Normal 2"/>
    <tableColumn id="3778" xr3:uid="{C6BDE091-B109-40AE-B5DA-FFD5DDAAC468}" name="Column3763" dataCellStyle="Normal 2"/>
    <tableColumn id="3779" xr3:uid="{049CC922-D4DF-44AA-A1E6-97B11F9E4CCF}" name="Column3764" dataCellStyle="Normal 2"/>
    <tableColumn id="3780" xr3:uid="{A856EE91-ABDC-44DD-8ED2-0F425CC467F5}" name="Column3765" dataCellStyle="Normal 2"/>
    <tableColumn id="3781" xr3:uid="{53706668-E7FE-4E93-A661-40D8AD053608}" name="Column3766" dataCellStyle="Normal 2"/>
    <tableColumn id="3782" xr3:uid="{6C16FB59-79DD-43D1-AB5A-D14C52EC4CB5}" name="Column3767" dataCellStyle="Normal 2"/>
    <tableColumn id="3783" xr3:uid="{DB0B7235-4A3F-444B-9D4C-128BB973E22A}" name="Column3768" dataCellStyle="Normal 2"/>
    <tableColumn id="3784" xr3:uid="{358B8AFB-5CE5-4B57-BBB4-CF96646C1CE8}" name="Column3769" dataCellStyle="Normal 2"/>
    <tableColumn id="3785" xr3:uid="{5324CE00-2900-4E42-A40E-E95CC6AAA60C}" name="Column3770" dataCellStyle="Normal 2"/>
    <tableColumn id="3786" xr3:uid="{A5B591C1-7FC7-4ABD-A88F-F5203D3AD72D}" name="Column3771" dataCellStyle="Normal 2"/>
    <tableColumn id="3787" xr3:uid="{EC7FAE97-8DA9-4444-8071-B908C87CB190}" name="Column3772" dataCellStyle="Normal 2"/>
    <tableColumn id="3788" xr3:uid="{6EC9239B-5EE3-45C6-932E-7DF7E59B720C}" name="Column3773" dataCellStyle="Normal 2"/>
    <tableColumn id="3789" xr3:uid="{0EAFC634-CF97-4242-B487-33148ED2169B}" name="Column3774" dataCellStyle="Normal 2"/>
    <tableColumn id="3790" xr3:uid="{E12152C5-B2D1-442F-8737-95A07B47C4A3}" name="Column3775" dataCellStyle="Normal 2"/>
    <tableColumn id="3791" xr3:uid="{328D2BB2-A565-4B85-AEDE-204AA401DCAA}" name="Column3776" dataCellStyle="Normal 2"/>
    <tableColumn id="3792" xr3:uid="{4D60B57A-B465-4627-87E4-91B54CDD5FFC}" name="Column3777" dataCellStyle="Normal 2"/>
    <tableColumn id="3793" xr3:uid="{CA2801B4-68B3-472D-B3C5-B3490F2DE4CA}" name="Column3778" dataCellStyle="Normal 2"/>
    <tableColumn id="3794" xr3:uid="{CBFEB7B6-7341-445C-AC27-DF023AF514A6}" name="Column3779" dataCellStyle="Normal 2"/>
    <tableColumn id="3795" xr3:uid="{E74E20A8-1EAC-4EFC-B6B7-6DB746E90092}" name="Column3780" dataCellStyle="Normal 2"/>
    <tableColumn id="3796" xr3:uid="{520B545F-C5C5-49BB-8DED-36BD9A9552D0}" name="Column3781" dataCellStyle="Normal 2"/>
    <tableColumn id="3797" xr3:uid="{82C51E35-6B9D-4E64-BADD-F070ED43E9BC}" name="Column3782" dataCellStyle="Normal 2"/>
    <tableColumn id="3798" xr3:uid="{F7571F71-27B5-4A97-83D5-2ED2AF46F0B6}" name="Column3783" dataCellStyle="Normal 2"/>
    <tableColumn id="3799" xr3:uid="{5CF3773A-CF49-4612-9367-8290D0B01A61}" name="Column3784" dataCellStyle="Normal 2"/>
    <tableColumn id="3800" xr3:uid="{5F75B46B-F838-4BD6-BCDE-85FC9A3A0AF7}" name="Column3785" dataCellStyle="Normal 2"/>
    <tableColumn id="3801" xr3:uid="{6D8BEA51-57B1-40AB-B31E-360B570D04E0}" name="Column3786" dataCellStyle="Normal 2"/>
    <tableColumn id="3802" xr3:uid="{2CF45914-6A8A-4CF0-B774-66233C8F26FD}" name="Column3787" dataCellStyle="Normal 2"/>
    <tableColumn id="3803" xr3:uid="{F0D1C3D7-CBF7-46EB-93CC-9D37DD2B5A21}" name="Column3788" dataCellStyle="Normal 2"/>
    <tableColumn id="3804" xr3:uid="{E087FA25-2CCB-4295-B0C0-F721359A825E}" name="Column3789" dataCellStyle="Normal 2"/>
    <tableColumn id="3805" xr3:uid="{C0DE44B4-5E2C-40AD-8650-233BBB5CBFB3}" name="Column3790" dataCellStyle="Normal 2"/>
    <tableColumn id="3806" xr3:uid="{D1ED74BE-234D-4BB1-BAA7-C9EE3C3862AB}" name="Column3791" dataCellStyle="Normal 2"/>
    <tableColumn id="3807" xr3:uid="{EC499A01-48C5-4B0A-BF78-E33F3F5566B3}" name="Column3792" dataCellStyle="Normal 2"/>
    <tableColumn id="3808" xr3:uid="{14352D36-4E01-4EFF-8F1D-2AFBB5D2BAAD}" name="Column3793" dataCellStyle="Normal 2"/>
    <tableColumn id="3809" xr3:uid="{1B0806D2-ADB7-4C11-9AF0-11FC9B10D83E}" name="Column3794" dataCellStyle="Normal 2"/>
    <tableColumn id="3810" xr3:uid="{7B1ACDF0-E778-43EE-9655-7707AF1D96E9}" name="Column3795" dataCellStyle="Normal 2"/>
    <tableColumn id="3811" xr3:uid="{CF20B494-4A46-4A23-8C92-C0F7E0980F59}" name="Column3796" dataCellStyle="Normal 2"/>
    <tableColumn id="3812" xr3:uid="{89911475-38D6-4EF9-9D9F-F1631CF13BE4}" name="Column3797" dataCellStyle="Normal 2"/>
    <tableColumn id="3813" xr3:uid="{29D65CA7-755B-422F-8B87-F57F86628E89}" name="Column3798" dataCellStyle="Normal 2"/>
    <tableColumn id="3814" xr3:uid="{3FBF10C8-3A3A-46C8-806E-C232A4F7F66C}" name="Column3799" dataCellStyle="Normal 2"/>
    <tableColumn id="3815" xr3:uid="{9348AF23-30A9-4DE6-858E-F4F048963F51}" name="Column3800" dataCellStyle="Normal 2"/>
    <tableColumn id="3816" xr3:uid="{F56A10E5-74BC-40FF-B93C-18972E996A3E}" name="Column3801" dataCellStyle="Normal 2"/>
    <tableColumn id="3817" xr3:uid="{59978B30-F2EF-49AB-8BB7-4D74AE60618B}" name="Column3802" dataCellStyle="Normal 2"/>
    <tableColumn id="3818" xr3:uid="{918A800E-7616-46DF-9558-844B24EA9BB7}" name="Column3803" dataCellStyle="Normal 2"/>
    <tableColumn id="3819" xr3:uid="{3CB7AC5F-0ED5-4FEE-824C-767C10BB324E}" name="Column3804" dataCellStyle="Normal 2"/>
    <tableColumn id="3820" xr3:uid="{A12F590D-AFFD-4DEB-A855-5915B1ED3F09}" name="Column3805" dataCellStyle="Normal 2"/>
    <tableColumn id="3821" xr3:uid="{48CC23BD-5E86-4A8E-94ED-44AB47BA6CF4}" name="Column3806" dataCellStyle="Normal 2"/>
    <tableColumn id="3822" xr3:uid="{867EFA81-13BD-4CBA-BDBB-311E64FC69C9}" name="Column3807" dataCellStyle="Normal 2"/>
    <tableColumn id="3823" xr3:uid="{6ACD8ED8-4AA8-46FE-8FEA-0D6F0B7F9CA9}" name="Column3808" dataCellStyle="Normal 2"/>
    <tableColumn id="3824" xr3:uid="{C27CACD7-6298-4F60-BD3C-D855DB859CC2}" name="Column3809" dataCellStyle="Normal 2"/>
    <tableColumn id="3825" xr3:uid="{A5D58E59-7BF1-4F0C-A0D1-B2EE5DE8EEED}" name="Column3810" dataCellStyle="Normal 2"/>
    <tableColumn id="3826" xr3:uid="{EB91DDEF-E56F-4910-9BCA-5A9C3E2EB611}" name="Column3811" dataCellStyle="Normal 2"/>
    <tableColumn id="3827" xr3:uid="{4B10B8D9-9862-45D0-AEC1-E09106D3E8D3}" name="Column3812" dataCellStyle="Normal 2"/>
    <tableColumn id="3828" xr3:uid="{5A4DB323-A9CB-48A3-9B7F-CADA089B8FEC}" name="Column3813" dataCellStyle="Normal 2"/>
    <tableColumn id="3829" xr3:uid="{6AC2B0FA-C803-4F9D-A10A-FE623CAEE1B7}" name="Column3814" dataCellStyle="Normal 2"/>
    <tableColumn id="3830" xr3:uid="{53A3220F-752F-46ED-BB37-B0421F731A2A}" name="Column3815" dataCellStyle="Normal 2"/>
    <tableColumn id="3831" xr3:uid="{D93F558C-4FCF-4550-ABE4-8A9A3C6E92D3}" name="Column3816" dataCellStyle="Normal 2"/>
    <tableColumn id="3832" xr3:uid="{72E2DB24-6336-4574-B75B-2E68760E7484}" name="Column3817" dataCellStyle="Normal 2"/>
    <tableColumn id="3833" xr3:uid="{B8628A66-8378-4B1A-9636-DB5D36984D84}" name="Column3818" dataCellStyle="Normal 2"/>
    <tableColumn id="3834" xr3:uid="{041AB3B3-1EBD-40BF-A39F-D2C9AA9CC23B}" name="Column3819" dataCellStyle="Normal 2"/>
    <tableColumn id="3835" xr3:uid="{B812DDE0-AA69-4E27-A77C-3B53D846BF1D}" name="Column3820" dataCellStyle="Normal 2"/>
    <tableColumn id="3836" xr3:uid="{383E0975-0860-4AFD-A5C3-E35F757FE6DA}" name="Column3821" dataCellStyle="Normal 2"/>
    <tableColumn id="3837" xr3:uid="{A561904E-6568-47C3-B507-EE2684F2C5BE}" name="Column3822" dataCellStyle="Normal 2"/>
    <tableColumn id="3838" xr3:uid="{2AD66DEC-4809-4ABA-89FB-C932DAAFF965}" name="Column3823" dataCellStyle="Normal 2"/>
    <tableColumn id="3839" xr3:uid="{5C701D4D-765F-47B3-B786-E1685C6109E8}" name="Column3824" dataCellStyle="Normal 2"/>
    <tableColumn id="3840" xr3:uid="{6845D983-2588-46EC-B761-3E5280B12B4E}" name="Column3825" dataCellStyle="Normal 2"/>
    <tableColumn id="3841" xr3:uid="{7374B960-4A95-4E97-AD30-C8F0C345B517}" name="Column3826" dataCellStyle="Normal 2"/>
    <tableColumn id="3842" xr3:uid="{81B7B30A-24DF-4B16-88F2-E698072F4601}" name="Column3827" dataCellStyle="Normal 2"/>
    <tableColumn id="3843" xr3:uid="{DBD7BEFE-874C-49E1-B693-9AB1FCCAB66B}" name="Column3828" dataCellStyle="Normal 2"/>
    <tableColumn id="3844" xr3:uid="{EE22E55A-796D-4F52-89A2-2A9008F4458D}" name="Column3829" dataCellStyle="Normal 2"/>
    <tableColumn id="3845" xr3:uid="{A6809930-8DBB-4E15-AC37-8933A9112255}" name="Column3830" dataCellStyle="Normal 2"/>
    <tableColumn id="3846" xr3:uid="{364FE189-EAA5-48ED-8E32-2CCB2C9FE583}" name="Column3831" dataCellStyle="Normal 2"/>
    <tableColumn id="3847" xr3:uid="{D5777D4A-35EE-4AFD-896D-906C4A2FA074}" name="Column3832" dataCellStyle="Normal 2"/>
    <tableColumn id="3848" xr3:uid="{7F5A2803-77E4-4894-B860-A4D6CE09AB98}" name="Column3833" dataCellStyle="Normal 2"/>
    <tableColumn id="3849" xr3:uid="{3938B313-E9AA-451F-A904-EC96F02B898A}" name="Column3834" dataCellStyle="Normal 2"/>
    <tableColumn id="3850" xr3:uid="{25016967-CCAB-49CC-BAF7-6E3D00E567FA}" name="Column3835" dataCellStyle="Normal 2"/>
    <tableColumn id="3851" xr3:uid="{CEB6A028-B68D-4C31-BFF1-2A906B3F62E5}" name="Column3836" dataCellStyle="Normal 2"/>
    <tableColumn id="3852" xr3:uid="{1262434D-F7C8-449C-BC3A-6478B9C0AE2D}" name="Column3837" dataCellStyle="Normal 2"/>
    <tableColumn id="3853" xr3:uid="{C5DABDB3-0F39-4AE9-99FF-2D059C5A742B}" name="Column3838" dataCellStyle="Normal 2"/>
    <tableColumn id="3854" xr3:uid="{7C91C03F-9FCA-48C3-8EF4-090EC5E09742}" name="Column3839" dataCellStyle="Normal 2"/>
    <tableColumn id="3855" xr3:uid="{D19D3C51-0FD3-4790-8E2A-BFA98CC8E510}" name="Column3840" dataCellStyle="Normal 2"/>
    <tableColumn id="3856" xr3:uid="{4AA31EEB-DF6C-4AF0-BEE8-40C14AA022A2}" name="Column3841" dataCellStyle="Normal 2"/>
    <tableColumn id="3857" xr3:uid="{B9FC60AE-F2BE-4FF2-9F3C-A2D5593262BB}" name="Column3842" dataCellStyle="Normal 2"/>
    <tableColumn id="3858" xr3:uid="{A0012E6B-9E86-4110-A1B0-F195E7C1396D}" name="Column3843" dataCellStyle="Normal 2"/>
    <tableColumn id="3859" xr3:uid="{F17DFBA7-8BD1-4D05-8392-04003C6BDA0B}" name="Column3844" dataCellStyle="Normal 2"/>
    <tableColumn id="3860" xr3:uid="{E935A8BB-0FE9-4DC0-83F4-820B1FE507AE}" name="Column3845" dataCellStyle="Normal 2"/>
    <tableColumn id="3861" xr3:uid="{621A9D0C-2DF8-4E2B-B3C7-D13822AA4128}" name="Column3846" dataCellStyle="Normal 2"/>
    <tableColumn id="3862" xr3:uid="{65AF8811-F706-4740-B129-24A74307E344}" name="Column3847" dataCellStyle="Normal 2"/>
    <tableColumn id="3863" xr3:uid="{3E563630-3A1B-4718-9D6E-700C1BAD38FA}" name="Column3848" dataCellStyle="Normal 2"/>
    <tableColumn id="3864" xr3:uid="{BA49CED0-60DC-4BF5-82F1-EDD9AC7B10AD}" name="Column3849" dataCellStyle="Normal 2"/>
    <tableColumn id="3865" xr3:uid="{89AFD611-FA2B-4C03-B209-D3D07D3F0905}" name="Column3850" dataCellStyle="Normal 2"/>
    <tableColumn id="3866" xr3:uid="{7E6EFE17-348C-4BC0-834C-B9D1AC6B35F4}" name="Column3851" dataCellStyle="Normal 2"/>
    <tableColumn id="3867" xr3:uid="{2F9A8D45-EF4E-41B7-960E-76E47EED7AAA}" name="Column3852" dataCellStyle="Normal 2"/>
    <tableColumn id="3868" xr3:uid="{16DE8889-658B-4DDD-BE65-53D92C4EC72A}" name="Column3853" dataCellStyle="Normal 2"/>
    <tableColumn id="3869" xr3:uid="{1E1CA126-A274-4E5E-AE60-79CDC8E4720D}" name="Column3854" dataCellStyle="Normal 2"/>
    <tableColumn id="3870" xr3:uid="{5748439C-DD55-4D4F-9E8D-9D2A82F2D24D}" name="Column3855" dataCellStyle="Normal 2"/>
    <tableColumn id="3871" xr3:uid="{98AC614D-9CC0-45AE-BBCC-601506F43611}" name="Column3856" dataCellStyle="Normal 2"/>
    <tableColumn id="3872" xr3:uid="{20415328-3DD7-4888-B662-2E923AFD362A}" name="Column3857" dataCellStyle="Normal 2"/>
    <tableColumn id="3873" xr3:uid="{43875C78-0889-4CCE-A5D2-F127F6EB2867}" name="Column3858" dataCellStyle="Normal 2"/>
    <tableColumn id="3874" xr3:uid="{1732FDC5-9075-450E-9CB6-62CC5D735ECE}" name="Column3859" dataCellStyle="Normal 2"/>
    <tableColumn id="3875" xr3:uid="{4F884256-1CA6-4653-82A9-4F6A44B2661B}" name="Column3860" dataCellStyle="Normal 2"/>
    <tableColumn id="3876" xr3:uid="{E199631A-71DD-4BF3-9EC1-36B0E2E8DC86}" name="Column3861" dataCellStyle="Normal 2"/>
    <tableColumn id="3877" xr3:uid="{92ABD981-6CE7-4E15-B350-CAD845AAB06E}" name="Column3862" dataCellStyle="Normal 2"/>
    <tableColumn id="3878" xr3:uid="{4699FBBF-941F-4F80-AA59-35041B16236A}" name="Column3863" dataCellStyle="Normal 2"/>
    <tableColumn id="3879" xr3:uid="{8E481A48-828D-4359-B85B-0D76B009A034}" name="Column3864" dataCellStyle="Normal 2"/>
    <tableColumn id="3880" xr3:uid="{DD9FE19C-9EEF-4EA1-8676-1B35CEF60E76}" name="Column3865" dataCellStyle="Normal 2"/>
    <tableColumn id="3881" xr3:uid="{FDBB88F1-2CCA-47A7-B5A4-132B4D8A9D1F}" name="Column3866" dataCellStyle="Normal 2"/>
    <tableColumn id="3882" xr3:uid="{85478749-3C34-4E94-875F-13F420299805}" name="Column3867" dataCellStyle="Normal 2"/>
    <tableColumn id="3883" xr3:uid="{AB9F7140-A8A8-49EA-B014-C9C3ED06DFAE}" name="Column3868" dataCellStyle="Normal 2"/>
    <tableColumn id="3884" xr3:uid="{4D268FD0-4ECE-4A59-953E-9F13F14C83B7}" name="Column3869" dataCellStyle="Normal 2"/>
    <tableColumn id="3885" xr3:uid="{05D68981-618E-4525-842A-09D9FE6CC901}" name="Column3870" dataCellStyle="Normal 2"/>
    <tableColumn id="3886" xr3:uid="{B008FA52-7D1A-4270-AFD5-E68C17BC4C72}" name="Column3871" dataCellStyle="Normal 2"/>
    <tableColumn id="3887" xr3:uid="{9F4A3FB5-40C6-430F-8035-F3791670688C}" name="Column3872" dataCellStyle="Normal 2"/>
    <tableColumn id="3888" xr3:uid="{AD60F5D3-DE9A-45D3-ADB4-5D9025E2FD9F}" name="Column3873" dataCellStyle="Normal 2"/>
    <tableColumn id="3889" xr3:uid="{B3F6E386-7CFA-4A29-B3D9-EABBC6875D1D}" name="Column3874" dataCellStyle="Normal 2"/>
    <tableColumn id="3890" xr3:uid="{0B104897-EE7F-47FC-B168-C06664695841}" name="Column3875" dataCellStyle="Normal 2"/>
    <tableColumn id="3891" xr3:uid="{A83B0A00-FB59-467D-9D29-F30F7773BE14}" name="Column3876" dataCellStyle="Normal 2"/>
    <tableColumn id="3892" xr3:uid="{9087A1FD-40E5-4418-95C7-1348147A4AD0}" name="Column3877" dataCellStyle="Normal 2"/>
    <tableColumn id="3893" xr3:uid="{9D1D7336-7AD1-4CE3-9150-29690EE73227}" name="Column3878" dataCellStyle="Normal 2"/>
    <tableColumn id="3894" xr3:uid="{E78414C8-FCDC-4F14-A79A-969FD31EDA1D}" name="Column3879" dataCellStyle="Normal 2"/>
    <tableColumn id="3895" xr3:uid="{FE25D69B-FF20-4CBD-853A-25584087F0F5}" name="Column3880" dataCellStyle="Normal 2"/>
    <tableColumn id="3896" xr3:uid="{7E6E3E4B-E8FF-4455-A91F-A488BEFF1BCA}" name="Column3881" dataCellStyle="Normal 2"/>
    <tableColumn id="3897" xr3:uid="{89EED02D-F00F-44B4-987D-4E4F69AF852C}" name="Column3882" dataCellStyle="Normal 2"/>
    <tableColumn id="3898" xr3:uid="{F7945B56-5554-4EA9-9C35-1B03017ADE87}" name="Column3883" dataCellStyle="Normal 2"/>
    <tableColumn id="3899" xr3:uid="{3A54B834-A9C4-453F-A1A9-DF1BF8B1CA18}" name="Column3884" dataCellStyle="Normal 2"/>
    <tableColumn id="3900" xr3:uid="{9082BA3C-3188-4EF2-BCE2-EAA9148A46ED}" name="Column3885" dataCellStyle="Normal 2"/>
    <tableColumn id="3901" xr3:uid="{D5C92AA6-FF7C-404D-9D90-17B2D1CA97B8}" name="Column3886" dataCellStyle="Normal 2"/>
    <tableColumn id="3902" xr3:uid="{1AAD5936-E359-450F-8ED8-64A5A727D725}" name="Column3887" dataCellStyle="Normal 2"/>
    <tableColumn id="3903" xr3:uid="{FBAD721D-A0B4-4813-8A4D-C285B015F003}" name="Column3888" dataCellStyle="Normal 2"/>
    <tableColumn id="3904" xr3:uid="{A0C7ABC1-8F25-4B14-A676-19B27462D77D}" name="Column3889" dataCellStyle="Normal 2"/>
    <tableColumn id="3905" xr3:uid="{4AF8D7BC-5910-41EB-B0AE-6E92093E435E}" name="Column3890" dataCellStyle="Normal 2"/>
    <tableColumn id="3906" xr3:uid="{71C96AD0-D03F-4126-86AC-9DE44C20A6F5}" name="Column3891" dataCellStyle="Normal 2"/>
    <tableColumn id="3907" xr3:uid="{51CAE0D2-DC15-47E8-81B4-645A3969E399}" name="Column3892" dataCellStyle="Normal 2"/>
    <tableColumn id="3908" xr3:uid="{A41D227C-B614-446D-BD40-89D6DD856A84}" name="Column3893" dataCellStyle="Normal 2"/>
    <tableColumn id="3909" xr3:uid="{EC5ACBA9-5D95-41CB-AEA8-B0EDD616C60D}" name="Column3894" dataCellStyle="Normal 2"/>
    <tableColumn id="3910" xr3:uid="{1A99E489-81EE-4BDB-9685-18AB69C7BB80}" name="Column3895" dataCellStyle="Normal 2"/>
    <tableColumn id="3911" xr3:uid="{79E95861-25E2-45CD-9FD5-384342C9CB57}" name="Column3896" dataCellStyle="Normal 2"/>
    <tableColumn id="3912" xr3:uid="{917EE6DC-9DD0-43EB-BCE6-83F29347973C}" name="Column3897" dataCellStyle="Normal 2"/>
    <tableColumn id="3913" xr3:uid="{FD1E71F3-9B68-4C0E-ABF5-00FBE8319AC8}" name="Column3898" dataCellStyle="Normal 2"/>
    <tableColumn id="3914" xr3:uid="{1FD582C3-31C2-4AE4-B581-917020C51A3E}" name="Column3899" dataCellStyle="Normal 2"/>
    <tableColumn id="3915" xr3:uid="{54DCB15E-C80F-4FA7-9B05-70399D0816C3}" name="Column3900" dataCellStyle="Normal 2"/>
    <tableColumn id="3916" xr3:uid="{324D132E-2F2F-4F48-BDF4-C4F3B4708D35}" name="Column3901" dataCellStyle="Normal 2"/>
    <tableColumn id="3917" xr3:uid="{11274F7C-8BE7-45AE-80F0-5346427FEF38}" name="Column3902" dataCellStyle="Normal 2"/>
    <tableColumn id="3918" xr3:uid="{9384ABE6-B55D-4F57-8DCF-3A16EEE4E781}" name="Column3903" dataCellStyle="Normal 2"/>
    <tableColumn id="3919" xr3:uid="{27659186-5D8F-4298-8ABE-2BC34497028E}" name="Column3904" dataCellStyle="Normal 2"/>
    <tableColumn id="3920" xr3:uid="{122EAEDD-B07B-4211-B25E-CCF7C224A3D2}" name="Column3905" dataCellStyle="Normal 2"/>
    <tableColumn id="3921" xr3:uid="{4C36B238-1C32-47DA-A173-32E9DDD7DEF3}" name="Column3906" dataCellStyle="Normal 2"/>
    <tableColumn id="3922" xr3:uid="{F76A5BF7-89B2-4087-9959-57611030C26A}" name="Column3907" dataCellStyle="Normal 2"/>
    <tableColumn id="3923" xr3:uid="{254FEAA9-E49B-48F3-B86B-AF070FCA68A5}" name="Column3908" dataCellStyle="Normal 2"/>
    <tableColumn id="3924" xr3:uid="{F1B23134-D89E-4A3B-ACED-8706E369F239}" name="Column3909" dataCellStyle="Normal 2"/>
    <tableColumn id="3925" xr3:uid="{321D226C-67CD-4510-B620-EA4E608EAD2F}" name="Column3910" dataCellStyle="Normal 2"/>
    <tableColumn id="3926" xr3:uid="{EC0F9F7F-B93A-4814-B9C1-D00158829BFD}" name="Column3911" dataCellStyle="Normal 2"/>
    <tableColumn id="3927" xr3:uid="{1A06C0AA-90BB-4B5E-8E75-8F783A72A9A4}" name="Column3912" dataCellStyle="Normal 2"/>
    <tableColumn id="3928" xr3:uid="{A778AF2D-0F19-4956-8842-84189DDB89B0}" name="Column3913" dataCellStyle="Normal 2"/>
    <tableColumn id="3929" xr3:uid="{03D27A65-E763-47A6-AE22-CF2954919C2D}" name="Column3914" dataCellStyle="Normal 2"/>
    <tableColumn id="3930" xr3:uid="{D31FAC42-C14A-4CB0-9ABD-1DAAFABC0850}" name="Column3915" dataCellStyle="Normal 2"/>
    <tableColumn id="3931" xr3:uid="{B2482934-D032-4556-8742-A47A24009790}" name="Column3916" dataCellStyle="Normal 2"/>
    <tableColumn id="3932" xr3:uid="{D2F11DFB-8215-49C0-ACFA-2328546CBB5D}" name="Column3917" dataCellStyle="Normal 2"/>
    <tableColumn id="3933" xr3:uid="{B018DC25-4CF5-4233-BC6A-5C1362551BE3}" name="Column3918" dataCellStyle="Normal 2"/>
    <tableColumn id="3934" xr3:uid="{ADBF66A6-88F9-401A-A112-5846F20060FC}" name="Column3919" dataCellStyle="Normal 2"/>
    <tableColumn id="3935" xr3:uid="{CD1B28CC-F775-4F7B-93D3-DBEDCB8598B1}" name="Column3920" dataCellStyle="Normal 2"/>
    <tableColumn id="3936" xr3:uid="{B1FEB8AD-E379-4BE5-9F84-AEB78E804017}" name="Column3921" dataCellStyle="Normal 2"/>
    <tableColumn id="3937" xr3:uid="{F3746B04-7959-420B-A363-00AE9253802F}" name="Column3922" dataCellStyle="Normal 2"/>
    <tableColumn id="3938" xr3:uid="{23BD7A28-440B-40C2-9228-B3260E78BA3D}" name="Column3923" dataCellStyle="Normal 2"/>
    <tableColumn id="3939" xr3:uid="{7D9B4ED3-7009-4357-A38B-D5C2BF9577C3}" name="Column3924" dataCellStyle="Normal 2"/>
    <tableColumn id="3940" xr3:uid="{B5ADDBA8-5EDB-47E3-ACB4-C700540EBBBA}" name="Column3925" dataCellStyle="Normal 2"/>
    <tableColumn id="3941" xr3:uid="{7B7C8F9C-F2B1-42EA-9F56-5080EDDA9EC9}" name="Column3926" dataCellStyle="Normal 2"/>
    <tableColumn id="3942" xr3:uid="{CEF779BA-0B6B-4935-AC69-1DF669883586}" name="Column3927" dataCellStyle="Normal 2"/>
    <tableColumn id="3943" xr3:uid="{C4449F5A-168C-4FA4-950E-DAFC8B274D97}" name="Column3928" dataCellStyle="Normal 2"/>
    <tableColumn id="3944" xr3:uid="{8FBF3892-CAF9-47D1-9D79-6E0AC13E77EE}" name="Column3929" dataCellStyle="Normal 2"/>
    <tableColumn id="3945" xr3:uid="{0BB76249-EB79-45CA-9C40-5996C0811A3C}" name="Column3930" dataCellStyle="Normal 2"/>
    <tableColumn id="3946" xr3:uid="{6C030AD5-3C7F-4D54-88F5-EC2C268456D8}" name="Column3931" dataCellStyle="Normal 2"/>
    <tableColumn id="3947" xr3:uid="{8E613636-6A63-428D-A08D-0FCD1AEF1237}" name="Column3932" dataCellStyle="Normal 2"/>
    <tableColumn id="3948" xr3:uid="{82937375-74BE-4370-9EDE-6D8E3694BE27}" name="Column3933" dataCellStyle="Normal 2"/>
    <tableColumn id="3949" xr3:uid="{F71B3D9A-F91D-4C3C-BA53-DFA07C104298}" name="Column3934" dataCellStyle="Normal 2"/>
    <tableColumn id="3950" xr3:uid="{53EA15D0-00A3-4D4D-B20D-BB90F7943122}" name="Column3935" dataCellStyle="Normal 2"/>
    <tableColumn id="3951" xr3:uid="{D0E59B8F-F6A0-4E33-A485-F436ECD359B5}" name="Column3936" dataCellStyle="Normal 2"/>
    <tableColumn id="3952" xr3:uid="{54CFBBCA-5878-481A-A45C-6DE1F8D24781}" name="Column3937" dataCellStyle="Normal 2"/>
    <tableColumn id="3953" xr3:uid="{63DBBA7A-1F3A-4B30-B528-79AD8D56859A}" name="Column3938" dataCellStyle="Normal 2"/>
    <tableColumn id="3954" xr3:uid="{F60C3099-9EC4-4C5B-A5CF-38017C215BB6}" name="Column3939" dataCellStyle="Normal 2"/>
    <tableColumn id="3955" xr3:uid="{A4836A28-73E5-462D-9834-4A117FC55A79}" name="Column3940" dataCellStyle="Normal 2"/>
    <tableColumn id="3956" xr3:uid="{3E7DE933-668D-4E5C-8E63-BFD596E03193}" name="Column3941" dataCellStyle="Normal 2"/>
    <tableColumn id="3957" xr3:uid="{E0C4F324-1FC1-4E81-AA6F-0B6B278AEA52}" name="Column3942" dataCellStyle="Normal 2"/>
    <tableColumn id="3958" xr3:uid="{E5D1FD58-43EB-4764-A34B-075A8E26E80B}" name="Column3943" dataCellStyle="Normal 2"/>
    <tableColumn id="3959" xr3:uid="{EC698C01-3C00-4AD6-8BB6-C12C61D91596}" name="Column3944" dataCellStyle="Normal 2"/>
    <tableColumn id="3960" xr3:uid="{C1D5A734-7F97-4696-B4C2-C9B86DF12F0B}" name="Column3945" dataCellStyle="Normal 2"/>
    <tableColumn id="3961" xr3:uid="{97B147D0-0ABC-4DC8-B1F1-153AEFF8024E}" name="Column3946" dataCellStyle="Normal 2"/>
    <tableColumn id="3962" xr3:uid="{E267F78C-99B3-4A76-9A11-A2FB3B1BC2A5}" name="Column3947" dataCellStyle="Normal 2"/>
    <tableColumn id="3963" xr3:uid="{2733693D-925C-41CE-9B8E-1D0414FDA1AD}" name="Column3948" dataCellStyle="Normal 2"/>
    <tableColumn id="3964" xr3:uid="{B7B3D788-4B2A-439A-8546-81D687C8CDA4}" name="Column3949" dataCellStyle="Normal 2"/>
    <tableColumn id="3965" xr3:uid="{26F1C537-3B25-4C3C-A74B-8CB33207F6DD}" name="Column3950" dataCellStyle="Normal 2"/>
    <tableColumn id="3966" xr3:uid="{147FFE97-0851-4414-9E59-4FA95BE9DF91}" name="Column3951" dataCellStyle="Normal 2"/>
    <tableColumn id="3967" xr3:uid="{2D052FEA-3D85-468C-8ECD-71989413323E}" name="Column3952" dataCellStyle="Normal 2"/>
    <tableColumn id="3968" xr3:uid="{8EC0CFB0-0A23-4175-A5A6-76B1D93E9DC7}" name="Column3953" dataCellStyle="Normal 2"/>
    <tableColumn id="3969" xr3:uid="{6B7EAE78-A198-4249-A76D-C5F7636A56FA}" name="Column3954" dataCellStyle="Normal 2"/>
    <tableColumn id="3970" xr3:uid="{26375434-6114-4194-9F97-F2E72D1921DC}" name="Column3955" dataCellStyle="Normal 2"/>
    <tableColumn id="3971" xr3:uid="{A295FD56-E0B0-4DBB-BC28-987CDDDEC3E8}" name="Column3956" dataCellStyle="Normal 2"/>
    <tableColumn id="3972" xr3:uid="{3600AA82-7459-46B1-9611-FFAF40E0945D}" name="Column3957" dataCellStyle="Normal 2"/>
    <tableColumn id="3973" xr3:uid="{42361E60-BB15-4BB0-B3A0-CD87C7F3BCF7}" name="Column3958" dataCellStyle="Normal 2"/>
    <tableColumn id="3974" xr3:uid="{CF1429D7-E632-4F7C-BF1A-EE0E94F8E233}" name="Column3959" dataCellStyle="Normal 2"/>
    <tableColumn id="3975" xr3:uid="{00587A3C-93DD-41D3-B094-9E836F99D181}" name="Column3960" dataCellStyle="Normal 2"/>
    <tableColumn id="3976" xr3:uid="{53E5416E-C6E1-4986-9BB2-1427FA19D604}" name="Column3961" dataCellStyle="Normal 2"/>
    <tableColumn id="3977" xr3:uid="{44B58278-A09D-439B-8C8C-326CE14C355C}" name="Column3962" dataCellStyle="Normal 2"/>
    <tableColumn id="3978" xr3:uid="{CC5CC9D0-78F8-468C-8815-2D060424E854}" name="Column3963" dataCellStyle="Normal 2"/>
    <tableColumn id="3979" xr3:uid="{AA93D001-F785-4557-A19A-F15C51521C07}" name="Column3964" dataCellStyle="Normal 2"/>
    <tableColumn id="3980" xr3:uid="{B0F96169-B232-468A-BFC5-AD70D440E378}" name="Column3965" dataCellStyle="Normal 2"/>
    <tableColumn id="3981" xr3:uid="{39C95B86-56AE-4472-BFF9-FEA7ACA6AC1C}" name="Column3966" dataCellStyle="Normal 2"/>
    <tableColumn id="3982" xr3:uid="{8AB4B118-7AF5-4CA1-870E-B9A7BAD37392}" name="Column3967" dataCellStyle="Normal 2"/>
    <tableColumn id="3983" xr3:uid="{912625D1-B467-4E18-ADBB-B0A549E9A9CA}" name="Column3968" dataCellStyle="Normal 2"/>
    <tableColumn id="3984" xr3:uid="{6D1D4B1C-437B-43C8-B36F-8BDA6082D7D8}" name="Column3969" dataCellStyle="Normal 2"/>
    <tableColumn id="3985" xr3:uid="{BC83D385-45CC-491E-B17B-5355B63A6AFA}" name="Column3970" dataCellStyle="Normal 2"/>
    <tableColumn id="3986" xr3:uid="{2644B254-AFAA-4D31-8D95-5AC0D4F4BF83}" name="Column3971" dataCellStyle="Normal 2"/>
    <tableColumn id="3987" xr3:uid="{3B4FD76A-C8E9-4272-8119-E6354CF2E335}" name="Column3972" dataCellStyle="Normal 2"/>
    <tableColumn id="3988" xr3:uid="{089A33BE-FCF5-4DBA-925E-6F942C2DC831}" name="Column3973" dataCellStyle="Normal 2"/>
    <tableColumn id="3989" xr3:uid="{2CA90BB5-5168-4107-8279-1CB9F6BEE0F4}" name="Column3974" dataCellStyle="Normal 2"/>
    <tableColumn id="3990" xr3:uid="{873C80D0-D66E-47FB-95E2-23E77A0FC447}" name="Column3975" dataCellStyle="Normal 2"/>
    <tableColumn id="3991" xr3:uid="{FEBAE558-7B50-439D-97CB-46FFB0D30840}" name="Column3976" dataCellStyle="Normal 2"/>
    <tableColumn id="3992" xr3:uid="{9ACAEBFD-6214-48CF-8206-06F05B9B47BE}" name="Column3977" dataCellStyle="Normal 2"/>
    <tableColumn id="3993" xr3:uid="{8F0F23DC-3F71-4D62-AA8D-A15B5456C38C}" name="Column3978" dataCellStyle="Normal 2"/>
    <tableColumn id="3994" xr3:uid="{4493B59C-A593-488B-BFAC-21CC56436B07}" name="Column3979" dataCellStyle="Normal 2"/>
    <tableColumn id="3995" xr3:uid="{43A6380A-38F3-4E1D-99A6-6DB2DA6EF743}" name="Column3980" dataCellStyle="Normal 2"/>
    <tableColumn id="3996" xr3:uid="{DF1A128C-CD55-4414-8695-C0906AAA672C}" name="Column3981" dataCellStyle="Normal 2"/>
    <tableColumn id="3997" xr3:uid="{A3E0C874-3653-423A-9373-66B9D9C7DB5B}" name="Column3982" dataCellStyle="Normal 2"/>
    <tableColumn id="3998" xr3:uid="{399D8010-E2FB-471B-8D07-38DF26614BE4}" name="Column3983" dataCellStyle="Normal 2"/>
    <tableColumn id="3999" xr3:uid="{EB597CF5-9AEE-40B3-84AB-0A6DEA9B560B}" name="Column3984" dataCellStyle="Normal 2"/>
    <tableColumn id="4000" xr3:uid="{63477300-DC00-4EAC-A797-105AF5AED832}" name="Column3985" dataCellStyle="Normal 2"/>
    <tableColumn id="4001" xr3:uid="{FA8F910A-F7F2-4DBC-9988-52E031BAB4A0}" name="Column3986" dataCellStyle="Normal 2"/>
    <tableColumn id="4002" xr3:uid="{74E71118-0E57-4B67-AA00-3CEE4E16938E}" name="Column3987" dataCellStyle="Normal 2"/>
    <tableColumn id="4003" xr3:uid="{E457EE10-39C3-4F9E-9D9E-75A12CAFE99C}" name="Column3988" dataCellStyle="Normal 2"/>
    <tableColumn id="4004" xr3:uid="{A9DE0D82-C73D-40EB-B4D3-23F72BB5B6DF}" name="Column3989" dataCellStyle="Normal 2"/>
    <tableColumn id="4005" xr3:uid="{232F0CAA-3A4A-448A-973D-13B8D68D009F}" name="Column3990" dataCellStyle="Normal 2"/>
    <tableColumn id="4006" xr3:uid="{584674BD-6DD5-46D4-BA74-6ADBD1CEE864}" name="Column3991" dataCellStyle="Normal 2"/>
    <tableColumn id="4007" xr3:uid="{911CC342-E961-43DA-8E91-4DE4F25FCAE9}" name="Column3992" dataCellStyle="Normal 2"/>
    <tableColumn id="4008" xr3:uid="{7BDE0DCC-13DE-4D0E-988B-0EEE2830A4B6}" name="Column3993" dataCellStyle="Normal 2"/>
    <tableColumn id="4009" xr3:uid="{5C003957-35FF-42E2-B77D-1576A7D3A76A}" name="Column3994" dataCellStyle="Normal 2"/>
    <tableColumn id="4010" xr3:uid="{D4228FB4-93FC-42D1-A306-B1AD49F0959B}" name="Column3995" dataCellStyle="Normal 2"/>
    <tableColumn id="4011" xr3:uid="{99428F68-64E2-4F85-B892-7B3EF89393A1}" name="Column3996" dataCellStyle="Normal 2"/>
    <tableColumn id="4012" xr3:uid="{4120BD4B-54A9-4F82-95AA-2E82912A12A8}" name="Column3997" dataCellStyle="Normal 2"/>
    <tableColumn id="4013" xr3:uid="{3C0722FC-6A00-4AC7-931B-346B3144AB8A}" name="Column3998" dataCellStyle="Normal 2"/>
    <tableColumn id="4014" xr3:uid="{382EFF83-C9C6-4AC9-8FE5-6665B04BF039}" name="Column3999" dataCellStyle="Normal 2"/>
    <tableColumn id="4015" xr3:uid="{8DAE6438-B77C-4C9B-B992-4748DCD7A44C}" name="Column4000" dataCellStyle="Normal 2"/>
    <tableColumn id="4016" xr3:uid="{259AAB34-044D-4A59-9EF9-2BB050DE8BD7}" name="Column4001" dataCellStyle="Normal 2"/>
    <tableColumn id="4017" xr3:uid="{58D3F1AC-4C34-46AE-986F-E7BDCC7F5817}" name="Column4002" dataCellStyle="Normal 2"/>
    <tableColumn id="4018" xr3:uid="{47AEE3BA-BCDF-47BB-93E9-950462649853}" name="Column4003" dataCellStyle="Normal 2"/>
    <tableColumn id="4019" xr3:uid="{3F85AFAD-FAF3-4861-913D-8B1508D495E6}" name="Column4004" dataCellStyle="Normal 2"/>
    <tableColumn id="4020" xr3:uid="{D941B7E1-50D1-4100-8625-1F2A641BAEE5}" name="Column4005" dataCellStyle="Normal 2"/>
    <tableColumn id="4021" xr3:uid="{66BBFB91-22EF-4BB2-B8B1-D6D4AFBBFC97}" name="Column4006" dataCellStyle="Normal 2"/>
    <tableColumn id="4022" xr3:uid="{87A3786D-C4E3-45C6-ACCF-C81D5CBC59D2}" name="Column4007" dataCellStyle="Normal 2"/>
    <tableColumn id="4023" xr3:uid="{9204D4C5-EF44-44DC-AC75-850C9447AC4F}" name="Column4008" dataCellStyle="Normal 2"/>
    <tableColumn id="4024" xr3:uid="{6DE2AF9E-DAC4-42D6-8AE0-16AF8C8C0090}" name="Column4009" dataCellStyle="Normal 2"/>
    <tableColumn id="4025" xr3:uid="{C1EFD2EE-68B4-4E8F-8D43-23E091FEE346}" name="Column4010" dataCellStyle="Normal 2"/>
    <tableColumn id="4026" xr3:uid="{16DD8DC8-3C1C-43B3-9E63-E918F94DD388}" name="Column4011" dataCellStyle="Normal 2"/>
    <tableColumn id="4027" xr3:uid="{AAB40C14-B909-40E8-BB5A-412044E9D236}" name="Column4012" dataCellStyle="Normal 2"/>
    <tableColumn id="4028" xr3:uid="{E06D5D98-FEFA-43DF-B3DE-CE547BACE8BE}" name="Column4013" dataCellStyle="Normal 2"/>
    <tableColumn id="4029" xr3:uid="{C2395C64-3A64-4EBA-B3FD-0FC3082A426D}" name="Column4014" dataCellStyle="Normal 2"/>
    <tableColumn id="4030" xr3:uid="{521172AB-60D8-4A44-9E83-2F94B14C080D}" name="Column4015" dataCellStyle="Normal 2"/>
    <tableColumn id="4031" xr3:uid="{F75DEC98-23F3-4084-8E2C-2EF915104E0C}" name="Column4016" dataCellStyle="Normal 2"/>
    <tableColumn id="4032" xr3:uid="{2250E717-115C-41B8-9308-919AECC12783}" name="Column4017" dataCellStyle="Normal 2"/>
    <tableColumn id="4033" xr3:uid="{45A574D5-DD67-4AE4-8C07-B4F000B236D6}" name="Column4018" dataCellStyle="Normal 2"/>
    <tableColumn id="4034" xr3:uid="{197A7CC6-71AC-430F-8DD1-5EE870312D39}" name="Column4019" dataCellStyle="Normal 2"/>
    <tableColumn id="4035" xr3:uid="{A4E172B4-1C03-4EA4-900A-B50271FC68FD}" name="Column4020" dataCellStyle="Normal 2"/>
    <tableColumn id="4036" xr3:uid="{313A51F9-C592-462C-95A9-8167EB241A2F}" name="Column4021" dataCellStyle="Normal 2"/>
    <tableColumn id="4037" xr3:uid="{24471926-0318-412B-BCD6-C75AE458ADD5}" name="Column4022" dataCellStyle="Normal 2"/>
    <tableColumn id="4038" xr3:uid="{2BDFF761-E8A6-40A5-AF01-C83154DECBC3}" name="Column4023" dataCellStyle="Normal 2"/>
    <tableColumn id="4039" xr3:uid="{A5EC5643-586F-4AC4-AAA3-5D6726471FCB}" name="Column4024" dataCellStyle="Normal 2"/>
    <tableColumn id="4040" xr3:uid="{B50232C3-5E9A-4A7F-871C-6256CF54F974}" name="Column4025" dataCellStyle="Normal 2"/>
    <tableColumn id="4041" xr3:uid="{DC495E0F-54DD-4DE3-A001-0B8430702423}" name="Column4026" dataCellStyle="Normal 2"/>
    <tableColumn id="4042" xr3:uid="{74C3EC0A-3C48-4481-9C85-D85D5FBF6163}" name="Column4027" dataCellStyle="Normal 2"/>
    <tableColumn id="4043" xr3:uid="{2F5AFB77-55AE-4F45-8DFE-ACE1E7B6E4EB}" name="Column4028" dataCellStyle="Normal 2"/>
    <tableColumn id="4044" xr3:uid="{5A6FDDB5-BD37-4162-A5A4-BD0E890C815C}" name="Column4029" dataCellStyle="Normal 2"/>
    <tableColumn id="4045" xr3:uid="{0F2D5708-B98E-44F9-AD41-0A2B58D88457}" name="Column4030" dataCellStyle="Normal 2"/>
    <tableColumn id="4046" xr3:uid="{8E0B5765-DE5F-4AAE-BE31-6456A4D20D9D}" name="Column4031" dataCellStyle="Normal 2"/>
    <tableColumn id="4047" xr3:uid="{2FDAB1F0-89D7-4833-B8A3-31F393872125}" name="Column4032" dataCellStyle="Normal 2"/>
    <tableColumn id="4048" xr3:uid="{C83509C9-7C92-4334-AC14-B4824CAE585C}" name="Column4033" dataCellStyle="Normal 2"/>
    <tableColumn id="4049" xr3:uid="{6EF4DEF1-A239-4391-B807-8F4EA1EE1287}" name="Column4034" dataCellStyle="Normal 2"/>
    <tableColumn id="4050" xr3:uid="{EC394ECA-923B-4701-A3B9-4A57284F83AC}" name="Column4035" dataCellStyle="Normal 2"/>
    <tableColumn id="4051" xr3:uid="{5863CFCF-5188-4A13-9807-89DF5A61896A}" name="Column4036" dataCellStyle="Normal 2"/>
    <tableColumn id="4052" xr3:uid="{1823EFA6-1F35-4AAA-A265-FF55B15855B4}" name="Column4037" dataCellStyle="Normal 2"/>
    <tableColumn id="4053" xr3:uid="{1D21D7A3-6D55-4B02-B6BF-2E705403F852}" name="Column4038" dataCellStyle="Normal 2"/>
    <tableColumn id="4054" xr3:uid="{BB95E78A-7B55-4866-95FD-132A53C3EA05}" name="Column4039" dataCellStyle="Normal 2"/>
    <tableColumn id="4055" xr3:uid="{415270BE-AF0B-4790-A4A3-4947676884F4}" name="Column4040" dataCellStyle="Normal 2"/>
    <tableColumn id="4056" xr3:uid="{ABB3A98A-CB2E-4C58-BA57-35F60FEF72E7}" name="Column4041" dataCellStyle="Normal 2"/>
    <tableColumn id="4057" xr3:uid="{1BB85264-C5E4-4551-8C6C-AB8DDEF164D8}" name="Column4042" dataCellStyle="Normal 2"/>
    <tableColumn id="4058" xr3:uid="{27D51D87-9DC1-4211-9EB0-76DEE4723C22}" name="Column4043" dataCellStyle="Normal 2"/>
    <tableColumn id="4059" xr3:uid="{05E0F5FA-FA75-45D1-8AEA-AF3C8346501D}" name="Column4044" dataCellStyle="Normal 2"/>
    <tableColumn id="4060" xr3:uid="{3506ADD3-07A2-4B30-A0F9-276756324343}" name="Column4045" dataCellStyle="Normal 2"/>
    <tableColumn id="4061" xr3:uid="{06EA59C1-E663-4700-882F-AD2D251F98ED}" name="Column4046" dataCellStyle="Normal 2"/>
    <tableColumn id="4062" xr3:uid="{95971B9C-46C0-48E9-A7A8-B6CCEB8A27D1}" name="Column4047" dataCellStyle="Normal 2"/>
    <tableColumn id="4063" xr3:uid="{250EE3FD-C9E1-4A83-9D7D-351F97E8BF32}" name="Column4048" dataCellStyle="Normal 2"/>
    <tableColumn id="4064" xr3:uid="{4437E8A7-BB83-4ADB-B1D4-75AF391947DB}" name="Column4049" dataCellStyle="Normal 2"/>
    <tableColumn id="4065" xr3:uid="{34556D0E-3645-4A2A-A1C6-F9E493858365}" name="Column4050" dataCellStyle="Normal 2"/>
    <tableColumn id="4066" xr3:uid="{C218BC4D-A08A-4DF6-9C79-C103DCD15A2F}" name="Column4051" dataCellStyle="Normal 2"/>
    <tableColumn id="4067" xr3:uid="{E7106E8E-8FDE-4345-B9DE-0F36F3DB93E9}" name="Column4052" dataCellStyle="Normal 2"/>
    <tableColumn id="4068" xr3:uid="{3A20C1B0-B4F5-46A3-A383-0DC7C1C4477E}" name="Column4053" dataCellStyle="Normal 2"/>
    <tableColumn id="4069" xr3:uid="{D72D5495-3765-40D1-9999-46D8AFC61876}" name="Column4054" dataCellStyle="Normal 2"/>
    <tableColumn id="4070" xr3:uid="{5EDADF13-23EA-41EA-A7FA-1A8403E61B33}" name="Column4055" dataCellStyle="Normal 2"/>
    <tableColumn id="4071" xr3:uid="{DF5CD3CE-C4B4-408C-A0B1-9399A55F928E}" name="Column4056" dataCellStyle="Normal 2"/>
    <tableColumn id="4072" xr3:uid="{1E476AD9-EBA5-4C96-99C2-CAE52B850116}" name="Column4057" dataCellStyle="Normal 2"/>
    <tableColumn id="4073" xr3:uid="{74EC9A5D-EC39-4643-8579-0B9569C2DBBB}" name="Column4058" dataCellStyle="Normal 2"/>
    <tableColumn id="4074" xr3:uid="{0D773E58-0F83-44EE-B2AE-6DFF10A5B4F8}" name="Column4059" dataCellStyle="Normal 2"/>
    <tableColumn id="4075" xr3:uid="{335A5A72-912A-47B6-A40A-0BCFACCC9432}" name="Column4060" dataCellStyle="Normal 2"/>
    <tableColumn id="4076" xr3:uid="{4259B564-AB88-48D9-A065-84F0996A30C9}" name="Column4061" dataCellStyle="Normal 2"/>
    <tableColumn id="4077" xr3:uid="{5F2C70E7-A336-437E-AADE-74F54841FCD7}" name="Column4062" dataCellStyle="Normal 2"/>
    <tableColumn id="4078" xr3:uid="{AAFCC67D-E675-4149-AD03-C0E25233CC47}" name="Column4063" dataCellStyle="Normal 2"/>
    <tableColumn id="4079" xr3:uid="{FDB3DDEE-EF7D-4CD7-8D58-4DAAD9BCB312}" name="Column4064" dataCellStyle="Normal 2"/>
    <tableColumn id="4080" xr3:uid="{FCF355D0-8B46-4458-A4E4-646E5A1218FE}" name="Column4065" dataCellStyle="Normal 2"/>
    <tableColumn id="4081" xr3:uid="{A98C0AD6-D6A1-482A-95A2-6FDF47DA3F44}" name="Column4066" dataCellStyle="Normal 2"/>
    <tableColumn id="4082" xr3:uid="{2A552359-6599-4D0E-9328-E7680191292A}" name="Column4067" dataCellStyle="Normal 2"/>
    <tableColumn id="4083" xr3:uid="{3A4E38CF-50B4-4DDA-96B5-5B758253AF5B}" name="Column4068" dataCellStyle="Normal 2"/>
    <tableColumn id="4084" xr3:uid="{B684778B-4537-42BB-A8E9-D5A944AC56A1}" name="Column4069" dataCellStyle="Normal 2"/>
    <tableColumn id="4085" xr3:uid="{E622BFF4-ECE3-47A1-AD69-7EB581C4ABE4}" name="Column4070" dataCellStyle="Normal 2"/>
    <tableColumn id="4086" xr3:uid="{04BF9A0E-8CFB-479C-A5B2-4BD2FF1AD717}" name="Column4071" dataCellStyle="Normal 2"/>
    <tableColumn id="4087" xr3:uid="{1BFB278C-BAB0-4CE7-9475-77ED5C0822E2}" name="Column4072" dataCellStyle="Normal 2"/>
    <tableColumn id="4088" xr3:uid="{040C8AF4-993B-404C-812C-325209BF0D92}" name="Column4073" dataCellStyle="Normal 2"/>
    <tableColumn id="4089" xr3:uid="{4AF59749-A8C2-4393-B141-62D83169DD4C}" name="Column4074" dataCellStyle="Normal 2"/>
    <tableColumn id="4090" xr3:uid="{7FCCA006-8C70-4679-A98D-C24B4FEBD824}" name="Column4075" dataCellStyle="Normal 2"/>
    <tableColumn id="4091" xr3:uid="{B56CBE8A-FA69-49D9-A177-C6E88A8E38A0}" name="Column4076" dataCellStyle="Normal 2"/>
    <tableColumn id="4092" xr3:uid="{BA279BA5-D662-4706-9042-2EFC856A1509}" name="Column4077" dataCellStyle="Normal 2"/>
    <tableColumn id="4093" xr3:uid="{646145CA-FC35-4D63-ACB4-DD570E3B823A}" name="Column4078" dataCellStyle="Normal 2"/>
    <tableColumn id="4094" xr3:uid="{EC494986-F0DB-47ED-8F13-93C2DDEB500B}" name="Column4079" dataCellStyle="Normal 2"/>
    <tableColumn id="4095" xr3:uid="{8F3CAE17-759C-4433-B6A2-1640E5AA58ED}" name="Column4080" dataCellStyle="Normal 2"/>
    <tableColumn id="4096" xr3:uid="{F767E161-E60D-4080-85AB-006CA73EDA04}" name="Column4081" dataCellStyle="Normal 2"/>
    <tableColumn id="4097" xr3:uid="{A8012E58-8893-40D0-A300-4917B5595D33}" name="Column4082" dataCellStyle="Normal 2"/>
    <tableColumn id="4098" xr3:uid="{2F1DE2C9-C8A2-489B-BD21-51DAE3F3FFBC}" name="Column4083" dataCellStyle="Normal 2"/>
    <tableColumn id="4099" xr3:uid="{F3D77B7F-F37C-4C55-B377-39248005B7FA}" name="Column4084" dataCellStyle="Normal 2"/>
    <tableColumn id="4100" xr3:uid="{270F5D85-72A6-4583-BE54-9EC52D73B871}" name="Column4085" dataCellStyle="Normal 2"/>
    <tableColumn id="4101" xr3:uid="{95827AEB-8010-4A3C-9A99-66AF32551DDB}" name="Column4086" dataCellStyle="Normal 2"/>
    <tableColumn id="4102" xr3:uid="{FB93FD67-6C54-4A62-99E4-377F1A080D47}" name="Column4087" dataCellStyle="Normal 2"/>
    <tableColumn id="4103" xr3:uid="{C2A998FD-4349-4784-8255-6A7DED46671A}" name="Column4088" dataCellStyle="Normal 2"/>
    <tableColumn id="4104" xr3:uid="{0248534E-3FB9-45A8-859C-8ED0B778397B}" name="Column4089" dataCellStyle="Normal 2"/>
    <tableColumn id="4105" xr3:uid="{1D0E4CDC-FB05-44B9-9EF3-828255902CF0}" name="Column4090" dataCellStyle="Normal 2"/>
    <tableColumn id="4106" xr3:uid="{F895ED35-003E-4FEC-A1AE-28E60E3E6F5D}" name="Column4091" dataCellStyle="Normal 2"/>
    <tableColumn id="4107" xr3:uid="{1799FB41-7B3D-4796-84E0-9CA698BC1DA4}" name="Column4092" dataCellStyle="Normal 2"/>
    <tableColumn id="4108" xr3:uid="{00EBCA5B-CF7A-4224-B226-487BFF6CA160}" name="Column4093" dataCellStyle="Normal 2"/>
    <tableColumn id="4109" xr3:uid="{15B213D1-247D-4D19-823B-9B58360655D2}" name="Column4094" dataCellStyle="Normal 2"/>
    <tableColumn id="4110" xr3:uid="{5C9C94D7-AA33-40FC-A493-8704002E2ED4}" name="Column4095" dataCellStyle="Normal 2"/>
    <tableColumn id="4111" xr3:uid="{D8DB922A-46C0-4A11-A215-619C15918F90}" name="Column4096" dataCellStyle="Normal 2"/>
    <tableColumn id="4112" xr3:uid="{CF41A0F7-4B53-46F8-AC7C-4F3225471E83}" name="Column4097" dataCellStyle="Normal 2"/>
    <tableColumn id="4113" xr3:uid="{AC83F23A-D57C-4591-9F7D-C24290F6A66B}" name="Column4098" dataCellStyle="Normal 2"/>
    <tableColumn id="4114" xr3:uid="{0D3131F0-35E6-4CDB-9291-07077BA01FA8}" name="Column4099" dataCellStyle="Normal 2"/>
    <tableColumn id="4115" xr3:uid="{7733C23B-3BA4-4C9E-BF4E-2EE10989A2C5}" name="Column4100" dataCellStyle="Normal 2"/>
    <tableColumn id="4116" xr3:uid="{9C4B3CC2-6400-4A20-8DCE-61A07AFE8AE6}" name="Column4101" dataCellStyle="Normal 2"/>
    <tableColumn id="4117" xr3:uid="{1EB0D494-8EE7-4E36-8E4C-B90F3358E7F0}" name="Column4102" dataCellStyle="Normal 2"/>
    <tableColumn id="4118" xr3:uid="{B8987713-1E7D-433B-9D79-FAAF304EED48}" name="Column4103" dataCellStyle="Normal 2"/>
    <tableColumn id="4119" xr3:uid="{588712DA-6D76-49D2-9135-AEE053A0B4C9}" name="Column4104" dataCellStyle="Normal 2"/>
    <tableColumn id="4120" xr3:uid="{1E0CAD77-18D0-40FD-B580-317B6CD1F75C}" name="Column4105" dataCellStyle="Normal 2"/>
    <tableColumn id="4121" xr3:uid="{3EF361F3-C46C-48DB-B9BF-F529B6A8FB18}" name="Column4106" dataCellStyle="Normal 2"/>
    <tableColumn id="4122" xr3:uid="{DC42F455-F348-4837-B100-71A38B20FEE3}" name="Column4107" dataCellStyle="Normal 2"/>
    <tableColumn id="4123" xr3:uid="{73651A9D-DA03-4456-8ADB-158A5B00B469}" name="Column4108" dataCellStyle="Normal 2"/>
    <tableColumn id="4124" xr3:uid="{0EFDCF56-AB3E-43B7-BA00-A3BF9CAFCE50}" name="Column4109" dataCellStyle="Normal 2"/>
    <tableColumn id="4125" xr3:uid="{8BCAFADD-607C-473C-9705-9BA8F4AEA978}" name="Column4110" dataCellStyle="Normal 2"/>
    <tableColumn id="4126" xr3:uid="{211C70A5-C21A-4B49-A13D-46A5496BCD86}" name="Column4111" dataCellStyle="Normal 2"/>
    <tableColumn id="4127" xr3:uid="{68D67981-A427-4AE9-BA88-37030E45FACD}" name="Column4112" dataCellStyle="Normal 2"/>
    <tableColumn id="4128" xr3:uid="{81375C17-B436-428A-A05F-8170E202D9A2}" name="Column4113" dataCellStyle="Normal 2"/>
    <tableColumn id="4129" xr3:uid="{58086832-AA22-447A-A0E3-BE68EAFAAB4E}" name="Column4114" dataCellStyle="Normal 2"/>
    <tableColumn id="4130" xr3:uid="{5805C1A6-F9AD-4B1F-994E-72108721BEFA}" name="Column4115" dataCellStyle="Normal 2"/>
    <tableColumn id="4131" xr3:uid="{4BF99775-34FF-485D-B180-4FD41A678EEA}" name="Column4116" dataCellStyle="Normal 2"/>
    <tableColumn id="4132" xr3:uid="{1BDC92BD-1C9A-4B21-BD87-A5595F31DD00}" name="Column4117" dataCellStyle="Normal 2"/>
    <tableColumn id="4133" xr3:uid="{0F0AA99D-E431-4CF2-B569-62A7267D1D81}" name="Column4118" dataCellStyle="Normal 2"/>
    <tableColumn id="4134" xr3:uid="{EF913027-0FE7-4BC9-BEEF-E0867E2833C0}" name="Column4119" dataCellStyle="Normal 2"/>
    <tableColumn id="4135" xr3:uid="{1F8667CF-5A74-44E3-B5D8-D5B13606682B}" name="Column4120" dataCellStyle="Normal 2"/>
    <tableColumn id="4136" xr3:uid="{6E087EEC-6061-4955-803B-C506911C70EE}" name="Column4121" dataCellStyle="Normal 2"/>
    <tableColumn id="4137" xr3:uid="{7DB61448-4BC8-49B1-A2CC-4D3951D888A5}" name="Column4122" dataCellStyle="Normal 2"/>
    <tableColumn id="4138" xr3:uid="{FFDE94DE-B1E9-42FF-9325-503A05508765}" name="Column4123" dataCellStyle="Normal 2"/>
    <tableColumn id="4139" xr3:uid="{2386CC06-0E18-4C8D-8DCD-9320562BF901}" name="Column4124" dataCellStyle="Normal 2"/>
    <tableColumn id="4140" xr3:uid="{1ABB27B4-C12A-4AA5-9918-1CD83B0E607A}" name="Column4125" dataCellStyle="Normal 2"/>
    <tableColumn id="4141" xr3:uid="{BE79757E-D9F0-438E-8DD9-3B5CD30A39EF}" name="Column4126" dataCellStyle="Normal 2"/>
    <tableColumn id="4142" xr3:uid="{45998EFC-DBD6-4B28-8A9C-5DBC9D4B0E42}" name="Column4127" dataCellStyle="Normal 2"/>
    <tableColumn id="4143" xr3:uid="{18D0210B-F75C-406A-B544-1A6A5C5D5413}" name="Column4128" dataCellStyle="Normal 2"/>
    <tableColumn id="4144" xr3:uid="{46E2C78B-C5CA-49D1-A4F7-DCA272594B3D}" name="Column4129" dataCellStyle="Normal 2"/>
    <tableColumn id="4145" xr3:uid="{EB87EF27-41E3-4CFB-A8EF-7DA58D450414}" name="Column4130" dataCellStyle="Normal 2"/>
    <tableColumn id="4146" xr3:uid="{0204464E-070E-47B8-8F34-61AE6A738FC2}" name="Column4131" dataCellStyle="Normal 2"/>
    <tableColumn id="4147" xr3:uid="{B2E1638F-4775-483D-9C30-7A4E72092D5E}" name="Column4132" dataCellStyle="Normal 2"/>
    <tableColumn id="4148" xr3:uid="{C611BE7B-17A3-42A0-ADFF-C3F75B8F5F9C}" name="Column4133" dataCellStyle="Normal 2"/>
    <tableColumn id="4149" xr3:uid="{3C4A7198-54D7-49AF-A982-9DCCE6A7FAF9}" name="Column4134" dataCellStyle="Normal 2"/>
    <tableColumn id="4150" xr3:uid="{D796339C-752C-488C-9478-E1BAF4286737}" name="Column4135" dataCellStyle="Normal 2"/>
    <tableColumn id="4151" xr3:uid="{B12F9161-B529-4594-8736-77925399FB0C}" name="Column4136" dataCellStyle="Normal 2"/>
    <tableColumn id="4152" xr3:uid="{0ECA5ED4-3790-4D62-B519-112F42024851}" name="Column4137" dataCellStyle="Normal 2"/>
    <tableColumn id="4153" xr3:uid="{F0D8DE1A-F1C9-43F8-A2FD-B1BEA904D296}" name="Column4138" dataCellStyle="Normal 2"/>
    <tableColumn id="4154" xr3:uid="{CCB5F225-FF4B-4534-B26A-51E939F9289F}" name="Column4139" dataCellStyle="Normal 2"/>
    <tableColumn id="4155" xr3:uid="{68C90614-A820-4400-B28D-12CC6A25175D}" name="Column4140" dataCellStyle="Normal 2"/>
    <tableColumn id="4156" xr3:uid="{038757B7-0B50-416D-B477-819A7464D52C}" name="Column4141" dataCellStyle="Normal 2"/>
    <tableColumn id="4157" xr3:uid="{4B6D70B6-3873-48D8-B8D3-7CBFF4339E6C}" name="Column4142" dataCellStyle="Normal 2"/>
    <tableColumn id="4158" xr3:uid="{05DC9706-C6BF-4E1E-9580-15A000FED122}" name="Column4143" dataCellStyle="Normal 2"/>
    <tableColumn id="4159" xr3:uid="{E560C7F6-5CBD-4D0A-9DB7-E647931CF485}" name="Column4144" dataCellStyle="Normal 2"/>
    <tableColumn id="4160" xr3:uid="{08CA54A6-0425-40E9-B367-ECF64A654390}" name="Column4145" dataCellStyle="Normal 2"/>
    <tableColumn id="4161" xr3:uid="{F87861B9-3B05-47FC-AA83-BA53C2F839FE}" name="Column4146" dataCellStyle="Normal 2"/>
    <tableColumn id="4162" xr3:uid="{CD86E3A4-0222-4A3D-9F3E-0505AFC3B355}" name="Column4147" dataCellStyle="Normal 2"/>
    <tableColumn id="4163" xr3:uid="{A20BF1F1-7230-4302-8867-7D49F06F6717}" name="Column4148" dataCellStyle="Normal 2"/>
    <tableColumn id="4164" xr3:uid="{841CC6FC-CD11-484A-AE16-EAAA89A194D1}" name="Column4149" dataCellStyle="Normal 2"/>
    <tableColumn id="4165" xr3:uid="{38D797B5-2B54-4965-9146-E12EE57CE89E}" name="Column4150" dataCellStyle="Normal 2"/>
    <tableColumn id="4166" xr3:uid="{70F1816A-14A9-4A00-94D2-F766ECA1D647}" name="Column4151" dataCellStyle="Normal 2"/>
    <tableColumn id="4167" xr3:uid="{C9FA2FA9-D192-4651-B7A7-27D91CA0E041}" name="Column4152" dataCellStyle="Normal 2"/>
    <tableColumn id="4168" xr3:uid="{60081771-1469-48AE-9B3C-EA604BD0F52B}" name="Column4153" dataCellStyle="Normal 2"/>
    <tableColumn id="4169" xr3:uid="{30FE76AE-A274-4A9D-88FF-19F80DDBB6AC}" name="Column4154" dataCellStyle="Normal 2"/>
    <tableColumn id="4170" xr3:uid="{CEB1F4FD-6FA2-4701-A797-B247C073EC78}" name="Column4155" dataCellStyle="Normal 2"/>
    <tableColumn id="4171" xr3:uid="{31E1C393-B4D5-4FC9-AEA6-EDB7DE2CFE7D}" name="Column4156" dataCellStyle="Normal 2"/>
    <tableColumn id="4172" xr3:uid="{D9996E31-0513-4070-B700-B2AD5CCC31A4}" name="Column4157" dataCellStyle="Normal 2"/>
    <tableColumn id="4173" xr3:uid="{4F9100D4-A052-44B3-ADFE-D2568CCC20FE}" name="Column4158" dataCellStyle="Normal 2"/>
    <tableColumn id="4174" xr3:uid="{B21316C5-95E9-4B41-BD27-72893FAC8AF3}" name="Column4159" dataCellStyle="Normal 2"/>
    <tableColumn id="4175" xr3:uid="{E32133A4-6E15-4756-9B5C-D27E671C6C34}" name="Column4160" dataCellStyle="Normal 2"/>
    <tableColumn id="4176" xr3:uid="{CE795AA3-B009-4CF6-A2FE-8B66B8207E75}" name="Column4161" dataCellStyle="Normal 2"/>
    <tableColumn id="4177" xr3:uid="{E49D8C9F-4EA4-477A-AEFB-8062D8E906AF}" name="Column4162" dataCellStyle="Normal 2"/>
    <tableColumn id="4178" xr3:uid="{D9C08B29-E205-43D5-9870-54503840214E}" name="Column4163" dataCellStyle="Normal 2"/>
    <tableColumn id="4179" xr3:uid="{5A6BEA89-9803-4E41-829F-A9B48EFEE921}" name="Column4164" dataCellStyle="Normal 2"/>
    <tableColumn id="4180" xr3:uid="{3809FBA7-A7DB-4302-91F9-940A30F63ECA}" name="Column4165" dataCellStyle="Normal 2"/>
    <tableColumn id="4181" xr3:uid="{D1F0585F-4B09-4437-BB34-FF3072D39D40}" name="Column4166" dataCellStyle="Normal 2"/>
    <tableColumn id="4182" xr3:uid="{E8528092-773B-4FAE-9976-329F2E8C1BEA}" name="Column4167" dataCellStyle="Normal 2"/>
    <tableColumn id="4183" xr3:uid="{D9C17BA3-2F56-43A9-AE7B-6648E3692530}" name="Column4168" dataCellStyle="Normal 2"/>
    <tableColumn id="4184" xr3:uid="{FE21BADE-FAEA-43F0-B617-374992344D87}" name="Column4169" dataCellStyle="Normal 2"/>
    <tableColumn id="4185" xr3:uid="{FDE343D6-3742-4F69-AF8A-FCE0EB0A9939}" name="Column4170" dataCellStyle="Normal 2"/>
    <tableColumn id="4186" xr3:uid="{0E1799B5-8D9E-4939-847A-420038713247}" name="Column4171" dataCellStyle="Normal 2"/>
    <tableColumn id="4187" xr3:uid="{FD62E343-2FA2-4C21-AC1A-B719BF234F83}" name="Column4172" dataCellStyle="Normal 2"/>
    <tableColumn id="4188" xr3:uid="{BE0B7B6D-3B09-4004-A2E4-D72AD42492E7}" name="Column4173" dataCellStyle="Normal 2"/>
    <tableColumn id="4189" xr3:uid="{C1B34A0E-08F2-438F-85BB-B5D0608B74EC}" name="Column4174" dataCellStyle="Normal 2"/>
    <tableColumn id="4190" xr3:uid="{49061981-697B-4D99-BF44-CE61F7A872EA}" name="Column4175" dataCellStyle="Normal 2"/>
    <tableColumn id="4191" xr3:uid="{D423FF7C-AC7C-4E1C-906D-A45C4652BD34}" name="Column4176" dataCellStyle="Normal 2"/>
    <tableColumn id="4192" xr3:uid="{50D34099-DE5D-4DFA-9EB7-784C53CA20A6}" name="Column4177" dataCellStyle="Normal 2"/>
    <tableColumn id="4193" xr3:uid="{038CB549-5E89-42C0-803A-9583E8C47284}" name="Column4178" dataCellStyle="Normal 2"/>
    <tableColumn id="4194" xr3:uid="{9AF62154-7C51-43DC-8794-498B06BCA39F}" name="Column4179" dataCellStyle="Normal 2"/>
    <tableColumn id="4195" xr3:uid="{DFACE323-97D3-451B-85C1-55B8A63AD681}" name="Column4180" dataCellStyle="Normal 2"/>
    <tableColumn id="4196" xr3:uid="{9ACCF7A8-4F4F-43D3-853B-01C8CE23591F}" name="Column4181" dataCellStyle="Normal 2"/>
    <tableColumn id="4197" xr3:uid="{5E346687-0151-4F1E-B9CC-31CD453DBA1B}" name="Column4182" dataCellStyle="Normal 2"/>
    <tableColumn id="4198" xr3:uid="{20C1037C-5C25-4D50-8967-0200F394460F}" name="Column4183" dataCellStyle="Normal 2"/>
    <tableColumn id="4199" xr3:uid="{F72B8D3B-E78B-4B65-A91C-BA3199DC3348}" name="Column4184" dataCellStyle="Normal 2"/>
    <tableColumn id="4200" xr3:uid="{B6F8DB9F-E436-46C8-9085-95D69071DBE4}" name="Column4185" dataCellStyle="Normal 2"/>
    <tableColumn id="4201" xr3:uid="{46BC63BC-17C2-49C4-9721-B0E516971370}" name="Column4186" dataCellStyle="Normal 2"/>
    <tableColumn id="4202" xr3:uid="{FF75B22B-E23D-4FCD-8F98-AAA002B7D3B9}" name="Column4187" dataCellStyle="Normal 2"/>
    <tableColumn id="4203" xr3:uid="{8B9064BA-0260-4209-BB29-47B41535A1C0}" name="Column4188" dataCellStyle="Normal 2"/>
    <tableColumn id="4204" xr3:uid="{09DBC624-73C1-443D-8085-22F4F96C03FA}" name="Column4189" dataCellStyle="Normal 2"/>
    <tableColumn id="4205" xr3:uid="{A77888DC-604C-4EA1-8DBF-0F48A1BACCAD}" name="Column4190" dataCellStyle="Normal 2"/>
    <tableColumn id="4206" xr3:uid="{0C95AB75-FBDB-4A8F-8A2D-3B2E02420D46}" name="Column4191" dataCellStyle="Normal 2"/>
    <tableColumn id="4207" xr3:uid="{D3CC4DF7-4B46-4C31-9C83-3D31D55C8B30}" name="Column4192" dataCellStyle="Normal 2"/>
    <tableColumn id="4208" xr3:uid="{D1AF78B6-886D-4F59-A7E5-90BEC17C073C}" name="Column4193" dataCellStyle="Normal 2"/>
    <tableColumn id="4209" xr3:uid="{8819F1D9-B2C0-48CB-8348-2F907CF45C3B}" name="Column4194" dataCellStyle="Normal 2"/>
    <tableColumn id="4210" xr3:uid="{65D14611-290F-4203-8586-5C7EB7D31252}" name="Column4195" dataCellStyle="Normal 2"/>
    <tableColumn id="4211" xr3:uid="{5B6CEDEC-3593-477D-B426-5EDB268EE2C5}" name="Column4196" dataCellStyle="Normal 2"/>
    <tableColumn id="4212" xr3:uid="{25BC7EE8-955E-4AF9-802D-334D4F649E06}" name="Column4197" dataCellStyle="Normal 2"/>
    <tableColumn id="4213" xr3:uid="{DAB47BD9-8176-4786-9AA1-CB20342DE751}" name="Column4198" dataCellStyle="Normal 2"/>
    <tableColumn id="4214" xr3:uid="{D6F2646E-DF5C-4851-9134-B4B5A82C38C7}" name="Column4199" dataCellStyle="Normal 2"/>
    <tableColumn id="4215" xr3:uid="{9CCCF683-B838-4157-9FFC-ABB63577609A}" name="Column4200" dataCellStyle="Normal 2"/>
    <tableColumn id="4216" xr3:uid="{A718554F-DBD5-485F-9D4F-3155821B3A6A}" name="Column4201" dataCellStyle="Normal 2"/>
    <tableColumn id="4217" xr3:uid="{C60818FD-0D9F-4D81-81D4-BE9919714F4A}" name="Column4202" dataCellStyle="Normal 2"/>
    <tableColumn id="4218" xr3:uid="{32CF2BA5-9017-4F7D-8494-C3EB02734CA4}" name="Column4203" dataCellStyle="Normal 2"/>
    <tableColumn id="4219" xr3:uid="{61BFAECE-0049-481D-9F36-7E5460900F83}" name="Column4204" dataCellStyle="Normal 2"/>
    <tableColumn id="4220" xr3:uid="{DC337933-15EE-4B65-A71B-7EE57A166615}" name="Column4205" dataCellStyle="Normal 2"/>
    <tableColumn id="4221" xr3:uid="{DB1C9DD1-1FE1-4734-835A-F11929D8DD7E}" name="Column4206" dataCellStyle="Normal 2"/>
    <tableColumn id="4222" xr3:uid="{AE8D95E4-0773-4719-998D-C71B13E41089}" name="Column4207" dataCellStyle="Normal 2"/>
    <tableColumn id="4223" xr3:uid="{C8AE9B1A-E5C3-4631-8357-A94FD8BCD775}" name="Column4208" dataCellStyle="Normal 2"/>
    <tableColumn id="4224" xr3:uid="{A929A482-101F-4D41-8567-9077FEB0FE3B}" name="Column4209" dataCellStyle="Normal 2"/>
    <tableColumn id="4225" xr3:uid="{E2E59942-AB7E-4252-AAE9-A5969EA50EDF}" name="Column4210" dataCellStyle="Normal 2"/>
    <tableColumn id="4226" xr3:uid="{7BCC08A9-AA60-4325-83C5-C052CAA2768C}" name="Column4211" dataCellStyle="Normal 2"/>
    <tableColumn id="4227" xr3:uid="{1A11F283-78CA-4F3B-A03F-31884DC71E9F}" name="Column4212" dataCellStyle="Normal 2"/>
    <tableColumn id="4228" xr3:uid="{0BB9BF63-D1D7-4BC5-B66D-219C3E610D4E}" name="Column4213" dataCellStyle="Normal 2"/>
    <tableColumn id="4229" xr3:uid="{FDDB6A91-9BCE-4877-BF6E-422935B1B188}" name="Column4214" dataCellStyle="Normal 2"/>
    <tableColumn id="4230" xr3:uid="{24046BD7-8732-4489-851C-12F29632AEA5}" name="Column4215" dataCellStyle="Normal 2"/>
    <tableColumn id="4231" xr3:uid="{3CF48ADE-B7AF-4F5B-895B-4790A78F3743}" name="Column4216" dataCellStyle="Normal 2"/>
    <tableColumn id="4232" xr3:uid="{D723DF49-7634-4C3B-AA79-3FE90017115A}" name="Column4217" dataCellStyle="Normal 2"/>
    <tableColumn id="4233" xr3:uid="{0FD4A455-BEE8-4889-8AF0-FEF4143CB3EB}" name="Column4218" dataCellStyle="Normal 2"/>
    <tableColumn id="4234" xr3:uid="{5E68B245-A97A-42EC-823B-2E8F47AA0BF9}" name="Column4219" dataCellStyle="Normal 2"/>
    <tableColumn id="4235" xr3:uid="{73D04176-3C7C-4760-99C7-F621A3741998}" name="Column4220" dataCellStyle="Normal 2"/>
    <tableColumn id="4236" xr3:uid="{9A4456E1-FBD6-43BD-88A8-FF7BDF5184FB}" name="Column4221" dataCellStyle="Normal 2"/>
    <tableColumn id="4237" xr3:uid="{8A56137A-8E6C-45C2-A395-E4FC5A6B638D}" name="Column4222" dataCellStyle="Normal 2"/>
    <tableColumn id="4238" xr3:uid="{C4EDDC80-5D71-4751-A022-6490B773F224}" name="Column4223" dataCellStyle="Normal 2"/>
    <tableColumn id="4239" xr3:uid="{584513D8-4A5D-4B7B-80E1-BF7E144D4EE3}" name="Column4224" dataCellStyle="Normal 2"/>
    <tableColumn id="4240" xr3:uid="{7E514EC4-3D2E-4D14-B5E0-00DED099D589}" name="Column4225" dataCellStyle="Normal 2"/>
    <tableColumn id="4241" xr3:uid="{13A6F3B3-A253-47E5-B0C9-49AD11553E1D}" name="Column4226" dataCellStyle="Normal 2"/>
    <tableColumn id="4242" xr3:uid="{13E923B2-689D-41E3-99FE-988D7205D1E2}" name="Column4227" dataCellStyle="Normal 2"/>
    <tableColumn id="4243" xr3:uid="{E28FB48C-830A-471F-87EA-7117A7E74F1C}" name="Column4228" dataCellStyle="Normal 2"/>
    <tableColumn id="4244" xr3:uid="{7E808B1A-0A1B-4732-AA60-CD11E73D3412}" name="Column4229" dataCellStyle="Normal 2"/>
    <tableColumn id="4245" xr3:uid="{670B4490-B9DB-4F93-BEA3-EBBCB99A79D8}" name="Column4230" dataCellStyle="Normal 2"/>
    <tableColumn id="4246" xr3:uid="{28CD9BE2-2298-4F38-B24D-8A0C16990D07}" name="Column4231" dataCellStyle="Normal 2"/>
    <tableColumn id="4247" xr3:uid="{3DCC0ECB-0843-456F-9303-97F5F7270BA7}" name="Column4232" dataCellStyle="Normal 2"/>
    <tableColumn id="4248" xr3:uid="{C904C3DD-535C-4142-89AC-B23AF4D077BF}" name="Column4233" dataCellStyle="Normal 2"/>
    <tableColumn id="4249" xr3:uid="{558784F5-AD27-4E90-8BE8-356CEBCC533F}" name="Column4234" dataCellStyle="Normal 2"/>
    <tableColumn id="4250" xr3:uid="{C58054A8-B936-4B0D-9B6A-8D6A3231DBC8}" name="Column4235" dataCellStyle="Normal 2"/>
    <tableColumn id="4251" xr3:uid="{1C3CEB37-0485-41FF-9B7F-84FEA0D4871D}" name="Column4236" dataCellStyle="Normal 2"/>
    <tableColumn id="4252" xr3:uid="{F0693224-206D-4CB5-A1F8-AB060BC32377}" name="Column4237" dataCellStyle="Normal 2"/>
    <tableColumn id="4253" xr3:uid="{C09045CA-ECC6-47C4-84DE-D3CFD8C92953}" name="Column4238" dataCellStyle="Normal 2"/>
    <tableColumn id="4254" xr3:uid="{BD20B873-1957-4B4A-9EE0-15649C884279}" name="Column4239" dataCellStyle="Normal 2"/>
    <tableColumn id="4255" xr3:uid="{B2C792CE-9639-4AB0-A142-DFC0A86056E7}" name="Column4240" dataCellStyle="Normal 2"/>
    <tableColumn id="4256" xr3:uid="{D0E74907-3A4F-44C7-AE2A-4E2EAC6E5516}" name="Column4241" dataCellStyle="Normal 2"/>
    <tableColumn id="4257" xr3:uid="{55812A98-C171-4E49-AB03-ADF3B35DF2BE}" name="Column4242" dataCellStyle="Normal 2"/>
    <tableColumn id="4258" xr3:uid="{9347448D-BA45-4042-8EBA-2519CB28F9E4}" name="Column4243" dataCellStyle="Normal 2"/>
    <tableColumn id="4259" xr3:uid="{7A01248F-76B3-4056-BFB4-38B2F8F19628}" name="Column4244" dataCellStyle="Normal 2"/>
    <tableColumn id="4260" xr3:uid="{A672339F-882B-4523-80B2-FD01B127751C}" name="Column4245" dataCellStyle="Normal 2"/>
    <tableColumn id="4261" xr3:uid="{FA07D23D-FC37-4BC7-95C3-FB9138C64A9E}" name="Column4246" dataCellStyle="Normal 2"/>
    <tableColumn id="4262" xr3:uid="{6852E21C-D395-4176-AB4B-24F4C29E0545}" name="Column4247" dataCellStyle="Normal 2"/>
    <tableColumn id="4263" xr3:uid="{ABE81E42-7AE6-4A77-81B8-4A16C78F1D29}" name="Column4248" dataCellStyle="Normal 2"/>
    <tableColumn id="4264" xr3:uid="{FF41E8F5-E3A5-468D-AB0C-5BBCDECFCDA3}" name="Column4249" dataCellStyle="Normal 2"/>
    <tableColumn id="4265" xr3:uid="{29583687-21CC-49A7-8A44-6AA2024F0063}" name="Column4250" dataCellStyle="Normal 2"/>
    <tableColumn id="4266" xr3:uid="{410CDD25-7386-48E2-BBC5-5EBF83135AF9}" name="Column4251" dataCellStyle="Normal 2"/>
    <tableColumn id="4267" xr3:uid="{2B40805F-B087-41EC-83BC-F9CCBF190116}" name="Column4252" dataCellStyle="Normal 2"/>
    <tableColumn id="4268" xr3:uid="{EBCE1A68-0319-4D19-A309-74DC77B47082}" name="Column4253" dataCellStyle="Normal 2"/>
    <tableColumn id="4269" xr3:uid="{B9AFBC38-E803-453A-9BA1-0CC01EE91CEE}" name="Column4254" dataCellStyle="Normal 2"/>
    <tableColumn id="4270" xr3:uid="{F2AE1055-3427-4813-9F97-E7A97E7F991F}" name="Column4255" dataCellStyle="Normal 2"/>
    <tableColumn id="4271" xr3:uid="{8DE46F30-2876-4F98-A440-6A97042A3EEC}" name="Column4256" dataCellStyle="Normal 2"/>
    <tableColumn id="4272" xr3:uid="{DF4D96B0-8573-4322-857D-9F487F938D03}" name="Column4257" dataCellStyle="Normal 2"/>
    <tableColumn id="4273" xr3:uid="{AA11918C-4BC4-4FE6-B167-E951F9C04CC1}" name="Column4258" dataCellStyle="Normal 2"/>
    <tableColumn id="4274" xr3:uid="{BE80EE75-133C-466E-AA17-AA1739FD0BCB}" name="Column4259" dataCellStyle="Normal 2"/>
    <tableColumn id="4275" xr3:uid="{16BF2E04-153F-433B-BE2E-8A641003F914}" name="Column4260" dataCellStyle="Normal 2"/>
    <tableColumn id="4276" xr3:uid="{47F0DB68-9715-4EDA-A636-EE306F8907B4}" name="Column4261" dataCellStyle="Normal 2"/>
    <tableColumn id="4277" xr3:uid="{2500ED9E-7383-4FC4-B477-23E5211A6105}" name="Column4262" dataCellStyle="Normal 2"/>
    <tableColumn id="4278" xr3:uid="{E51D9715-5D96-42A3-AD6B-15C4BE2F9A83}" name="Column4263" dataCellStyle="Normal 2"/>
    <tableColumn id="4279" xr3:uid="{DFD30866-84D9-4FF9-B978-09117E2F580B}" name="Column4264" dataCellStyle="Normal 2"/>
    <tableColumn id="4280" xr3:uid="{AE62A3B4-C365-442B-B5DC-9F3630124724}" name="Column4265" dataCellStyle="Normal 2"/>
    <tableColumn id="4281" xr3:uid="{D7A1F8E5-BDB8-498E-926D-E8A2C0FD98ED}" name="Column4266" dataCellStyle="Normal 2"/>
    <tableColumn id="4282" xr3:uid="{C7B2625A-7A6D-428D-8CC6-D7D6D1007ED2}" name="Column4267" dataCellStyle="Normal 2"/>
    <tableColumn id="4283" xr3:uid="{61AB25E4-8558-4CFE-97E6-689E51C7EBCB}" name="Column4268" dataCellStyle="Normal 2"/>
    <tableColumn id="4284" xr3:uid="{9447BD62-18BD-4238-B4A5-A66C2951CE1A}" name="Column4269" dataCellStyle="Normal 2"/>
    <tableColumn id="4285" xr3:uid="{8AD1F7F9-85C5-44EA-B0A4-5F4433816998}" name="Column4270" dataCellStyle="Normal 2"/>
    <tableColumn id="4286" xr3:uid="{1D88E686-4E6E-4B62-A90B-EA8E98F1C492}" name="Column4271" dataCellStyle="Normal 2"/>
    <tableColumn id="4287" xr3:uid="{EA4FBFAE-1A3A-4D08-80CB-06C16B6DF5B8}" name="Column4272" dataCellStyle="Normal 2"/>
    <tableColumn id="4288" xr3:uid="{B570B91A-179C-4335-99EE-C85FF10ED460}" name="Column4273" dataCellStyle="Normal 2"/>
    <tableColumn id="4289" xr3:uid="{24C45743-C09F-492C-AFC8-E3AD07742E75}" name="Column4274" dataCellStyle="Normal 2"/>
    <tableColumn id="4290" xr3:uid="{BAF75DB6-E953-4A85-A923-104DC9CE36A1}" name="Column4275" dataCellStyle="Normal 2"/>
    <tableColumn id="4291" xr3:uid="{30D4D201-F581-40E8-B3F6-05FE7ED85C0F}" name="Column4276" dataCellStyle="Normal 2"/>
    <tableColumn id="4292" xr3:uid="{46DFA8A4-34A9-4601-9DA6-FE09E0FEA0EB}" name="Column4277" dataCellStyle="Normal 2"/>
    <tableColumn id="4293" xr3:uid="{7B1C3F02-D324-4EC2-9B13-EA33FADD028A}" name="Column4278" dataCellStyle="Normal 2"/>
    <tableColumn id="4294" xr3:uid="{5BE0FFCC-B259-4A53-B88B-702CDAD63343}" name="Column4279" dataCellStyle="Normal 2"/>
    <tableColumn id="4295" xr3:uid="{18841807-CE79-43DC-BC8B-5FB12A61746E}" name="Column4280" dataCellStyle="Normal 2"/>
    <tableColumn id="4296" xr3:uid="{54DDCD3B-A8FC-4337-B408-F77DA01E2EC3}" name="Column4281" dataCellStyle="Normal 2"/>
    <tableColumn id="4297" xr3:uid="{78010EA2-5C2B-4118-814F-C8B9FC89D6F3}" name="Column4282" dataCellStyle="Normal 2"/>
    <tableColumn id="4298" xr3:uid="{8215BFD9-FF8D-49B6-8986-A26C9AC2EA5B}" name="Column4283" dataCellStyle="Normal 2"/>
    <tableColumn id="4299" xr3:uid="{61E05EF1-FBC0-4D06-98EE-19CB28DC41D9}" name="Column4284" dataCellStyle="Normal 2"/>
    <tableColumn id="4300" xr3:uid="{8CA82032-9757-4837-B099-278DBEF9A5D9}" name="Column4285" dataCellStyle="Normal 2"/>
    <tableColumn id="4301" xr3:uid="{B6DFD81E-A2D1-44BA-978B-17DE5C17874A}" name="Column4286" dataCellStyle="Normal 2"/>
    <tableColumn id="4302" xr3:uid="{073039BF-B1CD-4ECF-A4D3-83F951616139}" name="Column4287" dataCellStyle="Normal 2"/>
    <tableColumn id="4303" xr3:uid="{24D874B3-1758-40C9-A6EE-36F5366013F3}" name="Column4288" dataCellStyle="Normal 2"/>
    <tableColumn id="4304" xr3:uid="{B735368D-413F-4760-81D0-70B5176DA081}" name="Column4289" dataCellStyle="Normal 2"/>
    <tableColumn id="4305" xr3:uid="{D1256075-E220-4472-9658-CE62F2CACF3D}" name="Column4290" dataCellStyle="Normal 2"/>
    <tableColumn id="4306" xr3:uid="{18623679-981C-4FA0-B60F-FAEBE3ABEECF}" name="Column4291" dataCellStyle="Normal 2"/>
    <tableColumn id="4307" xr3:uid="{ABD03716-3D1C-4E90-BB33-29704DE08AE6}" name="Column4292" dataCellStyle="Normal 2"/>
    <tableColumn id="4308" xr3:uid="{CC47F0BF-99D2-46CB-90A3-1B25F3E33A33}" name="Column4293" dataCellStyle="Normal 2"/>
    <tableColumn id="4309" xr3:uid="{3BE249DC-F9DF-478E-BEE6-E0B004856216}" name="Column4294" dataCellStyle="Normal 2"/>
    <tableColumn id="4310" xr3:uid="{0991B483-7570-44A1-BF16-498561B93226}" name="Column4295" dataCellStyle="Normal 2"/>
    <tableColumn id="4311" xr3:uid="{DE2C332F-6364-4C7F-A948-4FAFE122B9B2}" name="Column4296" dataCellStyle="Normal 2"/>
    <tableColumn id="4312" xr3:uid="{3CFBEAD5-DE02-405D-B4FF-8D7FDFCB6BDC}" name="Column4297" dataCellStyle="Normal 2"/>
    <tableColumn id="4313" xr3:uid="{A5913A1F-74F2-4925-857C-6FCCAB440437}" name="Column4298" dataCellStyle="Normal 2"/>
    <tableColumn id="4314" xr3:uid="{A7EAF2B8-87E9-4BA2-8466-EE176A19BBBE}" name="Column4299" dataCellStyle="Normal 2"/>
    <tableColumn id="4315" xr3:uid="{8A3E3EC9-C8E0-4C00-8B80-BD240FF2A3F8}" name="Column4300" dataCellStyle="Normal 2"/>
    <tableColumn id="4316" xr3:uid="{6C5E3A8A-DAE7-4549-A723-B48B87717E82}" name="Column4301" dataCellStyle="Normal 2"/>
    <tableColumn id="4317" xr3:uid="{EADFE1A2-6F53-48DD-81C0-58905E573152}" name="Column4302" dataCellStyle="Normal 2"/>
    <tableColumn id="4318" xr3:uid="{507577E4-551F-4664-9E62-5F96633E1A75}" name="Column4303" dataCellStyle="Normal 2"/>
    <tableColumn id="4319" xr3:uid="{9FC3C5C4-97AA-408C-864A-70D6DFDEDE3E}" name="Column4304" dataCellStyle="Normal 2"/>
    <tableColumn id="4320" xr3:uid="{CFEA656E-CAB7-4A36-BE38-7E12C875EA89}" name="Column4305" dataCellStyle="Normal 2"/>
    <tableColumn id="4321" xr3:uid="{EEBA501E-BD25-4D18-84ED-349742A87D5B}" name="Column4306" dataCellStyle="Normal 2"/>
    <tableColumn id="4322" xr3:uid="{C67982AD-FF0F-47CE-AC92-24F5B71B6A28}" name="Column4307" dataCellStyle="Normal 2"/>
    <tableColumn id="4323" xr3:uid="{2302BBE7-ED89-432B-9AFA-F842D2507748}" name="Column4308" dataCellStyle="Normal 2"/>
    <tableColumn id="4324" xr3:uid="{C64BAD4B-AB7D-4171-93E0-3759FAD7721B}" name="Column4309" dataCellStyle="Normal 2"/>
    <tableColumn id="4325" xr3:uid="{2D39B00C-C292-4C97-BBC3-F227D9529C22}" name="Column4310" dataCellStyle="Normal 2"/>
    <tableColumn id="4326" xr3:uid="{4D51B55E-D0DC-42A2-8A73-8D7075C6CFD7}" name="Column4311" dataCellStyle="Normal 2"/>
    <tableColumn id="4327" xr3:uid="{34ED0264-757A-406C-AF59-76B49DBE6CCB}" name="Column4312" dataCellStyle="Normal 2"/>
    <tableColumn id="4328" xr3:uid="{55EA7229-40B4-4783-AC15-DE4C2A6373B3}" name="Column4313" dataCellStyle="Normal 2"/>
    <tableColumn id="4329" xr3:uid="{B35E22EA-17BD-424F-A5F0-2C7389C32B5A}" name="Column4314" dataCellStyle="Normal 2"/>
    <tableColumn id="4330" xr3:uid="{47169E86-8ADE-4A52-BBB3-BFFD68B7688F}" name="Column4315" dataCellStyle="Normal 2"/>
    <tableColumn id="4331" xr3:uid="{6FF6A5B4-9590-432F-888D-2620DB13D542}" name="Column4316" dataCellStyle="Normal 2"/>
    <tableColumn id="4332" xr3:uid="{AB8BC7CD-E178-45E7-B8BC-99230AD060C4}" name="Column4317" dataCellStyle="Normal 2"/>
    <tableColumn id="4333" xr3:uid="{5C8FB9A5-F736-4658-85E9-197A411920EE}" name="Column4318" dataCellStyle="Normal 2"/>
    <tableColumn id="4334" xr3:uid="{53B17A79-089E-47FE-8E2C-2D7F1D91E8A4}" name="Column4319" dataCellStyle="Normal 2"/>
    <tableColumn id="4335" xr3:uid="{AD117523-0FFA-42C0-A712-041718F3BF74}" name="Column4320" dataCellStyle="Normal 2"/>
    <tableColumn id="4336" xr3:uid="{EA087B52-5823-41BC-AEF2-F4C878F91110}" name="Column4321" dataCellStyle="Normal 2"/>
    <tableColumn id="4337" xr3:uid="{11F45BCD-8CF8-42DB-936B-9E43E2C7032B}" name="Column4322" dataCellStyle="Normal 2"/>
    <tableColumn id="4338" xr3:uid="{DCB4609E-E190-4F9C-A763-4B39CFAF17CA}" name="Column4323" dataCellStyle="Normal 2"/>
    <tableColumn id="4339" xr3:uid="{3AE9C554-69BD-4951-9C3B-61E4A06CF437}" name="Column4324" dataCellStyle="Normal 2"/>
    <tableColumn id="4340" xr3:uid="{FAD038F7-D774-4035-97E9-4DF3331DC483}" name="Column4325" dataCellStyle="Normal 2"/>
    <tableColumn id="4341" xr3:uid="{13419CEF-BEEF-4A56-A3FF-ACBF07FEC064}" name="Column4326" dataCellStyle="Normal 2"/>
    <tableColumn id="4342" xr3:uid="{1FC0CD88-C6C7-416E-99CE-0DEAE0677058}" name="Column4327" dataCellStyle="Normal 2"/>
    <tableColumn id="4343" xr3:uid="{656237EF-3E36-43E1-AA4A-4F4C0055FD96}" name="Column4328" dataCellStyle="Normal 2"/>
    <tableColumn id="4344" xr3:uid="{18BC7EB9-A2D5-49FD-918A-01CCCFCD9107}" name="Column4329" dataCellStyle="Normal 2"/>
    <tableColumn id="4345" xr3:uid="{F5CE1010-A4B1-472E-ACF3-3BD89BFD3D7A}" name="Column4330" dataCellStyle="Normal 2"/>
    <tableColumn id="4346" xr3:uid="{E22F2D11-FE8C-47D7-90C2-1A345ABF35C9}" name="Column4331" dataCellStyle="Normal 2"/>
    <tableColumn id="4347" xr3:uid="{70670401-5BE8-4AAC-8B52-05F6F50985EF}" name="Column4332" dataCellStyle="Normal 2"/>
    <tableColumn id="4348" xr3:uid="{E5DBA0C4-30DA-4997-A9A9-951DC5FE13D8}" name="Column4333" dataCellStyle="Normal 2"/>
    <tableColumn id="4349" xr3:uid="{16D0EB52-6E53-4D8B-8145-607D5A787C4D}" name="Column4334" dataCellStyle="Normal 2"/>
    <tableColumn id="4350" xr3:uid="{5602F9BB-C2B8-44F7-994C-7393C30ADD26}" name="Column4335" dataCellStyle="Normal 2"/>
    <tableColumn id="4351" xr3:uid="{0F5B4890-7A67-4B86-A302-6C37E62D3E88}" name="Column4336" dataCellStyle="Normal 2"/>
    <tableColumn id="4352" xr3:uid="{A116E189-443B-41DA-BF82-52205C4D7F7E}" name="Column4337" dataCellStyle="Normal 2"/>
    <tableColumn id="4353" xr3:uid="{0A19C973-1FD4-4935-987E-56D5CB5584F9}" name="Column4338" dataCellStyle="Normal 2"/>
    <tableColumn id="4354" xr3:uid="{4D0B6A2E-096F-4B65-8C28-4C965B96DBE9}" name="Column4339" dataCellStyle="Normal 2"/>
    <tableColumn id="4355" xr3:uid="{E7A2A41D-A208-40EE-83DC-D0A93637D899}" name="Column4340" dataCellStyle="Normal 2"/>
    <tableColumn id="4356" xr3:uid="{5EDBEA8A-2E0D-42FA-8435-6BA5A94F86EA}" name="Column4341" dataCellStyle="Normal 2"/>
    <tableColumn id="4357" xr3:uid="{38764569-5774-4BD3-832B-550559AE074E}" name="Column4342" dataCellStyle="Normal 2"/>
    <tableColumn id="4358" xr3:uid="{9A1BBACF-F942-4B9A-B728-DB0BA2D94B80}" name="Column4343" dataCellStyle="Normal 2"/>
    <tableColumn id="4359" xr3:uid="{9E8FD522-88CF-4245-B677-76FA1E6004BA}" name="Column4344" dataCellStyle="Normal 2"/>
    <tableColumn id="4360" xr3:uid="{C577D321-7DD9-41A1-BF54-E1FD7BA1CC22}" name="Column4345" dataCellStyle="Normal 2"/>
    <tableColumn id="4361" xr3:uid="{C9B04F1A-5E45-4FE8-90C0-87CD1FE652C4}" name="Column4346" dataCellStyle="Normal 2"/>
    <tableColumn id="4362" xr3:uid="{A536875B-C821-4A69-9885-CFF1D1FF4AD2}" name="Column4347" dataCellStyle="Normal 2"/>
    <tableColumn id="4363" xr3:uid="{F6DB6E67-B61B-4C20-8FAA-E73898F38B79}" name="Column4348" dataCellStyle="Normal 2"/>
    <tableColumn id="4364" xr3:uid="{F31288E4-5F74-4E03-9697-E69ACE8DF4EC}" name="Column4349" dataCellStyle="Normal 2"/>
    <tableColumn id="4365" xr3:uid="{48A5EFB1-4D17-45F3-8C74-9BA34B5443B1}" name="Column4350" dataCellStyle="Normal 2"/>
    <tableColumn id="4366" xr3:uid="{A9527CD4-3068-4D47-ACD9-E13271B0426A}" name="Column4351" dataCellStyle="Normal 2"/>
    <tableColumn id="4367" xr3:uid="{D9772F4E-256B-4AA4-B238-CB32C7628C86}" name="Column4352" dataCellStyle="Normal 2"/>
    <tableColumn id="4368" xr3:uid="{280A8E98-151F-4C06-ACE2-4052CA7C48EF}" name="Column4353" dataCellStyle="Normal 2"/>
    <tableColumn id="4369" xr3:uid="{5117628A-2E4D-4B59-8859-7842677BBC4F}" name="Column4354" dataCellStyle="Normal 2"/>
    <tableColumn id="4370" xr3:uid="{435D8B66-BE30-4A6E-A51F-8637BE7DDB33}" name="Column4355" dataCellStyle="Normal 2"/>
    <tableColumn id="4371" xr3:uid="{610E6DA0-D617-46C8-9B68-C0215032196D}" name="Column4356" dataCellStyle="Normal 2"/>
    <tableColumn id="4372" xr3:uid="{09D6E7B6-5DFE-4793-B456-7AF2BCF1A4FB}" name="Column4357" dataCellStyle="Normal 2"/>
    <tableColumn id="4373" xr3:uid="{902353CB-EA98-497F-B3DE-16850F3CAF18}" name="Column4358" dataCellStyle="Normal 2"/>
    <tableColumn id="4374" xr3:uid="{8DEB0DB5-A7E8-4410-86A7-BEFB3D98514A}" name="Column4359" dataCellStyle="Normal 2"/>
    <tableColumn id="4375" xr3:uid="{73A7B3AC-C996-4366-AD2B-4B732E12067D}" name="Column4360" dataCellStyle="Normal 2"/>
    <tableColumn id="4376" xr3:uid="{441A552C-891F-4C45-9846-C1881055D43E}" name="Column4361" dataCellStyle="Normal 2"/>
    <tableColumn id="4377" xr3:uid="{F904BC93-5DD9-448E-AEB6-71DBC45C505F}" name="Column4362" dataCellStyle="Normal 2"/>
    <tableColumn id="4378" xr3:uid="{1C368E94-012B-424D-905C-7380FEAF96AF}" name="Column4363" dataCellStyle="Normal 2"/>
    <tableColumn id="4379" xr3:uid="{72ED4BC5-2163-4CBB-B9C4-B7EF6F845DB9}" name="Column4364" dataCellStyle="Normal 2"/>
    <tableColumn id="4380" xr3:uid="{580F362B-ACCB-44D0-8ED8-8D840111D873}" name="Column4365" dataCellStyle="Normal 2"/>
    <tableColumn id="4381" xr3:uid="{2C062B23-145B-4F95-9E50-8489FF392B8E}" name="Column4366" dataCellStyle="Normal 2"/>
    <tableColumn id="4382" xr3:uid="{FD67F3A7-4E3D-4949-8E2E-AC1D0E8D9B44}" name="Column4367" dataCellStyle="Normal 2"/>
    <tableColumn id="4383" xr3:uid="{AE706AA7-81C5-4D94-82BB-4D0890741D81}" name="Column4368" dataCellStyle="Normal 2"/>
    <tableColumn id="4384" xr3:uid="{F1BAC2B1-B25E-4FAC-8837-A054DC4A2E95}" name="Column4369" dataCellStyle="Normal 2"/>
    <tableColumn id="4385" xr3:uid="{FE18790C-E9B4-4B0B-AA13-26703BE38FCD}" name="Column4370" dataCellStyle="Normal 2"/>
    <tableColumn id="4386" xr3:uid="{D321EC04-E447-4E12-B1E5-EFDF41F65861}" name="Column4371" dataCellStyle="Normal 2"/>
    <tableColumn id="4387" xr3:uid="{BC885EF8-E5BC-4D70-AC15-A614CEAB6140}" name="Column4372" dataCellStyle="Normal 2"/>
    <tableColumn id="4388" xr3:uid="{238C0475-BD76-4ED7-95F6-2F02D308389D}" name="Column4373" dataCellStyle="Normal 2"/>
    <tableColumn id="4389" xr3:uid="{DB67034F-FAEC-447B-910D-9FC7490875C2}" name="Column4374" dataCellStyle="Normal 2"/>
    <tableColumn id="4390" xr3:uid="{74E44903-8738-4E4C-AA4B-9EB7B03B83B9}" name="Column4375" dataCellStyle="Normal 2"/>
    <tableColumn id="4391" xr3:uid="{636207DC-94E1-43A4-A5EA-A88235DD9E04}" name="Column4376" dataCellStyle="Normal 2"/>
    <tableColumn id="4392" xr3:uid="{76E614D6-4F89-4D0C-9353-6D8A37CE0052}" name="Column4377" dataCellStyle="Normal 2"/>
    <tableColumn id="4393" xr3:uid="{E71C1644-E09D-4E29-AC49-FE40BF552307}" name="Column4378" dataCellStyle="Normal 2"/>
    <tableColumn id="4394" xr3:uid="{F8F50336-3E9F-405F-BA64-C65BEE3C5483}" name="Column4379" dataCellStyle="Normal 2"/>
    <tableColumn id="4395" xr3:uid="{AE7F826D-A043-4D87-ADDB-996A733B465C}" name="Column4380" dataCellStyle="Normal 2"/>
    <tableColumn id="4396" xr3:uid="{409FD39C-90C3-434E-A6E6-8404D76F2040}" name="Column4381" dataCellStyle="Normal 2"/>
    <tableColumn id="4397" xr3:uid="{870342BA-A5B5-4CB7-B8BB-1569FE848CB8}" name="Column4382" dataCellStyle="Normal 2"/>
    <tableColumn id="4398" xr3:uid="{2E1F0727-0F2D-4589-A772-AB40B7C01B86}" name="Column4383" dataCellStyle="Normal 2"/>
    <tableColumn id="4399" xr3:uid="{3A328FCB-41DD-417C-969E-C9E51A4466E1}" name="Column4384" dataCellStyle="Normal 2"/>
    <tableColumn id="4400" xr3:uid="{E3F6409B-E840-4E55-B4DF-E37EF1197181}" name="Column4385" dataCellStyle="Normal 2"/>
    <tableColumn id="4401" xr3:uid="{51FE1F45-6FED-4FC3-A082-F13C6C31A9B9}" name="Column4386" dataCellStyle="Normal 2"/>
    <tableColumn id="4402" xr3:uid="{7F391A41-D1C9-4A10-B5B4-0877CB9E127E}" name="Column4387" dataCellStyle="Normal 2"/>
    <tableColumn id="4403" xr3:uid="{D217EDFE-0E56-49FB-845B-F3E3F811D021}" name="Column4388" dataCellStyle="Normal 2"/>
    <tableColumn id="4404" xr3:uid="{7C7D7DDD-3254-482C-9440-ABDFE0FF69CD}" name="Column4389" dataCellStyle="Normal 2"/>
    <tableColumn id="4405" xr3:uid="{D2443039-964D-477C-A1C5-38F055BF41A9}" name="Column4390" dataCellStyle="Normal 2"/>
    <tableColumn id="4406" xr3:uid="{5BF5A199-76A1-4B9D-983F-C67702CA3CAC}" name="Column4391" dataCellStyle="Normal 2"/>
    <tableColumn id="4407" xr3:uid="{10F335FA-C9FA-4B97-A110-ABD52EE65D30}" name="Column4392" dataCellStyle="Normal 2"/>
    <tableColumn id="4408" xr3:uid="{B042854A-E6B4-4EBC-9D2C-44E80628DC5C}" name="Column4393" dataCellStyle="Normal 2"/>
    <tableColumn id="4409" xr3:uid="{D99E49E7-EF48-41E3-AE70-B60E8AAF1305}" name="Column4394" dataCellStyle="Normal 2"/>
    <tableColumn id="4410" xr3:uid="{F9026FDC-FA28-4461-BC67-FD561E4258E2}" name="Column4395" dataCellStyle="Normal 2"/>
    <tableColumn id="4411" xr3:uid="{E68D3719-683A-44A3-992B-1518E9FA813D}" name="Column4396" dataCellStyle="Normal 2"/>
    <tableColumn id="4412" xr3:uid="{9F09C5ED-5A11-45FA-9B66-B4F3B51C6A7A}" name="Column4397" dataCellStyle="Normal 2"/>
    <tableColumn id="4413" xr3:uid="{301B1160-0070-4935-ABA0-C95AF4A12B39}" name="Column4398" dataCellStyle="Normal 2"/>
    <tableColumn id="4414" xr3:uid="{B4CA65AD-C882-4C9B-B536-01207EFCAD60}" name="Column4399" dataCellStyle="Normal 2"/>
    <tableColumn id="4415" xr3:uid="{3F88D224-940F-4D4D-92A4-B28230D7B3F5}" name="Column4400" dataCellStyle="Normal 2"/>
    <tableColumn id="4416" xr3:uid="{EC64C381-8FA7-45BF-9A1C-AC026B8B76C2}" name="Column4401" dataCellStyle="Normal 2"/>
    <tableColumn id="4417" xr3:uid="{F85626D6-0D64-491B-ACA3-41CC342DF174}" name="Column4402" dataCellStyle="Normal 2"/>
    <tableColumn id="4418" xr3:uid="{A26369F5-94C4-40C6-873F-FDFA184E922B}" name="Column4403" dataCellStyle="Normal 2"/>
    <tableColumn id="4419" xr3:uid="{E7C7D5E8-703D-449C-8858-1C3577BECA3E}" name="Column4404" dataCellStyle="Normal 2"/>
    <tableColumn id="4420" xr3:uid="{05622E68-C89E-40CB-92F5-9507987BC45F}" name="Column4405" dataCellStyle="Normal 2"/>
    <tableColumn id="4421" xr3:uid="{46F9E654-27B5-48AE-8FC6-17AAB59C6B77}" name="Column4406" dataCellStyle="Normal 2"/>
    <tableColumn id="4422" xr3:uid="{D2ECC026-496B-4AC4-82A5-DEA40D0F693A}" name="Column4407" dataCellStyle="Normal 2"/>
    <tableColumn id="4423" xr3:uid="{BE561773-7DDE-4E70-91BE-BF737F307910}" name="Column4408" dataCellStyle="Normal 2"/>
    <tableColumn id="4424" xr3:uid="{5CE7BADD-35D6-40F5-BF15-0EF9DD9ADBB4}" name="Column4409" dataCellStyle="Normal 2"/>
    <tableColumn id="4425" xr3:uid="{7225722A-21CA-4741-A0EA-FC1E937BF008}" name="Column4410" dataCellStyle="Normal 2"/>
    <tableColumn id="4426" xr3:uid="{79DBC853-B9C1-4124-80C8-B1681761E96B}" name="Column4411" dataCellStyle="Normal 2"/>
    <tableColumn id="4427" xr3:uid="{A98D1E26-FF72-4BB1-B340-6C828EF8E8B9}" name="Column4412" dataCellStyle="Normal 2"/>
    <tableColumn id="4428" xr3:uid="{B34E0B60-3752-41AE-BFC6-8E373D5551B9}" name="Column4413" dataCellStyle="Normal 2"/>
    <tableColumn id="4429" xr3:uid="{117C3021-7482-457F-B0E9-36A375A016FD}" name="Column4414" dataCellStyle="Normal 2"/>
    <tableColumn id="4430" xr3:uid="{AD2DAC1E-3BD7-42B7-AD77-0F8DF1C3B610}" name="Column4415" dataCellStyle="Normal 2"/>
    <tableColumn id="4431" xr3:uid="{C10C9BD6-AC7E-41EE-9D92-763DFD126FC3}" name="Column4416" dataCellStyle="Normal 2"/>
    <tableColumn id="4432" xr3:uid="{BAACA65D-D196-4901-9966-FA35010614D0}" name="Column4417" dataCellStyle="Normal 2"/>
    <tableColumn id="4433" xr3:uid="{C380B302-0506-4A34-BF63-EDD4D5A506B1}" name="Column4418" dataCellStyle="Normal 2"/>
    <tableColumn id="4434" xr3:uid="{D27A5395-09AC-4584-B679-C8F49721C33F}" name="Column4419" dataCellStyle="Normal 2"/>
    <tableColumn id="4435" xr3:uid="{3AFA4A82-56EA-4772-BCE0-B8256487B399}" name="Column4420" dataCellStyle="Normal 2"/>
    <tableColumn id="4436" xr3:uid="{8681B0E1-2E2C-4CAD-90F4-558AE6CE13F4}" name="Column4421" dataCellStyle="Normal 2"/>
    <tableColumn id="4437" xr3:uid="{B727B6BA-7A1D-439A-8782-7BACB373C124}" name="Column4422" dataCellStyle="Normal 2"/>
    <tableColumn id="4438" xr3:uid="{CDDA6C9D-E380-4292-A504-07B9093EB1F8}" name="Column4423" dataCellStyle="Normal 2"/>
    <tableColumn id="4439" xr3:uid="{DB2C152E-C411-434C-B9D2-14A2379E16BB}" name="Column4424" dataCellStyle="Normal 2"/>
    <tableColumn id="4440" xr3:uid="{9E96DA38-EDC8-4E2C-A72A-8A94D00E1350}" name="Column4425" dataCellStyle="Normal 2"/>
    <tableColumn id="4441" xr3:uid="{B54BE69E-B810-427C-802A-9F0ACAFE0BC7}" name="Column4426" dataCellStyle="Normal 2"/>
    <tableColumn id="4442" xr3:uid="{78F3F07C-7347-4994-8DB7-B0F4F4C1DD27}" name="Column4427" dataCellStyle="Normal 2"/>
    <tableColumn id="4443" xr3:uid="{1F2355EA-0C85-4985-BEC1-A5309BD41ADF}" name="Column4428" dataCellStyle="Normal 2"/>
    <tableColumn id="4444" xr3:uid="{32289DCB-FB08-4153-A65D-AC5B276710BF}" name="Column4429" dataCellStyle="Normal 2"/>
    <tableColumn id="4445" xr3:uid="{216BAADF-F0E8-4C17-9FA2-D49298AB01B9}" name="Column4430" dataCellStyle="Normal 2"/>
    <tableColumn id="4446" xr3:uid="{E4AE4ED1-9B91-471B-9E3F-8195869CF7B8}" name="Column4431" dataCellStyle="Normal 2"/>
    <tableColumn id="4447" xr3:uid="{A44DE808-9475-4993-8CC7-AD935AD1B259}" name="Column4432" dataCellStyle="Normal 2"/>
    <tableColumn id="4448" xr3:uid="{38A2890B-DDD9-4C4C-AC13-32C80CC1F436}" name="Column4433" dataCellStyle="Normal 2"/>
    <tableColumn id="4449" xr3:uid="{BB613F9D-D46E-472C-B7D4-8E7A65F72154}" name="Column4434" dataCellStyle="Normal 2"/>
    <tableColumn id="4450" xr3:uid="{BBD38C13-A97C-4B9A-82C8-C6E1CF578596}" name="Column4435" dataCellStyle="Normal 2"/>
    <tableColumn id="4451" xr3:uid="{DD871A81-49F3-469C-B05C-5DED7DF64E20}" name="Column4436" dataCellStyle="Normal 2"/>
    <tableColumn id="4452" xr3:uid="{211E63E7-625E-4A8C-8A30-D41A5A1F66F5}" name="Column4437" dataCellStyle="Normal 2"/>
    <tableColumn id="4453" xr3:uid="{7F8858FC-96B1-45D8-BBB8-418060A71645}" name="Column4438" dataCellStyle="Normal 2"/>
    <tableColumn id="4454" xr3:uid="{AAEBEFD9-C499-48E8-9FA3-C449912BE469}" name="Column4439" dataCellStyle="Normal 2"/>
    <tableColumn id="4455" xr3:uid="{47B33E24-E6AE-4CA9-BFE4-3DB1DF373D58}" name="Column4440" dataCellStyle="Normal 2"/>
    <tableColumn id="4456" xr3:uid="{CA0685C5-C4C0-4F8A-8AFC-62CE102E3B6E}" name="Column4441" dataCellStyle="Normal 2"/>
    <tableColumn id="4457" xr3:uid="{FB0D1363-2274-4911-B454-A2625D74D7CE}" name="Column4442" dataCellStyle="Normal 2"/>
    <tableColumn id="4458" xr3:uid="{BA1F4372-9AFD-4D65-9AB3-083C719DF598}" name="Column4443" dataCellStyle="Normal 2"/>
    <tableColumn id="4459" xr3:uid="{15B48151-530C-4D8C-9BDE-12D9DC226595}" name="Column4444" dataCellStyle="Normal 2"/>
    <tableColumn id="4460" xr3:uid="{D0888C31-8C87-41A8-8D66-39852324F774}" name="Column4445" dataCellStyle="Normal 2"/>
    <tableColumn id="4461" xr3:uid="{7F54CF2A-2086-4215-A37D-1287867F4663}" name="Column4446" dataCellStyle="Normal 2"/>
    <tableColumn id="4462" xr3:uid="{0C4DADBD-0447-4E34-A91C-4B20C6ABDCF0}" name="Column4447" dataCellStyle="Normal 2"/>
    <tableColumn id="4463" xr3:uid="{3070F1F7-D7EC-47C1-AC88-D032AD0571D7}" name="Column4448" dataCellStyle="Normal 2"/>
    <tableColumn id="4464" xr3:uid="{1658E125-B0A0-402C-AACE-0A989425F417}" name="Column4449" dataCellStyle="Normal 2"/>
    <tableColumn id="4465" xr3:uid="{800CC13C-0BFF-4C2F-925D-B4882F24D34D}" name="Column4450" dataCellStyle="Normal 2"/>
    <tableColumn id="4466" xr3:uid="{CAB0D903-A153-4957-98AB-D97ECDC1AF3F}" name="Column4451" dataCellStyle="Normal 2"/>
    <tableColumn id="4467" xr3:uid="{1780DC2B-AD86-4022-969F-15A3F1E40565}" name="Column4452" dataCellStyle="Normal 2"/>
    <tableColumn id="4468" xr3:uid="{918989B3-5128-4C33-A964-C89F5B644D2C}" name="Column4453" dataCellStyle="Normal 2"/>
    <tableColumn id="4469" xr3:uid="{CAC2AB15-5586-4FA8-A984-E32563E3B91D}" name="Column4454" dataCellStyle="Normal 2"/>
    <tableColumn id="4470" xr3:uid="{D3F7AFC7-2824-4C05-B751-FDDA847BC319}" name="Column4455" dataCellStyle="Normal 2"/>
    <tableColumn id="4471" xr3:uid="{EA9F4194-98BC-4A8B-8F97-6991F66F1D61}" name="Column4456" dataCellStyle="Normal 2"/>
    <tableColumn id="4472" xr3:uid="{42D2B02F-6546-44EA-BEAD-4A2431052B7F}" name="Column4457" dataCellStyle="Normal 2"/>
    <tableColumn id="4473" xr3:uid="{8E5E2EC0-37EE-4FB2-BA0F-BF3BC683006E}" name="Column4458" dataCellStyle="Normal 2"/>
    <tableColumn id="4474" xr3:uid="{9DA1A6F7-5E1B-4968-AF53-9B2FEFFA18BB}" name="Column4459" dataCellStyle="Normal 2"/>
    <tableColumn id="4475" xr3:uid="{1D668E39-E179-4598-BBDD-75F1ABB6012E}" name="Column4460" dataCellStyle="Normal 2"/>
    <tableColumn id="4476" xr3:uid="{AF128480-D21A-4245-AE5B-D258CBB174FA}" name="Column4461" dataCellStyle="Normal 2"/>
    <tableColumn id="4477" xr3:uid="{77F11033-C0CD-48A9-8236-1D58465E173D}" name="Column4462" dataCellStyle="Normal 2"/>
    <tableColumn id="4478" xr3:uid="{12318D53-098C-445A-BC0A-6DDEEA66955F}" name="Column4463" dataCellStyle="Normal 2"/>
    <tableColumn id="4479" xr3:uid="{F9BA0E71-4468-49A8-8060-D23179C51C6E}" name="Column4464" dataCellStyle="Normal 2"/>
    <tableColumn id="4480" xr3:uid="{510AB801-D2A1-4887-8208-41C22CB886A7}" name="Column4465" dataCellStyle="Normal 2"/>
    <tableColumn id="4481" xr3:uid="{8223080B-DE27-482E-9910-62804462EBFC}" name="Column4466" dataCellStyle="Normal 2"/>
    <tableColumn id="4482" xr3:uid="{F14EFD8F-E9A6-41E1-9A56-0F40658453C9}" name="Column4467" dataCellStyle="Normal 2"/>
    <tableColumn id="4483" xr3:uid="{A5F31AB0-9551-4DCA-835C-D6173CADEE37}" name="Column4468" dataCellStyle="Normal 2"/>
    <tableColumn id="4484" xr3:uid="{FD04B9B8-C7E0-41DD-BF23-EBDD5CF7B7F7}" name="Column4469" dataCellStyle="Normal 2"/>
    <tableColumn id="4485" xr3:uid="{50614642-6709-4A30-880E-57CBACCE21C7}" name="Column4470" dataCellStyle="Normal 2"/>
    <tableColumn id="4486" xr3:uid="{37BE31A2-F529-4A79-8C40-A5FEA93D3EA4}" name="Column4471" dataCellStyle="Normal 2"/>
    <tableColumn id="4487" xr3:uid="{FAE0196C-BD6F-4F5A-8AB6-C28A70B13BD2}" name="Column4472" dataCellStyle="Normal 2"/>
    <tableColumn id="4488" xr3:uid="{96B51BAD-7EC2-46ED-A9B2-4D67EEB3CC04}" name="Column4473" dataCellStyle="Normal 2"/>
    <tableColumn id="4489" xr3:uid="{C9FD6FA0-C9EC-47A8-9643-1FC83E9395A2}" name="Column4474" dataCellStyle="Normal 2"/>
    <tableColumn id="4490" xr3:uid="{D1BA9D00-2B90-4557-88FF-0D04FF69ABE2}" name="Column4475" dataCellStyle="Normal 2"/>
    <tableColumn id="4491" xr3:uid="{F30E6057-E9CD-42A2-9D97-0D040D13EE9A}" name="Column4476" dataCellStyle="Normal 2"/>
    <tableColumn id="4492" xr3:uid="{8B948396-0FF6-4234-87C2-A383B8C72D30}" name="Column4477" dataCellStyle="Normal 2"/>
    <tableColumn id="4493" xr3:uid="{2300E3B9-DC5F-4C71-971F-4F78701EA31F}" name="Column4478" dataCellStyle="Normal 2"/>
    <tableColumn id="4494" xr3:uid="{5F7A7350-87A6-4033-B219-76121F7C4A37}" name="Column4479" dataCellStyle="Normal 2"/>
    <tableColumn id="4495" xr3:uid="{0D793548-D0E1-45E3-B0F7-14579314B140}" name="Column4480" dataCellStyle="Normal 2"/>
    <tableColumn id="4496" xr3:uid="{16AA8468-A26A-47A3-86EA-7979CD5DF469}" name="Column4481" dataCellStyle="Normal 2"/>
    <tableColumn id="4497" xr3:uid="{42D72864-4858-40A5-8BB5-1852551506AB}" name="Column4482" dataCellStyle="Normal 2"/>
    <tableColumn id="4498" xr3:uid="{F126CFCB-E9F6-4673-9AB0-232D066C7711}" name="Column4483" dataCellStyle="Normal 2"/>
    <tableColumn id="4499" xr3:uid="{A4EEC51B-E750-4E71-8E86-5EFA2948C270}" name="Column4484" dataCellStyle="Normal 2"/>
    <tableColumn id="4500" xr3:uid="{FD2F4C41-996E-48D5-B01F-38EDEBA125FE}" name="Column4485" dataCellStyle="Normal 2"/>
    <tableColumn id="4501" xr3:uid="{38D17DAF-2D2A-440D-A9CF-2A8099BCD0D5}" name="Column4486" dataCellStyle="Normal 2"/>
    <tableColumn id="4502" xr3:uid="{B587AEE7-8D13-4F23-8E40-1F27F10DB117}" name="Column4487" dataCellStyle="Normal 2"/>
    <tableColumn id="4503" xr3:uid="{A6A34CE9-6884-41EA-A5C3-CB1EC7B4BA6F}" name="Column4488" dataCellStyle="Normal 2"/>
    <tableColumn id="4504" xr3:uid="{96BAFE4F-E795-42F3-87EA-44A843931E68}" name="Column4489" dataCellStyle="Normal 2"/>
    <tableColumn id="4505" xr3:uid="{8D7FCC6E-ACA0-413B-952C-164481494DB0}" name="Column4490" dataCellStyle="Normal 2"/>
    <tableColumn id="4506" xr3:uid="{9E11D424-FA6A-4400-8587-34ED690D487D}" name="Column4491" dataCellStyle="Normal 2"/>
    <tableColumn id="4507" xr3:uid="{F2EEB7CF-B42D-4904-8D1F-B4A07E41E557}" name="Column4492" dataCellStyle="Normal 2"/>
    <tableColumn id="4508" xr3:uid="{1F6C0951-E58F-4B37-9091-895A8A4927D7}" name="Column4493" dataCellStyle="Normal 2"/>
    <tableColumn id="4509" xr3:uid="{5F3B3119-CB2C-4D8B-B409-49B3C1EB6D7A}" name="Column4494" dataCellStyle="Normal 2"/>
    <tableColumn id="4510" xr3:uid="{13F0FBA6-125A-4B32-9B43-6B4CD85DBDA4}" name="Column4495" dataCellStyle="Normal 2"/>
    <tableColumn id="4511" xr3:uid="{3C12AC0E-CE15-4094-8AA1-D5C758FE04E4}" name="Column4496" dataCellStyle="Normal 2"/>
    <tableColumn id="4512" xr3:uid="{E1E57168-E84F-46C0-800A-B8730330D83D}" name="Column4497" dataCellStyle="Normal 2"/>
    <tableColumn id="4513" xr3:uid="{01620CA3-B524-46AE-98EC-86FFDFE90B0A}" name="Column4498" dataCellStyle="Normal 2"/>
    <tableColumn id="4514" xr3:uid="{05F59036-A810-4746-AAF6-F3DE9C465964}" name="Column4499" dataCellStyle="Normal 2"/>
    <tableColumn id="4515" xr3:uid="{0C50FD73-D68D-4B47-819B-286E6A7E116A}" name="Column4500" dataCellStyle="Normal 2"/>
    <tableColumn id="4516" xr3:uid="{B80BC517-E2EE-404B-A4F0-8FAFFC59BBB7}" name="Column4501" dataCellStyle="Normal 2"/>
    <tableColumn id="4517" xr3:uid="{1552C909-5781-46D1-903D-8002F8360D9E}" name="Column4502" dataCellStyle="Normal 2"/>
    <tableColumn id="4518" xr3:uid="{1492C8A3-2986-4A0E-82B5-DF7B6FBF3D67}" name="Column4503" dataCellStyle="Normal 2"/>
    <tableColumn id="4519" xr3:uid="{E43B93AA-C7D5-4CE1-A9DA-551FA62EB88D}" name="Column4504" dataCellStyle="Normal 2"/>
    <tableColumn id="4520" xr3:uid="{8BC933F4-CFBA-4F9F-9ED5-89A21280678D}" name="Column4505" dataCellStyle="Normal 2"/>
    <tableColumn id="4521" xr3:uid="{15971F7B-F75E-4F23-9AF7-9708E458721C}" name="Column4506" dataCellStyle="Normal 2"/>
    <tableColumn id="4522" xr3:uid="{09A9B32A-1561-47C0-9456-D1C84407678E}" name="Column4507" dataCellStyle="Normal 2"/>
    <tableColumn id="4523" xr3:uid="{F11856B4-A6FA-4A33-A71B-737C518B2277}" name="Column4508" dataCellStyle="Normal 2"/>
    <tableColumn id="4524" xr3:uid="{3A6E6528-9542-423D-B633-4C8D8A1498B7}" name="Column4509" dataCellStyle="Normal 2"/>
    <tableColumn id="4525" xr3:uid="{2AF1CE1C-C1B0-4BD5-ABA0-22C6873F1C22}" name="Column4510" dataCellStyle="Normal 2"/>
    <tableColumn id="4526" xr3:uid="{D4C50559-B448-44EB-97ED-2E651FF7C72B}" name="Column4511" dataCellStyle="Normal 2"/>
    <tableColumn id="4527" xr3:uid="{190A742C-881F-41E6-8E54-7EC8FC2BF8E6}" name="Column4512" dataCellStyle="Normal 2"/>
    <tableColumn id="4528" xr3:uid="{D5658A38-0089-49F3-B936-43156C968F7F}" name="Column4513" dataCellStyle="Normal 2"/>
    <tableColumn id="4529" xr3:uid="{64218DBA-5D2D-48CF-A797-2ED3965FE2CB}" name="Column4514" dataCellStyle="Normal 2"/>
    <tableColumn id="4530" xr3:uid="{F8F5A050-04C4-4AFA-AB41-68C105F2AEA7}" name="Column4515" dataCellStyle="Normal 2"/>
    <tableColumn id="4531" xr3:uid="{52BBB47C-7A2D-42AD-8077-E37A64E8728B}" name="Column4516" dataCellStyle="Normal 2"/>
    <tableColumn id="4532" xr3:uid="{457A1081-9C5E-491A-BFC8-0B62A2F08110}" name="Column4517" dataCellStyle="Normal 2"/>
    <tableColumn id="4533" xr3:uid="{CA7F8352-D762-4BE5-83A9-DDB899CA5708}" name="Column4518" dataCellStyle="Normal 2"/>
    <tableColumn id="4534" xr3:uid="{487DD675-37B2-4563-AA7E-FA76C9688412}" name="Column4519" dataCellStyle="Normal 2"/>
    <tableColumn id="4535" xr3:uid="{2BA152C0-0645-414B-BCAA-69806E5F3F40}" name="Column4520" dataCellStyle="Normal 2"/>
    <tableColumn id="4536" xr3:uid="{EDF60B89-6DF0-441D-9B8C-AF44E477FB1B}" name="Column4521" dataCellStyle="Normal 2"/>
    <tableColumn id="4537" xr3:uid="{FD79F7A7-BC37-43DA-BA56-6903635F503F}" name="Column4522" dataCellStyle="Normal 2"/>
    <tableColumn id="4538" xr3:uid="{AE34E4A3-9DC2-4FC1-9084-8EF81EC18497}" name="Column4523" dataCellStyle="Normal 2"/>
    <tableColumn id="4539" xr3:uid="{65F88266-A7D5-4EFB-9E20-162D47DD4357}" name="Column4524" dataCellStyle="Normal 2"/>
    <tableColumn id="4540" xr3:uid="{9EF0F436-264E-432B-96B3-A23758105727}" name="Column4525" dataCellStyle="Normal 2"/>
    <tableColumn id="4541" xr3:uid="{F235C92A-95FC-4FC3-9ED5-0AA89018988F}" name="Column4526" dataCellStyle="Normal 2"/>
    <tableColumn id="4542" xr3:uid="{AD20148A-4BEB-4965-AED7-52A80CFE9114}" name="Column4527" dataCellStyle="Normal 2"/>
    <tableColumn id="4543" xr3:uid="{01D2E568-F824-4B23-8E14-B7F41F1CBAAA}" name="Column4528" dataCellStyle="Normal 2"/>
    <tableColumn id="4544" xr3:uid="{7D0348DA-BBB7-4F93-8CEC-E0B8131FEC98}" name="Column4529" dataCellStyle="Normal 2"/>
    <tableColumn id="4545" xr3:uid="{22100511-D9D6-486A-B4FF-4F47D58F0336}" name="Column4530" dataCellStyle="Normal 2"/>
    <tableColumn id="4546" xr3:uid="{79E1DD23-7500-4991-84E3-6299640C50BE}" name="Column4531" dataCellStyle="Normal 2"/>
    <tableColumn id="4547" xr3:uid="{2C3E3671-75B9-4298-866A-87CCC56A93FB}" name="Column4532" dataCellStyle="Normal 2"/>
    <tableColumn id="4548" xr3:uid="{FDC749F8-0511-48FA-BDEE-0BDA70FB78E8}" name="Column4533" dataCellStyle="Normal 2"/>
    <tableColumn id="4549" xr3:uid="{2BCB7FB6-B6E8-4D7F-B7E7-6B8D45DB5A73}" name="Column4534" dataCellStyle="Normal 2"/>
    <tableColumn id="4550" xr3:uid="{0A0DA9D7-4943-4609-995F-F973CC6A1AE4}" name="Column4535" dataCellStyle="Normal 2"/>
    <tableColumn id="4551" xr3:uid="{F9ADECE3-3F78-46EA-9EB5-C37EDAE84495}" name="Column4536" dataCellStyle="Normal 2"/>
    <tableColumn id="4552" xr3:uid="{C774A0C6-7642-464F-9A71-C485E4F6024B}" name="Column4537" dataCellStyle="Normal 2"/>
    <tableColumn id="4553" xr3:uid="{56F51484-8A8A-4C4E-A1C2-2CB9DF4E00E2}" name="Column4538" dataCellStyle="Normal 2"/>
    <tableColumn id="4554" xr3:uid="{7F13A39C-D9A7-4AAA-BF8E-6F26D718D653}" name="Column4539" dataCellStyle="Normal 2"/>
    <tableColumn id="4555" xr3:uid="{3FAC1FA4-0511-4C4F-BFFB-2EC3ED8881DC}" name="Column4540" dataCellStyle="Normal 2"/>
    <tableColumn id="4556" xr3:uid="{CEADAC20-4924-4505-AD5E-31BDCF403768}" name="Column4541" dataCellStyle="Normal 2"/>
    <tableColumn id="4557" xr3:uid="{17CB3BAE-5491-46B4-B0EF-876A568510D6}" name="Column4542" dataCellStyle="Normal 2"/>
    <tableColumn id="4558" xr3:uid="{61328ED0-DC36-4BA2-8EFA-48EF53145D7F}" name="Column4543" dataCellStyle="Normal 2"/>
    <tableColumn id="4559" xr3:uid="{8E5EC55C-4605-48CA-A5BA-AAB092A79A22}" name="Column4544" dataCellStyle="Normal 2"/>
    <tableColumn id="4560" xr3:uid="{B8E6FC68-3959-445E-8E24-25836FFF1881}" name="Column4545" dataCellStyle="Normal 2"/>
    <tableColumn id="4561" xr3:uid="{DABE4B49-69FC-4E40-9E8F-A7D1390449EB}" name="Column4546" dataCellStyle="Normal 2"/>
    <tableColumn id="4562" xr3:uid="{3AA77A8C-A293-457B-829E-BE30E84CE7C2}" name="Column4547" dataCellStyle="Normal 2"/>
    <tableColumn id="4563" xr3:uid="{95D1E3EA-8DAD-40D4-8A1C-9F74D8301622}" name="Column4548" dataCellStyle="Normal 2"/>
    <tableColumn id="4564" xr3:uid="{88258EDE-44AB-46D5-A8AD-AF09EA07A82C}" name="Column4549" dataCellStyle="Normal 2"/>
    <tableColumn id="4565" xr3:uid="{D9250860-EB4C-459E-B954-229FB1A418BC}" name="Column4550" dataCellStyle="Normal 2"/>
    <tableColumn id="4566" xr3:uid="{1079F1C8-04AE-40BD-9FD1-9ADEE170B087}" name="Column4551" dataCellStyle="Normal 2"/>
    <tableColumn id="4567" xr3:uid="{EBE58A35-8A16-4B62-81A8-D82895BDBBB0}" name="Column4552" dataCellStyle="Normal 2"/>
    <tableColumn id="4568" xr3:uid="{3290AFFA-C867-406B-ABA8-136E5D0081F0}" name="Column4553" dataCellStyle="Normal 2"/>
    <tableColumn id="4569" xr3:uid="{92878D00-89D1-4E22-A764-068199817362}" name="Column4554" dataCellStyle="Normal 2"/>
    <tableColumn id="4570" xr3:uid="{7F802CC9-AB8C-4CDA-B9B1-77BBFA6E3FC0}" name="Column4555" dataCellStyle="Normal 2"/>
    <tableColumn id="4571" xr3:uid="{292FB2C5-4931-4585-83B8-6D13AEEB5372}" name="Column4556" dataCellStyle="Normal 2"/>
    <tableColumn id="4572" xr3:uid="{C327A369-2132-4A7A-ADC9-8682B9707973}" name="Column4557" dataCellStyle="Normal 2"/>
    <tableColumn id="4573" xr3:uid="{A094823E-7A3E-476B-A5DA-1CA8D4E20B51}" name="Column4558" dataCellStyle="Normal 2"/>
    <tableColumn id="4574" xr3:uid="{E70FFB99-0FCC-44E1-8209-A00DFAD68056}" name="Column4559" dataCellStyle="Normal 2"/>
    <tableColumn id="4575" xr3:uid="{7BE2701F-E63B-44C3-BD94-BE0D7CC6EC5E}" name="Column4560" dataCellStyle="Normal 2"/>
    <tableColumn id="4576" xr3:uid="{7EB056E3-027C-416D-AE16-76EBF2D69126}" name="Column4561" dataCellStyle="Normal 2"/>
    <tableColumn id="4577" xr3:uid="{B8F5EAA7-E357-4CA4-BE01-381D826B8DD5}" name="Column4562" dataCellStyle="Normal 2"/>
    <tableColumn id="4578" xr3:uid="{C3BDF18D-0D75-4C86-866D-32511BC2BC72}" name="Column4563" dataCellStyle="Normal 2"/>
    <tableColumn id="4579" xr3:uid="{01ACB0A3-CCB8-4073-9470-33242E8A52C7}" name="Column4564" dataCellStyle="Normal 2"/>
    <tableColumn id="4580" xr3:uid="{DEF1107C-26C3-4361-AE87-7024E096A984}" name="Column4565" dataCellStyle="Normal 2"/>
    <tableColumn id="4581" xr3:uid="{5B9E4F63-31AF-41BF-B200-CD8B4DAF1DD9}" name="Column4566" dataCellStyle="Normal 2"/>
    <tableColumn id="4582" xr3:uid="{FE040A43-E06E-408E-9D55-E27B28482CC1}" name="Column4567" dataCellStyle="Normal 2"/>
    <tableColumn id="4583" xr3:uid="{E109EE1D-FDDC-4E22-BB24-25538AFE05B3}" name="Column4568" dataCellStyle="Normal 2"/>
    <tableColumn id="4584" xr3:uid="{C17A4EAC-559F-43A2-84C0-F902590BBE62}" name="Column4569" dataCellStyle="Normal 2"/>
    <tableColumn id="4585" xr3:uid="{560D5720-8512-4A7F-9162-14244271A45A}" name="Column4570" dataCellStyle="Normal 2"/>
    <tableColumn id="4586" xr3:uid="{63EC3761-E715-47B2-8C59-3AEA7AD59659}" name="Column4571" dataCellStyle="Normal 2"/>
    <tableColumn id="4587" xr3:uid="{BEDC6A08-42BC-4DF8-AC78-392F104DF424}" name="Column4572" dataCellStyle="Normal 2"/>
    <tableColumn id="4588" xr3:uid="{3D014ED5-82BD-4AAD-A6CC-98698EEC7E49}" name="Column4573" dataCellStyle="Normal 2"/>
    <tableColumn id="4589" xr3:uid="{590D51DD-62A8-4389-A4F4-3D7E29B5DF87}" name="Column4574" dataCellStyle="Normal 2"/>
    <tableColumn id="4590" xr3:uid="{37A077C5-81BE-4D9C-A191-57EAB9AEFABC}" name="Column4575" dataCellStyle="Normal 2"/>
    <tableColumn id="4591" xr3:uid="{94BD78C5-9E83-4338-8C65-CAB89C8E1004}" name="Column4576" dataCellStyle="Normal 2"/>
    <tableColumn id="4592" xr3:uid="{AD5C9B9B-8083-499B-A0DF-E528C88A8F72}" name="Column4577" dataCellStyle="Normal 2"/>
    <tableColumn id="4593" xr3:uid="{E3A91E91-3CD0-44E3-84CC-8A0C47BC95C3}" name="Column4578" dataCellStyle="Normal 2"/>
    <tableColumn id="4594" xr3:uid="{3839912D-8B7A-480D-94EA-344704A6B4C4}" name="Column4579" dataCellStyle="Normal 2"/>
    <tableColumn id="4595" xr3:uid="{287CB2F7-6D5B-46D9-BC6C-3CD642C818D1}" name="Column4580" dataCellStyle="Normal 2"/>
    <tableColumn id="4596" xr3:uid="{984DBB51-1B53-47F4-B3CC-130831C0D864}" name="Column4581" dataCellStyle="Normal 2"/>
    <tableColumn id="4597" xr3:uid="{D819B0FE-3D11-4D56-99FD-716D6CDDB69E}" name="Column4582" dataCellStyle="Normal 2"/>
    <tableColumn id="4598" xr3:uid="{3B562210-65C2-4E26-AAC3-BB157B5B95AA}" name="Column4583" dataCellStyle="Normal 2"/>
    <tableColumn id="4599" xr3:uid="{1F053373-74B0-47C2-BAE3-DAE09237B5CA}" name="Column4584" dataCellStyle="Normal 2"/>
    <tableColumn id="4600" xr3:uid="{82C8FD1B-F715-4BB7-9A58-FAFD19646938}" name="Column4585" dataCellStyle="Normal 2"/>
    <tableColumn id="4601" xr3:uid="{3B22795C-F401-4E64-BE7B-5E4E659F26E3}" name="Column4586" dataCellStyle="Normal 2"/>
    <tableColumn id="4602" xr3:uid="{015D3110-2883-4326-878F-82FEFC04469D}" name="Column4587" dataCellStyle="Normal 2"/>
    <tableColumn id="4603" xr3:uid="{DA0DEF73-BBA3-44DC-977C-E7A2F6CC6C9B}" name="Column4588" dataCellStyle="Normal 2"/>
    <tableColumn id="4604" xr3:uid="{9BEFBAAC-5F4C-4457-9466-13A71948349F}" name="Column4589" dataCellStyle="Normal 2"/>
    <tableColumn id="4605" xr3:uid="{65701402-3465-471B-85C7-AEDA93444A29}" name="Column4590" dataCellStyle="Normal 2"/>
    <tableColumn id="4606" xr3:uid="{E701EA05-09F0-457B-9502-2A17C6513E4D}" name="Column4591" dataCellStyle="Normal 2"/>
    <tableColumn id="4607" xr3:uid="{DD2066AA-6EED-4A26-86B8-3567EFD30C36}" name="Column4592" dataCellStyle="Normal 2"/>
    <tableColumn id="4608" xr3:uid="{347EA427-8526-482F-ACAE-F0F79B25109A}" name="Column4593" dataCellStyle="Normal 2"/>
    <tableColumn id="4609" xr3:uid="{C9F8D792-5DE7-48B4-A8B6-E6606C232E8F}" name="Column4594" dataCellStyle="Normal 2"/>
    <tableColumn id="4610" xr3:uid="{3FA7F31A-3D56-4370-AD7E-0F74C19F3770}" name="Column4595" dataCellStyle="Normal 2"/>
    <tableColumn id="4611" xr3:uid="{48AB44BD-DF21-4DA1-85C3-274CA9BA411C}" name="Column4596" dataCellStyle="Normal 2"/>
    <tableColumn id="4612" xr3:uid="{39773C50-94BD-4BCC-91AF-B96867333873}" name="Column4597" dataCellStyle="Normal 2"/>
    <tableColumn id="4613" xr3:uid="{C82D0364-BE94-415D-AC45-1ECDD1FD2EB7}" name="Column4598" dataCellStyle="Normal 2"/>
    <tableColumn id="4614" xr3:uid="{A20A6A0C-3750-4D80-83AD-ED79184E0565}" name="Column4599" dataCellStyle="Normal 2"/>
    <tableColumn id="4615" xr3:uid="{1EAD33E2-6536-44BB-A7EF-93C89119D592}" name="Column4600" dataCellStyle="Normal 2"/>
    <tableColumn id="4616" xr3:uid="{56C5D6D0-74DA-4FBD-B72D-94168CCD95C3}" name="Column4601" dataCellStyle="Normal 2"/>
    <tableColumn id="4617" xr3:uid="{EA68C1E3-D10E-4DF6-A947-ED5629E49F72}" name="Column4602" dataCellStyle="Normal 2"/>
    <tableColumn id="4618" xr3:uid="{BA0F1091-B9D1-4EE9-AB38-402A99B4673B}" name="Column4603" dataCellStyle="Normal 2"/>
    <tableColumn id="4619" xr3:uid="{299CEF33-827C-4E38-8B25-E8AEB3C3AEE8}" name="Column4604" dataCellStyle="Normal 2"/>
    <tableColumn id="4620" xr3:uid="{21C8A58E-728C-4A11-B712-A4E9711B7950}" name="Column4605" dataCellStyle="Normal 2"/>
    <tableColumn id="4621" xr3:uid="{D26F5030-1F1D-4CB2-B2F5-B986BC074A9B}" name="Column4606" dataCellStyle="Normal 2"/>
    <tableColumn id="4622" xr3:uid="{53525E70-780E-4F0C-AE74-716B0B95ED94}" name="Column4607" dataCellStyle="Normal 2"/>
    <tableColumn id="4623" xr3:uid="{D98B3C87-E829-46E5-8418-DDFFF29AA08C}" name="Column4608" dataCellStyle="Normal 2"/>
    <tableColumn id="4624" xr3:uid="{5C08BB04-DB62-4901-96CE-4CBC6B8A270E}" name="Column4609" dataCellStyle="Normal 2"/>
    <tableColumn id="4625" xr3:uid="{E96B0368-ECBB-4904-8D5B-70819398C08A}" name="Column4610" dataCellStyle="Normal 2"/>
    <tableColumn id="4626" xr3:uid="{54D70A6C-532A-44FD-8EEB-890A4522BD7B}" name="Column4611" dataCellStyle="Normal 2"/>
    <tableColumn id="4627" xr3:uid="{B2FD5D14-1F42-4FC6-B406-B1ACEDEEC7AB}" name="Column4612" dataCellStyle="Normal 2"/>
    <tableColumn id="4628" xr3:uid="{A7365B13-1E20-4A17-A63B-34219379F356}" name="Column4613" dataCellStyle="Normal 2"/>
    <tableColumn id="4629" xr3:uid="{EE5C3FBE-52F4-41E7-A145-EBCF6B5C1DFB}" name="Column4614" dataCellStyle="Normal 2"/>
    <tableColumn id="4630" xr3:uid="{FC49468D-2686-4554-824A-D3BFBDD08D3F}" name="Column4615" dataCellStyle="Normal 2"/>
    <tableColumn id="4631" xr3:uid="{C2BD3B5C-1044-43E7-8562-D3A4792EE5E1}" name="Column4616" dataCellStyle="Normal 2"/>
    <tableColumn id="4632" xr3:uid="{57C9B47E-317F-421C-AA73-72DBD45CDA8C}" name="Column4617" dataCellStyle="Normal 2"/>
    <tableColumn id="4633" xr3:uid="{B2971BA5-F2FB-4FAF-8331-90C348A6FED6}" name="Column4618" dataCellStyle="Normal 2"/>
    <tableColumn id="4634" xr3:uid="{423DB104-433A-47C9-932A-92F7A855D5FF}" name="Column4619" dataCellStyle="Normal 2"/>
    <tableColumn id="4635" xr3:uid="{FB72C780-B339-4705-B975-82FD611EA95A}" name="Column4620" dataCellStyle="Normal 2"/>
    <tableColumn id="4636" xr3:uid="{D60F2FB9-B3D4-4BD3-9C2A-F5EE98443FB2}" name="Column4621" dataCellStyle="Normal 2"/>
    <tableColumn id="4637" xr3:uid="{87BE901A-D79C-45C6-BE35-5B9731A93CAC}" name="Column4622" dataCellStyle="Normal 2"/>
    <tableColumn id="4638" xr3:uid="{29CB999F-2BD7-4FD0-8B96-9C8AA672F5F4}" name="Column4623" dataCellStyle="Normal 2"/>
    <tableColumn id="4639" xr3:uid="{665D99A4-A732-4A0A-92B0-470E324F79B5}" name="Column4624" dataCellStyle="Normal 2"/>
    <tableColumn id="4640" xr3:uid="{C40B4EAE-FF1E-4E1E-810E-A08760ABA739}" name="Column4625" dataCellStyle="Normal 2"/>
    <tableColumn id="4641" xr3:uid="{2DF82B76-947B-4E1F-B893-CA6CAB170BC7}" name="Column4626" dataCellStyle="Normal 2"/>
    <tableColumn id="4642" xr3:uid="{4381256F-9BBB-4BC7-A18F-88D1E29E2AB1}" name="Column4627" dataCellStyle="Normal 2"/>
    <tableColumn id="4643" xr3:uid="{7EA9FB1C-E933-4971-9414-EB713D07EECA}" name="Column4628" dataCellStyle="Normal 2"/>
    <tableColumn id="4644" xr3:uid="{C8537DA5-2306-43F5-9A80-216BC048B31E}" name="Column4629" dataCellStyle="Normal 2"/>
    <tableColumn id="4645" xr3:uid="{917E5AE3-FCA4-4854-91BC-EE8369C4566E}" name="Column4630" dataCellStyle="Normal 2"/>
    <tableColumn id="4646" xr3:uid="{14128003-62BE-4F6C-BFF8-C0CFFD1DE91E}" name="Column4631" dataCellStyle="Normal 2"/>
    <tableColumn id="4647" xr3:uid="{0904C59F-9F1B-452E-B157-BC8CD1F234A9}" name="Column4632" dataCellStyle="Normal 2"/>
    <tableColumn id="4648" xr3:uid="{B56FCCB9-2ED7-43A7-AED7-69AC7154F2C1}" name="Column4633" dataCellStyle="Normal 2"/>
    <tableColumn id="4649" xr3:uid="{C62249D3-94A2-451E-B85E-0E4AD4E506A4}" name="Column4634" dataCellStyle="Normal 2"/>
    <tableColumn id="4650" xr3:uid="{B1A86EDC-B324-4CF0-873B-E4619F478270}" name="Column4635" dataCellStyle="Normal 2"/>
    <tableColumn id="4651" xr3:uid="{7628624C-B14B-4512-B87A-652F6553120D}" name="Column4636" dataCellStyle="Normal 2"/>
    <tableColumn id="4652" xr3:uid="{F6021876-F17B-4618-938F-9D2653B46DA5}" name="Column4637" dataCellStyle="Normal 2"/>
    <tableColumn id="4653" xr3:uid="{6DF9FAE3-D612-4BC1-9589-C6038FE4DE9B}" name="Column4638" dataCellStyle="Normal 2"/>
    <tableColumn id="4654" xr3:uid="{186A44C4-87D3-468D-9941-E7377E2BFD47}" name="Column4639" dataCellStyle="Normal 2"/>
    <tableColumn id="4655" xr3:uid="{084F278B-855D-43F7-8DC5-98D620325091}" name="Column4640" dataCellStyle="Normal 2"/>
    <tableColumn id="4656" xr3:uid="{F6A8337A-9ADF-488B-900F-9BE40B1BC1A4}" name="Column4641" dataCellStyle="Normal 2"/>
    <tableColumn id="4657" xr3:uid="{BAFB6BD1-B4ED-413F-B610-C986563F9DDF}" name="Column4642" dataCellStyle="Normal 2"/>
    <tableColumn id="4658" xr3:uid="{16068C9E-8416-478D-BC6E-8E973487D786}" name="Column4643" dataCellStyle="Normal 2"/>
    <tableColumn id="4659" xr3:uid="{30958EE6-DC35-44B8-A5D0-11133C378D13}" name="Column4644" dataCellStyle="Normal 2"/>
    <tableColumn id="4660" xr3:uid="{E288D9A3-5648-4012-895D-3AFEE1751B81}" name="Column4645" dataCellStyle="Normal 2"/>
    <tableColumn id="4661" xr3:uid="{D7848682-B2A2-4CCB-B824-F6614291D800}" name="Column4646" dataCellStyle="Normal 2"/>
    <tableColumn id="4662" xr3:uid="{E70BCC07-D82A-466C-8CEB-1BEFD3343619}" name="Column4647" dataCellStyle="Normal 2"/>
    <tableColumn id="4663" xr3:uid="{65E11EB3-B1D8-4D50-9785-4DD7A9499C10}" name="Column4648" dataCellStyle="Normal 2"/>
    <tableColumn id="4664" xr3:uid="{8E62B95F-EBEB-4D42-82B5-8F0BC0AD5552}" name="Column4649" dataCellStyle="Normal 2"/>
    <tableColumn id="4665" xr3:uid="{EC7A6AB5-DC76-4967-A6D6-0FD58A76D9B6}" name="Column4650" dataCellStyle="Normal 2"/>
    <tableColumn id="4666" xr3:uid="{CB511EBA-656B-4FBE-8727-F1FEBF8A42EE}" name="Column4651" dataCellStyle="Normal 2"/>
    <tableColumn id="4667" xr3:uid="{993E6D04-EDB8-4D6B-8E5B-1636775498A7}" name="Column4652" dataCellStyle="Normal 2"/>
    <tableColumn id="4668" xr3:uid="{FBC125AF-AE22-4A8A-9EF4-50E87CD4E059}" name="Column4653" dataCellStyle="Normal 2"/>
    <tableColumn id="4669" xr3:uid="{78DE6EEE-0DB6-4124-AA22-65B9E2D12461}" name="Column4654" dataCellStyle="Normal 2"/>
    <tableColumn id="4670" xr3:uid="{1D5F9455-23DF-478D-9244-5A2D376809C2}" name="Column4655" dataCellStyle="Normal 2"/>
    <tableColumn id="4671" xr3:uid="{EB709E76-36AB-488C-A861-C826952FEB3F}" name="Column4656" dataCellStyle="Normal 2"/>
    <tableColumn id="4672" xr3:uid="{74297E96-3013-4AF6-AE75-6032B2992025}" name="Column4657" dataCellStyle="Normal 2"/>
    <tableColumn id="4673" xr3:uid="{A19F9741-42B8-4BF1-81F0-8553115956AF}" name="Column4658" dataCellStyle="Normal 2"/>
    <tableColumn id="4674" xr3:uid="{3B066E98-0062-41CD-B279-876B379F8A36}" name="Column4659" dataCellStyle="Normal 2"/>
    <tableColumn id="4675" xr3:uid="{0285D21B-4E57-4DAA-8179-65096ED87992}" name="Column4660" dataCellStyle="Normal 2"/>
    <tableColumn id="4676" xr3:uid="{8A1036E3-98A1-4B37-A62B-7150956382C7}" name="Column4661" dataCellStyle="Normal 2"/>
    <tableColumn id="4677" xr3:uid="{D49EEE82-9FB5-46D6-8346-0724DA8A5098}" name="Column4662" dataCellStyle="Normal 2"/>
    <tableColumn id="4678" xr3:uid="{2B20AECC-CDC1-48D9-908D-D9E3C723A8FE}" name="Column4663" dataCellStyle="Normal 2"/>
    <tableColumn id="4679" xr3:uid="{0EA89EBB-F254-47EF-BF36-8FB9AD529C4A}" name="Column4664" dataCellStyle="Normal 2"/>
    <tableColumn id="4680" xr3:uid="{324E2A02-048D-4E60-B988-6C8474160DAC}" name="Column4665" dataCellStyle="Normal 2"/>
    <tableColumn id="4681" xr3:uid="{31868B77-8DED-4101-A988-DF3FA085B051}" name="Column4666" dataCellStyle="Normal 2"/>
    <tableColumn id="4682" xr3:uid="{0EADE6E0-5A76-4010-9CF0-30E7F66AE57C}" name="Column4667" dataCellStyle="Normal 2"/>
    <tableColumn id="4683" xr3:uid="{847B3C99-B88D-4B74-8A6D-F5966800E9EE}" name="Column4668" dataCellStyle="Normal 2"/>
    <tableColumn id="4684" xr3:uid="{436FB982-BE26-4216-943F-EB1420F920E4}" name="Column4669" dataCellStyle="Normal 2"/>
    <tableColumn id="4685" xr3:uid="{F034452C-757C-4E0B-A284-72A86B474FD3}" name="Column4670" dataCellStyle="Normal 2"/>
    <tableColumn id="4686" xr3:uid="{977F4AEB-D94B-461F-8731-00528A3E9DBE}" name="Column4671" dataCellStyle="Normal 2"/>
    <tableColumn id="4687" xr3:uid="{C9A769FD-3C5B-40F6-ADCB-9D8F1DF3AA03}" name="Column4672" dataCellStyle="Normal 2"/>
    <tableColumn id="4688" xr3:uid="{FC412E2A-E1D8-4A50-8F07-747408DF3E20}" name="Column4673" dataCellStyle="Normal 2"/>
    <tableColumn id="4689" xr3:uid="{31DB3005-CEB4-4707-8E65-91B1E99C21E9}" name="Column4674" dataCellStyle="Normal 2"/>
    <tableColumn id="4690" xr3:uid="{668B244D-47C6-4687-8836-44385DC21D91}" name="Column4675" dataCellStyle="Normal 2"/>
    <tableColumn id="4691" xr3:uid="{57B8214C-8F13-438E-A2BE-FEA16B12214C}" name="Column4676" dataCellStyle="Normal 2"/>
    <tableColumn id="4692" xr3:uid="{40F0C117-A6BF-4688-9AF7-DE3995045582}" name="Column4677" dataCellStyle="Normal 2"/>
    <tableColumn id="4693" xr3:uid="{95A83186-9058-403B-B01A-1404EA45CC2B}" name="Column4678" dataCellStyle="Normal 2"/>
    <tableColumn id="4694" xr3:uid="{65AF425E-5278-4AF2-9CF4-E664E67F5039}" name="Column4679" dataCellStyle="Normal 2"/>
    <tableColumn id="4695" xr3:uid="{8B89826B-329C-4B3D-8779-B1F0E6C8452E}" name="Column4680" dataCellStyle="Normal 2"/>
    <tableColumn id="4696" xr3:uid="{E650AF66-9434-40B7-9B87-CA9472BA5453}" name="Column4681" dataCellStyle="Normal 2"/>
    <tableColumn id="4697" xr3:uid="{2CABBA0D-237D-4A81-9475-9C3C8160788D}" name="Column4682" dataCellStyle="Normal 2"/>
    <tableColumn id="4698" xr3:uid="{870F8B82-7C73-4EFA-A89A-E8C9F4C2A85C}" name="Column4683" dataCellStyle="Normal 2"/>
    <tableColumn id="4699" xr3:uid="{A6C111F6-087A-45C8-B539-09DBF32504BC}" name="Column4684" dataCellStyle="Normal 2"/>
    <tableColumn id="4700" xr3:uid="{8EB0964B-BA86-4CD7-AE2F-7F7566046AE0}" name="Column4685" dataCellStyle="Normal 2"/>
    <tableColumn id="4701" xr3:uid="{4E01C069-0441-4623-8796-A6E7E1F54316}" name="Column4686" dataCellStyle="Normal 2"/>
    <tableColumn id="4702" xr3:uid="{BDE31097-0FDC-4A89-8583-D19B119A94DC}" name="Column4687" dataCellStyle="Normal 2"/>
    <tableColumn id="4703" xr3:uid="{14E8DA67-659D-4415-A59E-211E8CD662D8}" name="Column4688" dataCellStyle="Normal 2"/>
    <tableColumn id="4704" xr3:uid="{FC46F0A9-FC2C-4EFD-AC42-237AB1A1D138}" name="Column4689" dataCellStyle="Normal 2"/>
    <tableColumn id="4705" xr3:uid="{0C3208BA-1E6C-427A-95B6-E65E7F613C01}" name="Column4690" dataCellStyle="Normal 2"/>
    <tableColumn id="4706" xr3:uid="{749A227E-5778-40A0-A2A5-B7AD5CCA262B}" name="Column4691" dataCellStyle="Normal 2"/>
    <tableColumn id="4707" xr3:uid="{802201E1-FFEF-4B66-9763-3AE4A320C6E2}" name="Column4692" dataCellStyle="Normal 2"/>
    <tableColumn id="4708" xr3:uid="{1FD392BE-EB22-4AFE-85AC-7AECA6035B55}" name="Column4693" dataCellStyle="Normal 2"/>
    <tableColumn id="4709" xr3:uid="{0CA17F51-B576-46F3-9847-55F586E33108}" name="Column4694" dataCellStyle="Normal 2"/>
    <tableColumn id="4710" xr3:uid="{4B460D2B-4F3A-4664-A59F-6C7EED768A42}" name="Column4695" dataCellStyle="Normal 2"/>
    <tableColumn id="4711" xr3:uid="{36033625-78E3-4A2B-8BFF-F9D6B9A0BA8D}" name="Column4696" dataCellStyle="Normal 2"/>
    <tableColumn id="4712" xr3:uid="{CAF09CFA-BE4C-4676-BC7C-65DCBBD71007}" name="Column4697" dataCellStyle="Normal 2"/>
    <tableColumn id="4713" xr3:uid="{CE66ACD3-ABE9-4892-8F9D-AFEB486CCE28}" name="Column4698" dataCellStyle="Normal 2"/>
    <tableColumn id="4714" xr3:uid="{BE572D58-3BAD-4452-A6B3-9A562ECBA18B}" name="Column4699" dataCellStyle="Normal 2"/>
    <tableColumn id="4715" xr3:uid="{D9C954F6-9E48-4055-81D3-D2367A459C4B}" name="Column4700" dataCellStyle="Normal 2"/>
    <tableColumn id="4716" xr3:uid="{F7471A72-973B-48C7-9235-CF8BE2EDCC5A}" name="Column4701" dataCellStyle="Normal 2"/>
    <tableColumn id="4717" xr3:uid="{D20169D8-A453-44A9-B0AC-2A8EC28BA034}" name="Column4702" dataCellStyle="Normal 2"/>
    <tableColumn id="4718" xr3:uid="{8A4DCDFE-B395-452D-BE1C-661D43C0275B}" name="Column4703" dataCellStyle="Normal 2"/>
    <tableColumn id="4719" xr3:uid="{EB7BFB88-F346-4614-BE56-FA8F6F7CD309}" name="Column4704" dataCellStyle="Normal 2"/>
    <tableColumn id="4720" xr3:uid="{D6E3ADF9-41BA-4068-9D56-B3B607BA4477}" name="Column4705" dataCellStyle="Normal 2"/>
    <tableColumn id="4721" xr3:uid="{535FB5F5-B137-45E1-B102-F2156542B89E}" name="Column4706" dataCellStyle="Normal 2"/>
    <tableColumn id="4722" xr3:uid="{D65A986D-FE96-4886-9E87-1F71C2BF9DBD}" name="Column4707" dataCellStyle="Normal 2"/>
    <tableColumn id="4723" xr3:uid="{978E913F-9E34-4EFA-8A9B-A0D5B2FAF4C6}" name="Column4708" dataCellStyle="Normal 2"/>
    <tableColumn id="4724" xr3:uid="{DEC0F684-2D41-4EB7-B728-91E091252975}" name="Column4709" dataCellStyle="Normal 2"/>
    <tableColumn id="4725" xr3:uid="{CC4D7E52-D522-408B-9356-7E85AEEF267C}" name="Column4710" dataCellStyle="Normal 2"/>
    <tableColumn id="4726" xr3:uid="{68B3C8BC-4AA5-46AA-B275-7E097E00ED34}" name="Column4711" dataCellStyle="Normal 2"/>
    <tableColumn id="4727" xr3:uid="{466ECCA4-8D46-4AFE-BC06-E49B9C20F795}" name="Column4712" dataCellStyle="Normal 2"/>
    <tableColumn id="4728" xr3:uid="{B5BAF609-F603-4F6E-89BB-B48855A336F5}" name="Column4713" dataCellStyle="Normal 2"/>
    <tableColumn id="4729" xr3:uid="{668C042B-F427-4934-96F2-1C365DCFF71C}" name="Column4714" dataCellStyle="Normal 2"/>
    <tableColumn id="4730" xr3:uid="{06594EE2-0319-4E0E-AFEE-C0EFD9A4DF78}" name="Column4715" dataCellStyle="Normal 2"/>
    <tableColumn id="4731" xr3:uid="{690C9680-B45A-49EB-9576-356F918D236B}" name="Column4716" dataCellStyle="Normal 2"/>
    <tableColumn id="4732" xr3:uid="{92C65EDB-AB81-4192-9D01-AEB8B64A68B1}" name="Column4717" dataCellStyle="Normal 2"/>
    <tableColumn id="4733" xr3:uid="{FAAB4561-96A9-4831-AFCF-4621C9A37514}" name="Column4718" dataCellStyle="Normal 2"/>
    <tableColumn id="4734" xr3:uid="{6064289C-C174-43CA-ACAC-3ECE632A68CE}" name="Column4719" dataCellStyle="Normal 2"/>
    <tableColumn id="4735" xr3:uid="{AAFAAC90-83F5-4C9A-AE3E-8B702BB2BB36}" name="Column4720" dataCellStyle="Normal 2"/>
    <tableColumn id="4736" xr3:uid="{C60134D3-4B55-49F2-901D-353911FCFD51}" name="Column4721" dataCellStyle="Normal 2"/>
    <tableColumn id="4737" xr3:uid="{7BAF62CA-8AAD-4B87-B8B9-4499DB572EFD}" name="Column4722" dataCellStyle="Normal 2"/>
    <tableColumn id="4738" xr3:uid="{6BCBC96D-8DD2-4301-A704-450B41AD662C}" name="Column4723" dataCellStyle="Normal 2"/>
    <tableColumn id="4739" xr3:uid="{4FC92FF9-3AB2-499B-8281-6D9836F3AF88}" name="Column4724" dataCellStyle="Normal 2"/>
    <tableColumn id="4740" xr3:uid="{53B90366-E932-4D68-8F32-EDFA81AC6297}" name="Column4725" dataCellStyle="Normal 2"/>
    <tableColumn id="4741" xr3:uid="{86C367BB-3946-4B4B-AF85-E2D08AD64AF8}" name="Column4726" dataCellStyle="Normal 2"/>
    <tableColumn id="4742" xr3:uid="{B71D09EC-6CFB-4367-814C-B000407D643F}" name="Column4727" dataCellStyle="Normal 2"/>
    <tableColumn id="4743" xr3:uid="{699F6A68-4C60-4A1C-9DED-7A44C75716CA}" name="Column4728" dataCellStyle="Normal 2"/>
    <tableColumn id="4744" xr3:uid="{0670B79C-57BD-49F3-AF03-75C95AC075DC}" name="Column4729" dataCellStyle="Normal 2"/>
    <tableColumn id="4745" xr3:uid="{C0C89236-A2A4-43DE-A01D-260FEEAD3DEE}" name="Column4730" dataCellStyle="Normal 2"/>
    <tableColumn id="4746" xr3:uid="{64BBDA10-A43E-4E3C-895C-B4CA8067673E}" name="Column4731" dataCellStyle="Normal 2"/>
    <tableColumn id="4747" xr3:uid="{5AEEC42D-5F9E-4A71-919D-5B99DFFD8355}" name="Column4732" dataCellStyle="Normal 2"/>
    <tableColumn id="4748" xr3:uid="{CCD140A4-E591-4A7D-B6C0-21FAFD90ED41}" name="Column4733" dataCellStyle="Normal 2"/>
    <tableColumn id="4749" xr3:uid="{7D5C3F25-4F48-4C6D-9AE4-E0E8D31039BA}" name="Column4734" dataCellStyle="Normal 2"/>
    <tableColumn id="4750" xr3:uid="{9D12D2E2-5CAB-4110-B505-0E1303FAF695}" name="Column4735" dataCellStyle="Normal 2"/>
    <tableColumn id="4751" xr3:uid="{AE5107CE-86C6-444A-88D9-19C8DD245C37}" name="Column4736" dataCellStyle="Normal 2"/>
    <tableColumn id="4752" xr3:uid="{F096DC54-AF8A-4EB4-A2EE-DBC2297D9ED1}" name="Column4737" dataCellStyle="Normal 2"/>
    <tableColumn id="4753" xr3:uid="{AE0881CA-3F28-4D0F-8298-C84F34BED6E5}" name="Column4738" dataCellStyle="Normal 2"/>
    <tableColumn id="4754" xr3:uid="{30C0D910-4A61-44F5-8B11-7247EB43C5CC}" name="Column4739" dataCellStyle="Normal 2"/>
    <tableColumn id="4755" xr3:uid="{94E4D49C-6B5A-4750-A97C-B4ADA0FAF78A}" name="Column4740" dataCellStyle="Normal 2"/>
    <tableColumn id="4756" xr3:uid="{273544CC-D873-4570-B2FB-6BEAF58E1872}" name="Column4741" dataCellStyle="Normal 2"/>
    <tableColumn id="4757" xr3:uid="{F5ADEDA9-47AF-45EB-BC9C-B92970DC2DAC}" name="Column4742" dataCellStyle="Normal 2"/>
    <tableColumn id="4758" xr3:uid="{8EED43E3-F3F9-43EF-9F73-A8BEF2172BE6}" name="Column4743" dataCellStyle="Normal 2"/>
    <tableColumn id="4759" xr3:uid="{E75EF909-135E-44B1-BC9B-A4745217CB60}" name="Column4744" dataCellStyle="Normal 2"/>
    <tableColumn id="4760" xr3:uid="{36BC42E5-D102-46F4-84C9-91435130B61B}" name="Column4745" dataCellStyle="Normal 2"/>
    <tableColumn id="4761" xr3:uid="{440A734B-A7AD-476C-A159-2180D3B70731}" name="Column4746" dataCellStyle="Normal 2"/>
    <tableColumn id="4762" xr3:uid="{5BE30B25-42EE-4DAC-B1C7-7A594B5DEAA6}" name="Column4747" dataCellStyle="Normal 2"/>
    <tableColumn id="4763" xr3:uid="{48268942-17D6-40BC-9008-19BDAB0746DF}" name="Column4748" dataCellStyle="Normal 2"/>
    <tableColumn id="4764" xr3:uid="{B436BA0A-BE16-42C8-BC5F-B1CB68486B73}" name="Column4749" dataCellStyle="Normal 2"/>
    <tableColumn id="4765" xr3:uid="{82065756-FEC3-4040-A848-25606AE3540D}" name="Column4750" dataCellStyle="Normal 2"/>
    <tableColumn id="4766" xr3:uid="{875AA37A-B225-42ED-93D2-96CDFAD2C914}" name="Column4751" dataCellStyle="Normal 2"/>
    <tableColumn id="4767" xr3:uid="{0C44E63A-60B7-4B03-BBCD-192E22718790}" name="Column4752" dataCellStyle="Normal 2"/>
    <tableColumn id="4768" xr3:uid="{D955180E-359C-4527-A2EE-57E506D55711}" name="Column4753" dataCellStyle="Normal 2"/>
    <tableColumn id="4769" xr3:uid="{0C8E063B-A849-452C-9C8A-3805ECC46728}" name="Column4754" dataCellStyle="Normal 2"/>
    <tableColumn id="4770" xr3:uid="{CEB4A38E-0789-45EA-A156-14D2F2DD0B88}" name="Column4755" dataCellStyle="Normal 2"/>
    <tableColumn id="4771" xr3:uid="{4F011105-3360-450C-803D-15833E9A1337}" name="Column4756" dataCellStyle="Normal 2"/>
    <tableColumn id="4772" xr3:uid="{EBAD208D-9317-4BCB-AB76-45A27756927C}" name="Column4757" dataCellStyle="Normal 2"/>
    <tableColumn id="4773" xr3:uid="{AFE1BAC3-F2AB-4D9F-9047-9C42C5DBBEF5}" name="Column4758" dataCellStyle="Normal 2"/>
    <tableColumn id="4774" xr3:uid="{AB568B19-EF25-4EF7-B37C-5760AE0E5C94}" name="Column4759" dataCellStyle="Normal 2"/>
    <tableColumn id="4775" xr3:uid="{C9964EB9-B65E-4AF7-86DC-EC27AF1094A1}" name="Column4760" dataCellStyle="Normal 2"/>
    <tableColumn id="4776" xr3:uid="{BA34E7B7-1EE4-44D6-B12F-76C1FFAC01E7}" name="Column4761" dataCellStyle="Normal 2"/>
    <tableColumn id="4777" xr3:uid="{3968BA41-EF5B-4771-8842-31DC7738C7A1}" name="Column4762" dataCellStyle="Normal 2"/>
    <tableColumn id="4778" xr3:uid="{510A42B4-669F-47B1-A85C-81715CCB3C4B}" name="Column4763" dataCellStyle="Normal 2"/>
    <tableColumn id="4779" xr3:uid="{11C7043E-433B-43BC-81BE-68ED7A363422}" name="Column4764" dataCellStyle="Normal 2"/>
    <tableColumn id="4780" xr3:uid="{D1A78859-0C6F-453A-A7DA-A49DF54F645D}" name="Column4765" dataCellStyle="Normal 2"/>
    <tableColumn id="4781" xr3:uid="{1F62D6E8-FFC1-45A0-8D24-1C498757BCED}" name="Column4766" dataCellStyle="Normal 2"/>
    <tableColumn id="4782" xr3:uid="{C41CFE74-C533-4AC2-B78C-109E2C873B27}" name="Column4767" dataCellStyle="Normal 2"/>
    <tableColumn id="4783" xr3:uid="{58CE3C34-D4D2-4D12-99BC-8E7AF9D37D68}" name="Column4768" dataCellStyle="Normal 2"/>
    <tableColumn id="4784" xr3:uid="{293837BE-13F4-456D-BFB7-4FE95E5DD8B3}" name="Column4769" dataCellStyle="Normal 2"/>
    <tableColumn id="4785" xr3:uid="{2CE3F6D8-A0B0-4079-A484-6AA94AD29088}" name="Column4770" dataCellStyle="Normal 2"/>
    <tableColumn id="4786" xr3:uid="{9F323769-2BF8-4F11-8EB1-E8E7D6AFA548}" name="Column4771" dataCellStyle="Normal 2"/>
    <tableColumn id="4787" xr3:uid="{A81A8316-98A8-4003-B3CF-363D55CD9B5D}" name="Column4772" dataCellStyle="Normal 2"/>
    <tableColumn id="4788" xr3:uid="{DCE2210F-4C0C-47FD-BFCC-6C2453AF652D}" name="Column4773" dataCellStyle="Normal 2"/>
    <tableColumn id="4789" xr3:uid="{61B1FDBD-580C-4CFF-8B4D-C34C151A5B40}" name="Column4774" dataCellStyle="Normal 2"/>
    <tableColumn id="4790" xr3:uid="{EADB3493-9127-4EC8-9643-E7C2881BBF1A}" name="Column4775" dataCellStyle="Normal 2"/>
    <tableColumn id="4791" xr3:uid="{0E6790F5-68F0-4C5C-858B-CB50EB35148B}" name="Column4776" dataCellStyle="Normal 2"/>
    <tableColumn id="4792" xr3:uid="{4ABB4A66-323A-4CE8-8F3D-2684FAD18C8F}" name="Column4777" dataCellStyle="Normal 2"/>
    <tableColumn id="4793" xr3:uid="{1EE01BAF-C6A4-488C-9689-67A7EE26D399}" name="Column4778" dataCellStyle="Normal 2"/>
    <tableColumn id="4794" xr3:uid="{30B6DF3C-2C1A-4718-8390-52AA275D91A4}" name="Column4779" dataCellStyle="Normal 2"/>
    <tableColumn id="4795" xr3:uid="{6DDBFB23-4101-477E-B6AE-520E6C13F88A}" name="Column4780" dataCellStyle="Normal 2"/>
    <tableColumn id="4796" xr3:uid="{F8DDA5E7-1B47-470C-834D-2623CB7E02EA}" name="Column4781" dataCellStyle="Normal 2"/>
    <tableColumn id="4797" xr3:uid="{F5649687-7677-4D86-9CEF-EE5017CD62FA}" name="Column4782" dataCellStyle="Normal 2"/>
    <tableColumn id="4798" xr3:uid="{DCCD9103-0F3C-40A8-97B4-58BACB9C77CC}" name="Column4783" dataCellStyle="Normal 2"/>
    <tableColumn id="4799" xr3:uid="{32B103BD-D724-48B7-B6F7-140B7107B883}" name="Column4784" dataCellStyle="Normal 2"/>
    <tableColumn id="4800" xr3:uid="{5AB03151-1AEC-49B3-A184-62BD7DA39655}" name="Column4785" dataCellStyle="Normal 2"/>
    <tableColumn id="4801" xr3:uid="{728599B6-9C67-4B33-AA71-276F6D01237F}" name="Column4786" dataCellStyle="Normal 2"/>
    <tableColumn id="4802" xr3:uid="{33125411-450D-475B-8A7C-CABE048177CF}" name="Column4787" dataCellStyle="Normal 2"/>
    <tableColumn id="4803" xr3:uid="{CCCCEF5A-A9DD-41B2-A615-16227A87E19C}" name="Column4788" dataCellStyle="Normal 2"/>
    <tableColumn id="4804" xr3:uid="{816F9F99-EAB9-47EA-AEDD-7A2AE117D3DB}" name="Column4789" dataCellStyle="Normal 2"/>
    <tableColumn id="4805" xr3:uid="{DE50772A-4453-455C-A61F-CABFD23E0FD1}" name="Column4790" dataCellStyle="Normal 2"/>
    <tableColumn id="4806" xr3:uid="{34EFD0DC-65E4-410C-A37E-75A28F3E9610}" name="Column4791" dataCellStyle="Normal 2"/>
    <tableColumn id="4807" xr3:uid="{BDFE6288-E005-4234-A913-A60D6B2D104F}" name="Column4792" dataCellStyle="Normal 2"/>
    <tableColumn id="4808" xr3:uid="{BD58C7F4-D81A-4297-B0F9-130567BF85DB}" name="Column4793" dataCellStyle="Normal 2"/>
    <tableColumn id="4809" xr3:uid="{50628C17-1C19-4CBB-9A25-2791538D1C53}" name="Column4794" dataCellStyle="Normal 2"/>
    <tableColumn id="4810" xr3:uid="{B74011F6-5148-4F0E-8879-E4DD8F47210F}" name="Column4795" dataCellStyle="Normal 2"/>
    <tableColumn id="4811" xr3:uid="{0A858891-9551-4A41-BB74-92FFE589964B}" name="Column4796" dataCellStyle="Normal 2"/>
    <tableColumn id="4812" xr3:uid="{9F3ECA04-CDC3-496F-9DA3-C936C9D132BE}" name="Column4797" dataCellStyle="Normal 2"/>
    <tableColumn id="4813" xr3:uid="{5225A08D-D031-4A51-B5B0-251EB710EA19}" name="Column4798" dataCellStyle="Normal 2"/>
    <tableColumn id="4814" xr3:uid="{72552339-2C6E-4582-AAE0-3371AFEB7946}" name="Column4799" dataCellStyle="Normal 2"/>
    <tableColumn id="4815" xr3:uid="{B45EF5AA-7004-44C3-A8E5-FFE1FD7C5175}" name="Column4800" dataCellStyle="Normal 2"/>
    <tableColumn id="4816" xr3:uid="{57D049F7-91CF-47B1-8D40-45BB2DA12904}" name="Column4801" dataCellStyle="Normal 2"/>
    <tableColumn id="4817" xr3:uid="{3ABE591D-F26C-4552-ABB0-51DAB96ECAE5}" name="Column4802" dataCellStyle="Normal 2"/>
    <tableColumn id="4818" xr3:uid="{4084DDD1-DB3B-49D8-8957-079F399643FB}" name="Column4803" dataCellStyle="Normal 2"/>
    <tableColumn id="4819" xr3:uid="{7CAC3168-E1F6-4ADB-BF9A-15AA495985AE}" name="Column4804" dataCellStyle="Normal 2"/>
    <tableColumn id="4820" xr3:uid="{FB6B2787-3CAD-412D-AFB1-FF20D95B50B0}" name="Column4805" dataCellStyle="Normal 2"/>
    <tableColumn id="4821" xr3:uid="{D04F6658-E180-4807-B8F5-2C3B0E5BFDE9}" name="Column4806" dataCellStyle="Normal 2"/>
    <tableColumn id="4822" xr3:uid="{53A84745-7DCE-46A8-9240-25B2AA342473}" name="Column4807" dataCellStyle="Normal 2"/>
    <tableColumn id="4823" xr3:uid="{BFCA2CE7-7078-4A2A-9BC6-D7691DCD2BD5}" name="Column4808" dataCellStyle="Normal 2"/>
    <tableColumn id="4824" xr3:uid="{DD7F0F65-9946-411F-89F2-8EF43FAB1D9D}" name="Column4809" dataCellStyle="Normal 2"/>
    <tableColumn id="4825" xr3:uid="{2777D7A4-A0B6-44CE-8C93-AFA0CAF8DC14}" name="Column4810" dataCellStyle="Normal 2"/>
    <tableColumn id="4826" xr3:uid="{A0504421-3420-40EB-88B9-68001EE424BF}" name="Column4811" dataCellStyle="Normal 2"/>
    <tableColumn id="4827" xr3:uid="{8B6227C2-FE8C-4D7C-B5D2-5E87F85CFA1C}" name="Column4812" dataCellStyle="Normal 2"/>
    <tableColumn id="4828" xr3:uid="{8A76F775-0E29-4C43-B5B9-2BE586038402}" name="Column4813" dataCellStyle="Normal 2"/>
    <tableColumn id="4829" xr3:uid="{7FBA9869-96FA-43F5-BC58-E5643F9B0017}" name="Column4814" dataCellStyle="Normal 2"/>
    <tableColumn id="4830" xr3:uid="{843E6F8B-B9C5-410F-B4A8-B967C8BBFD51}" name="Column4815" dataCellStyle="Normal 2"/>
    <tableColumn id="4831" xr3:uid="{4549272E-0F58-4C44-9D9C-E4FD54AB31F8}" name="Column4816" dataCellStyle="Normal 2"/>
    <tableColumn id="4832" xr3:uid="{3D207DC9-8961-49D8-835D-46A187534008}" name="Column4817" dataCellStyle="Normal 2"/>
    <tableColumn id="4833" xr3:uid="{6EC97DA6-C21C-4511-AE22-BBC107F58126}" name="Column4818" dataCellStyle="Normal 2"/>
    <tableColumn id="4834" xr3:uid="{1C06B4BC-97A2-4F92-B0AA-CCB5C56F9688}" name="Column4819" dataCellStyle="Normal 2"/>
    <tableColumn id="4835" xr3:uid="{3226B670-F980-4FC1-A8E3-6A7E7BBE13F2}" name="Column4820" dataCellStyle="Normal 2"/>
    <tableColumn id="4836" xr3:uid="{14F75025-FB9C-4A17-8255-E575C15EEBD0}" name="Column4821" dataCellStyle="Normal 2"/>
    <tableColumn id="4837" xr3:uid="{9D07B339-5A59-4475-87FB-75A5DDCEAE5E}" name="Column4822" dataCellStyle="Normal 2"/>
    <tableColumn id="4838" xr3:uid="{225BAE1F-6249-4896-8E93-62292CE9DA17}" name="Column4823" dataCellStyle="Normal 2"/>
    <tableColumn id="4839" xr3:uid="{ACB8DAB7-DB1F-44C4-A4E3-898C631964FB}" name="Column4824" dataCellStyle="Normal 2"/>
    <tableColumn id="4840" xr3:uid="{7F071FEF-F3B8-42C7-8522-00EA1B4C12B9}" name="Column4825" dataCellStyle="Normal 2"/>
    <tableColumn id="4841" xr3:uid="{60B4C1F8-95BB-475E-99E3-55314EE22F92}" name="Column4826" dataCellStyle="Normal 2"/>
    <tableColumn id="4842" xr3:uid="{A713D707-864D-45B3-A491-4C3BDDA2A7C5}" name="Column4827" dataCellStyle="Normal 2"/>
    <tableColumn id="4843" xr3:uid="{1606AA76-F287-4A69-AB60-54A6628570C4}" name="Column4828" dataCellStyle="Normal 2"/>
    <tableColumn id="4844" xr3:uid="{C79F003E-9F75-465A-A486-12AFFD64E6C9}" name="Column4829" dataCellStyle="Normal 2"/>
    <tableColumn id="4845" xr3:uid="{585AAABF-5464-406E-A9AE-01841F258D1E}" name="Column4830" dataCellStyle="Normal 2"/>
    <tableColumn id="4846" xr3:uid="{167C1E4C-373B-4827-849F-669A8594C11B}" name="Column4831" dataCellStyle="Normal 2"/>
    <tableColumn id="4847" xr3:uid="{4B1F4E73-D06D-4828-AA5C-B71B0F2C1B2A}" name="Column4832" dataCellStyle="Normal 2"/>
    <tableColumn id="4848" xr3:uid="{5E2E7398-91C0-4172-B751-1B5E7640B5CF}" name="Column4833" dataCellStyle="Normal 2"/>
    <tableColumn id="4849" xr3:uid="{F58F8B91-26C0-4A12-8C25-3E08C33AEDBB}" name="Column4834" dataCellStyle="Normal 2"/>
    <tableColumn id="4850" xr3:uid="{D568A3CB-BDB3-456B-87D3-20B06B68FB8F}" name="Column4835" dataCellStyle="Normal 2"/>
    <tableColumn id="4851" xr3:uid="{696EE2C7-8CAD-432B-BF69-4F5A458967CA}" name="Column4836" dataCellStyle="Normal 2"/>
    <tableColumn id="4852" xr3:uid="{1AA3FB33-CA10-40C8-AD0C-223F6E37C6F5}" name="Column4837" dataCellStyle="Normal 2"/>
    <tableColumn id="4853" xr3:uid="{EDA8EAF7-BD87-4FCF-A8D8-560A4BB015ED}" name="Column4838" dataCellStyle="Normal 2"/>
    <tableColumn id="4854" xr3:uid="{318E2231-BD2C-4D27-9D3D-012C9A584E1E}" name="Column4839" dataCellStyle="Normal 2"/>
    <tableColumn id="4855" xr3:uid="{56F9A203-DF63-42A8-9B8D-3B374118B2C4}" name="Column4840" dataCellStyle="Normal 2"/>
    <tableColumn id="4856" xr3:uid="{1804FD11-E839-4CEF-880C-CDEC8BA248B6}" name="Column4841" dataCellStyle="Normal 2"/>
    <tableColumn id="4857" xr3:uid="{75FFACDA-AB2B-43B7-A9A9-6A369732F11E}" name="Column4842" dataCellStyle="Normal 2"/>
    <tableColumn id="4858" xr3:uid="{D8F5C7AC-663C-45F6-921A-BB6E032EC4C6}" name="Column4843" dataCellStyle="Normal 2"/>
    <tableColumn id="4859" xr3:uid="{8DE66369-A039-4516-A746-C7AA5960F536}" name="Column4844" dataCellStyle="Normal 2"/>
    <tableColumn id="4860" xr3:uid="{33927B44-3A0A-4D26-93CC-C99652F4CF71}" name="Column4845" dataCellStyle="Normal 2"/>
    <tableColumn id="4861" xr3:uid="{D551C5FC-6617-4227-B9E2-C7EA6D937592}" name="Column4846" dataCellStyle="Normal 2"/>
    <tableColumn id="4862" xr3:uid="{DF39FF98-8A93-4CBA-B1B8-4E5966354C32}" name="Column4847" dataCellStyle="Normal 2"/>
    <tableColumn id="4863" xr3:uid="{6C73E43D-9C19-49B7-BDAB-9A4F40EDE609}" name="Column4848" dataCellStyle="Normal 2"/>
    <tableColumn id="4864" xr3:uid="{64D5E443-4FE4-46A8-A156-CA671F316EC2}" name="Column4849" dataCellStyle="Normal 2"/>
    <tableColumn id="4865" xr3:uid="{0DCA9402-CE9D-4DB6-8804-E54923F4F05C}" name="Column4850" dataCellStyle="Normal 2"/>
    <tableColumn id="4866" xr3:uid="{53496EF6-970E-45D5-9DF6-120E0D82F8FA}" name="Column4851" dataCellStyle="Normal 2"/>
    <tableColumn id="4867" xr3:uid="{2D2883F4-B6C3-4C94-BB2B-E89E22D302F3}" name="Column4852" dataCellStyle="Normal 2"/>
    <tableColumn id="4868" xr3:uid="{B7C13DDB-F4A0-49BD-BC17-5BE4A0AF5586}" name="Column4853" dataCellStyle="Normal 2"/>
    <tableColumn id="4869" xr3:uid="{15882F04-7B2E-4E53-BBCA-A31596ED1AA5}" name="Column4854" dataCellStyle="Normal 2"/>
    <tableColumn id="4870" xr3:uid="{18121011-3BED-45A4-91F4-71794383861B}" name="Column4855" dataCellStyle="Normal 2"/>
    <tableColumn id="4871" xr3:uid="{D214EEE5-C052-4B89-9E53-B5AB8D263404}" name="Column4856" dataCellStyle="Normal 2"/>
    <tableColumn id="4872" xr3:uid="{27734559-93E7-4346-851A-E813319F7411}" name="Column4857" dataCellStyle="Normal 2"/>
    <tableColumn id="4873" xr3:uid="{2975E44B-BB62-471A-9F5E-DD0717AB374B}" name="Column4858" dataCellStyle="Normal 2"/>
    <tableColumn id="4874" xr3:uid="{077ED11D-B90B-46A9-A947-4EA9F3C53CD0}" name="Column4859" dataCellStyle="Normal 2"/>
    <tableColumn id="4875" xr3:uid="{1CE339E3-2EE0-4A89-893E-F4FC345334FA}" name="Column4860" dataCellStyle="Normal 2"/>
    <tableColumn id="4876" xr3:uid="{2665EDD4-B6DD-4374-BFC2-389670447E2A}" name="Column4861" dataCellStyle="Normal 2"/>
    <tableColumn id="4877" xr3:uid="{1BABBD59-1D7F-4CA8-A3AE-4D9BB90CD48D}" name="Column4862" dataCellStyle="Normal 2"/>
    <tableColumn id="4878" xr3:uid="{BC9392F0-308B-4E89-ACFF-855E0A29D1E5}" name="Column4863" dataCellStyle="Normal 2"/>
    <tableColumn id="4879" xr3:uid="{41BABB8F-12D0-4CA9-8C86-123BCCFB6321}" name="Column4864" dataCellStyle="Normal 2"/>
    <tableColumn id="4880" xr3:uid="{11C234F0-321C-4590-9250-6F3C19D5FE5C}" name="Column4865" dataCellStyle="Normal 2"/>
    <tableColumn id="4881" xr3:uid="{43814B95-1A97-468E-A7FA-CB24E827A28D}" name="Column4866" dataCellStyle="Normal 2"/>
    <tableColumn id="4882" xr3:uid="{35718C9F-D87A-4D66-8714-DED27D581B45}" name="Column4867" dataCellStyle="Normal 2"/>
    <tableColumn id="4883" xr3:uid="{EA89F429-F9C7-40CF-9B3F-BCCF435A65DC}" name="Column4868" dataCellStyle="Normal 2"/>
    <tableColumn id="4884" xr3:uid="{64964F02-829F-4FD8-9238-15E0135D3509}" name="Column4869" dataCellStyle="Normal 2"/>
    <tableColumn id="4885" xr3:uid="{4113EE4F-AF2B-47D8-AB19-5A5CA9DA50A6}" name="Column4870" dataCellStyle="Normal 2"/>
    <tableColumn id="4886" xr3:uid="{CA1AFC1C-8D0E-45B5-AEE7-379E09AC7C97}" name="Column4871" dataCellStyle="Normal 2"/>
    <tableColumn id="4887" xr3:uid="{B939A05C-2C04-4515-AABA-BD6E8A5C5FC5}" name="Column4872" dataCellStyle="Normal 2"/>
    <tableColumn id="4888" xr3:uid="{096EBBB4-2943-4C68-9AF8-69A053E07D26}" name="Column4873" dataCellStyle="Normal 2"/>
    <tableColumn id="4889" xr3:uid="{90B045B4-735F-4B6F-9EF0-56C210F8EAB3}" name="Column4874" dataCellStyle="Normal 2"/>
    <tableColumn id="4890" xr3:uid="{EAC71E25-95DA-449D-B95F-6ED151E5B5D9}" name="Column4875" dataCellStyle="Normal 2"/>
    <tableColumn id="4891" xr3:uid="{3E3AC200-2AAB-47F0-BAEC-0D0FE3A9AAAC}" name="Column4876" dataCellStyle="Normal 2"/>
    <tableColumn id="4892" xr3:uid="{0E997451-A117-49E6-BB4C-1AC0F229126D}" name="Column4877" dataCellStyle="Normal 2"/>
    <tableColumn id="4893" xr3:uid="{C691F436-0208-4A7C-9E64-C2C5BBB49ACD}" name="Column4878" dataCellStyle="Normal 2"/>
    <tableColumn id="4894" xr3:uid="{0607FFD3-C888-41B0-A1DE-A8D544AA8DDC}" name="Column4879" dataCellStyle="Normal 2"/>
    <tableColumn id="4895" xr3:uid="{DE6CA64E-1E23-422E-8C74-1F08C8AA024E}" name="Column4880" dataCellStyle="Normal 2"/>
    <tableColumn id="4896" xr3:uid="{6CFA3F72-0AF0-42C9-A482-64E152938BE0}" name="Column4881" dataCellStyle="Normal 2"/>
    <tableColumn id="4897" xr3:uid="{DF62C8EA-59FC-4B0F-A1E3-10E43240AD30}" name="Column4882" dataCellStyle="Normal 2"/>
    <tableColumn id="4898" xr3:uid="{5CB7D21B-2B4A-4BD0-B501-AD67539312DE}" name="Column4883" dataCellStyle="Normal 2"/>
    <tableColumn id="4899" xr3:uid="{FEDD25B2-B32A-454C-A339-934B89380EA6}" name="Column4884" dataCellStyle="Normal 2"/>
    <tableColumn id="4900" xr3:uid="{48D3CD0B-837C-40F7-A184-4DF8C3FED301}" name="Column4885" dataCellStyle="Normal 2"/>
    <tableColumn id="4901" xr3:uid="{564F92A5-FD50-4D14-AF25-D4B9FCBCFFCB}" name="Column4886" dataCellStyle="Normal 2"/>
    <tableColumn id="4902" xr3:uid="{EA179639-B110-4194-8E9F-0CE18FDBF12C}" name="Column4887" dataCellStyle="Normal 2"/>
    <tableColumn id="4903" xr3:uid="{C28AB4A7-DD6B-4604-9D74-48DE1058A76A}" name="Column4888" dataCellStyle="Normal 2"/>
    <tableColumn id="4904" xr3:uid="{949FDEED-A817-4898-9C39-656E39EE8763}" name="Column4889" dataCellStyle="Normal 2"/>
    <tableColumn id="4905" xr3:uid="{37B41591-7CFB-46BF-94EE-66C36D63C646}" name="Column4890" dataCellStyle="Normal 2"/>
    <tableColumn id="4906" xr3:uid="{3F9B73C5-71AA-45C9-8EB6-E787F912D718}" name="Column4891" dataCellStyle="Normal 2"/>
    <tableColumn id="4907" xr3:uid="{AA5BCDF6-9B9E-476F-8322-BD85DC20B76C}" name="Column4892" dataCellStyle="Normal 2"/>
    <tableColumn id="4908" xr3:uid="{1AFD0DFF-F96B-4ED1-81A2-D53060B41ECC}" name="Column4893" dataCellStyle="Normal 2"/>
    <tableColumn id="4909" xr3:uid="{78C90868-C7D5-4197-82C5-0A2AAE6432DE}" name="Column4894" dataCellStyle="Normal 2"/>
    <tableColumn id="4910" xr3:uid="{C7F88378-0F3C-4C04-BDE2-1ACF9F43E869}" name="Column4895" dataCellStyle="Normal 2"/>
    <tableColumn id="4911" xr3:uid="{9B9D9B32-0825-40B6-A0FC-97A95134A28C}" name="Column4896" dataCellStyle="Normal 2"/>
    <tableColumn id="4912" xr3:uid="{35D0DED4-1C73-476B-A02D-61C6E563BF0B}" name="Column4897" dataCellStyle="Normal 2"/>
    <tableColumn id="4913" xr3:uid="{D5B72796-6E90-41AD-8D9E-9110C18EB525}" name="Column4898" dataCellStyle="Normal 2"/>
    <tableColumn id="4914" xr3:uid="{71F7579D-C1C0-411A-B444-975C67D551B5}" name="Column4899" dataCellStyle="Normal 2"/>
    <tableColumn id="4915" xr3:uid="{2E07C54B-7330-4B67-BEDD-B85A8228C80E}" name="Column4900" dataCellStyle="Normal 2"/>
    <tableColumn id="4916" xr3:uid="{E1F49C97-824E-475A-BA1A-BC1006638888}" name="Column4901" dataCellStyle="Normal 2"/>
    <tableColumn id="4917" xr3:uid="{B903CC95-7EAF-4ABF-A250-E2AD0EF853D2}" name="Column4902" dataCellStyle="Normal 2"/>
    <tableColumn id="4918" xr3:uid="{73D3D92A-5839-4F9C-94EA-30A1484D45D3}" name="Column4903" dataCellStyle="Normal 2"/>
    <tableColumn id="4919" xr3:uid="{24132653-F01F-469E-9BAB-8F7C87AE13CB}" name="Column4904" dataCellStyle="Normal 2"/>
    <tableColumn id="4920" xr3:uid="{F13D25E3-C2D2-4DDD-837F-81DA7139381E}" name="Column4905" dataCellStyle="Normal 2"/>
    <tableColumn id="4921" xr3:uid="{A628E3E5-5BA3-4CC2-8D08-DE65EF9B5311}" name="Column4906" dataCellStyle="Normal 2"/>
    <tableColumn id="4922" xr3:uid="{0952A7FF-5951-46F9-AA92-60F5BA84046C}" name="Column4907" dataCellStyle="Normal 2"/>
    <tableColumn id="4923" xr3:uid="{F31FB7CC-1F05-4637-B804-3FA6A2CD3CB0}" name="Column4908" dataCellStyle="Normal 2"/>
    <tableColumn id="4924" xr3:uid="{A05651BE-7321-450E-944E-19F70A85EA20}" name="Column4909" dataCellStyle="Normal 2"/>
    <tableColumn id="4925" xr3:uid="{C613F446-7884-402B-AD14-6ACD2EA4BC4C}" name="Column4910" dataCellStyle="Normal 2"/>
    <tableColumn id="4926" xr3:uid="{AC838FE4-D363-464A-8F35-0A6A20C35064}" name="Column4911" dataCellStyle="Normal 2"/>
    <tableColumn id="4927" xr3:uid="{E461F7DF-B85E-4520-A49F-FCDD495D9B39}" name="Column4912" dataCellStyle="Normal 2"/>
    <tableColumn id="4928" xr3:uid="{A6F14DC0-0A22-4AEA-A3C5-BA914BB385D5}" name="Column4913" dataCellStyle="Normal 2"/>
    <tableColumn id="4929" xr3:uid="{E8503BA2-A429-4D57-B57E-A47FCB8BE7D7}" name="Column4914" dataCellStyle="Normal 2"/>
    <tableColumn id="4930" xr3:uid="{1EF4CF7C-E87E-47B0-8401-13B50E75FCE0}" name="Column4915" dataCellStyle="Normal 2"/>
    <tableColumn id="4931" xr3:uid="{B9BCB5F1-85D0-498A-B2C8-FDCD0A4E8788}" name="Column4916" dataCellStyle="Normal 2"/>
    <tableColumn id="4932" xr3:uid="{C68D4BDC-5D0E-4201-BA3F-42EF6E849770}" name="Column4917" dataCellStyle="Normal 2"/>
    <tableColumn id="4933" xr3:uid="{D4CB3761-7560-4636-BBC1-48DB97E82918}" name="Column4918" dataCellStyle="Normal 2"/>
    <tableColumn id="4934" xr3:uid="{9BB392FE-DBD5-49FF-BA8A-76BA7ED794FD}" name="Column4919" dataCellStyle="Normal 2"/>
    <tableColumn id="4935" xr3:uid="{66D9A164-8463-40FE-BCF0-82B169ECC0D3}" name="Column4920" dataCellStyle="Normal 2"/>
    <tableColumn id="4936" xr3:uid="{69042A2B-48EE-4CF3-AB4B-250C49AAB77B}" name="Column4921" dataCellStyle="Normal 2"/>
    <tableColumn id="4937" xr3:uid="{0E83EE8B-6A56-4BD2-A5D1-0A7155A93B8F}" name="Column4922" dataCellStyle="Normal 2"/>
    <tableColumn id="4938" xr3:uid="{45AD58AE-4325-45F9-8471-BF0902845E01}" name="Column4923" dataCellStyle="Normal 2"/>
    <tableColumn id="4939" xr3:uid="{86A67DFB-9BD9-4720-9835-26330E13C756}" name="Column4924" dataCellStyle="Normal 2"/>
    <tableColumn id="4940" xr3:uid="{0A6D9E66-72CB-4F68-A370-7409C3C23C96}" name="Column4925" dataCellStyle="Normal 2"/>
    <tableColumn id="4941" xr3:uid="{7E38E230-CED5-4A82-9125-C8A53EA38604}" name="Column4926" dataCellStyle="Normal 2"/>
    <tableColumn id="4942" xr3:uid="{78B1DCDA-43E4-45C5-BE39-58C6DCEE5DE6}" name="Column4927" dataCellStyle="Normal 2"/>
    <tableColumn id="4943" xr3:uid="{2EF217AB-2563-44B3-A22C-DFF049C5D808}" name="Column4928" dataCellStyle="Normal 2"/>
    <tableColumn id="4944" xr3:uid="{9633A6F0-C756-40C0-88AE-094640D6434E}" name="Column4929" dataCellStyle="Normal 2"/>
    <tableColumn id="4945" xr3:uid="{B96DA4C4-CDA3-4A74-A2D7-5BCAF7358569}" name="Column4930" dataCellStyle="Normal 2"/>
    <tableColumn id="4946" xr3:uid="{264C0152-7073-495F-9E80-6B2528E83375}" name="Column4931" dataCellStyle="Normal 2"/>
    <tableColumn id="4947" xr3:uid="{39C9C3B7-7307-47D9-B328-E1A8FD089201}" name="Column4932" dataCellStyle="Normal 2"/>
    <tableColumn id="4948" xr3:uid="{981347EC-6E68-4DD0-BEAA-D6DDC6899DDA}" name="Column4933" dataCellStyle="Normal 2"/>
    <tableColumn id="4949" xr3:uid="{657575B6-EB14-486C-BD28-389F9C9A04B3}" name="Column4934" dataCellStyle="Normal 2"/>
    <tableColumn id="4950" xr3:uid="{AB25F360-9238-49A6-ABCC-33359C85E07D}" name="Column4935" dataCellStyle="Normal 2"/>
    <tableColumn id="4951" xr3:uid="{E0DC19EB-5C41-4516-89A3-71CA32C97487}" name="Column4936" dataCellStyle="Normal 2"/>
    <tableColumn id="4952" xr3:uid="{A378D5EE-BB53-4C3C-9945-D6A93FEA7729}" name="Column4937" dataCellStyle="Normal 2"/>
    <tableColumn id="4953" xr3:uid="{50561606-9926-4433-AB3A-250F0F45A4E0}" name="Column4938" dataCellStyle="Normal 2"/>
    <tableColumn id="4954" xr3:uid="{633ADAFF-95E7-4710-BFF8-F0A03333CD9D}" name="Column4939" dataCellStyle="Normal 2"/>
    <tableColumn id="4955" xr3:uid="{391D5629-535E-403D-AFA8-FB8C4E5AD8D1}" name="Column4940" dataCellStyle="Normal 2"/>
    <tableColumn id="4956" xr3:uid="{047480DF-2DD2-4450-B086-FB3913854A05}" name="Column4941" dataCellStyle="Normal 2"/>
    <tableColumn id="4957" xr3:uid="{E0A9E650-EA38-4006-861F-2B9B92F17D95}" name="Column4942" dataCellStyle="Normal 2"/>
    <tableColumn id="4958" xr3:uid="{FFEC8A3C-A9BC-46FF-8B45-CA7298D493C7}" name="Column4943" dataCellStyle="Normal 2"/>
    <tableColumn id="4959" xr3:uid="{10A33F60-089B-4E71-BE4B-E55F36B07D00}" name="Column4944" dataCellStyle="Normal 2"/>
    <tableColumn id="4960" xr3:uid="{1FF3687B-8622-4732-92CE-F06632022B8D}" name="Column4945" dataCellStyle="Normal 2"/>
    <tableColumn id="4961" xr3:uid="{B44F4159-BD73-40A0-B40A-E7BD2FABD371}" name="Column4946" dataCellStyle="Normal 2"/>
    <tableColumn id="4962" xr3:uid="{BDBDE148-E458-41CA-8EBB-3CCCA9CAD34D}" name="Column4947" dataCellStyle="Normal 2"/>
    <tableColumn id="4963" xr3:uid="{6734AADE-3E42-4F66-A58C-0D7528A4E677}" name="Column4948" dataCellStyle="Normal 2"/>
    <tableColumn id="4964" xr3:uid="{830BE460-4436-4FA3-AFF6-A18ED14BD3D6}" name="Column4949" dataCellStyle="Normal 2"/>
    <tableColumn id="4965" xr3:uid="{E8ACB0DA-2397-4F37-8C8B-F874F57832C9}" name="Column4950" dataCellStyle="Normal 2"/>
    <tableColumn id="4966" xr3:uid="{A69B7BCC-7359-4A56-BDC6-E0239478DF25}" name="Column4951" dataCellStyle="Normal 2"/>
    <tableColumn id="4967" xr3:uid="{06114716-3D68-41DE-9197-4F45D8F3FC9B}" name="Column4952" dataCellStyle="Normal 2"/>
    <tableColumn id="4968" xr3:uid="{C910D3D2-FD7E-42C2-AD36-7B6E4DE702BE}" name="Column4953" dataCellStyle="Normal 2"/>
    <tableColumn id="4969" xr3:uid="{4B0CE93B-A741-4F26-B8B7-95677BD1D55E}" name="Column4954" dataCellStyle="Normal 2"/>
    <tableColumn id="4970" xr3:uid="{ABA9EF3A-B399-4701-8311-45E5BD8BCF08}" name="Column4955" dataCellStyle="Normal 2"/>
    <tableColumn id="4971" xr3:uid="{76A5D079-66A8-4369-8D0C-512401644475}" name="Column4956" dataCellStyle="Normal 2"/>
    <tableColumn id="4972" xr3:uid="{4D854DFE-608C-46E4-BD6A-AFC31B28124A}" name="Column4957" dataCellStyle="Normal 2"/>
    <tableColumn id="4973" xr3:uid="{2617CA43-7DDD-476E-9334-0BEA3971B4AF}" name="Column4958" dataCellStyle="Normal 2"/>
    <tableColumn id="4974" xr3:uid="{B1ACEFFB-72D4-4665-BE75-FAC967385B9B}" name="Column4959" dataCellStyle="Normal 2"/>
    <tableColumn id="4975" xr3:uid="{12F24172-7810-491B-9108-FD61D90E1F8A}" name="Column4960" dataCellStyle="Normal 2"/>
    <tableColumn id="4976" xr3:uid="{03BDD00F-4DAE-4793-9E5F-8A0CD7480284}" name="Column4961" dataCellStyle="Normal 2"/>
    <tableColumn id="4977" xr3:uid="{5902C93B-EB9D-4897-9E81-54EE7898630E}" name="Column4962" dataCellStyle="Normal 2"/>
    <tableColumn id="4978" xr3:uid="{5EAC7020-E986-444F-B5DB-AF5C9FA6960B}" name="Column4963" dataCellStyle="Normal 2"/>
    <tableColumn id="4979" xr3:uid="{63D557C8-DC69-41C6-8789-AB70323BCB67}" name="Column4964" dataCellStyle="Normal 2"/>
    <tableColumn id="4980" xr3:uid="{AB504DAA-D992-4762-97D1-306725F3E525}" name="Column4965" dataCellStyle="Normal 2"/>
    <tableColumn id="4981" xr3:uid="{99590DA6-7E59-430F-A8B7-2F6AB02BB4A3}" name="Column4966" dataCellStyle="Normal 2"/>
    <tableColumn id="4982" xr3:uid="{558C3194-FAF1-400E-B8F5-2A0E7BBDDA58}" name="Column4967" dataCellStyle="Normal 2"/>
    <tableColumn id="4983" xr3:uid="{D7F8AC89-F1C0-48F5-B997-C83879E23B1E}" name="Column4968" dataCellStyle="Normal 2"/>
    <tableColumn id="4984" xr3:uid="{1C45A7DD-FEBD-41F9-AC12-424EA931C8E1}" name="Column4969" dataCellStyle="Normal 2"/>
    <tableColumn id="4985" xr3:uid="{9EC5DD16-9257-41C3-BBA1-BF4848C21CB8}" name="Column4970" dataCellStyle="Normal 2"/>
    <tableColumn id="4986" xr3:uid="{11F9EAD9-CF74-44A1-8B10-6EDCDFA89570}" name="Column4971" dataCellStyle="Normal 2"/>
    <tableColumn id="4987" xr3:uid="{EFCFE763-D168-44B4-91FB-BF29A2898DC2}" name="Column4972" dataCellStyle="Normal 2"/>
    <tableColumn id="4988" xr3:uid="{E0911223-C5A3-40F5-87D0-2C627B91C887}" name="Column4973" dataCellStyle="Normal 2"/>
    <tableColumn id="4989" xr3:uid="{42323689-86F5-418D-BDF1-9297FA8794A4}" name="Column4974" dataCellStyle="Normal 2"/>
    <tableColumn id="4990" xr3:uid="{D22E309C-B431-43DB-89AA-03D39441D778}" name="Column4975" dataCellStyle="Normal 2"/>
    <tableColumn id="4991" xr3:uid="{2C1294F3-1397-4228-86E6-81D9F07F6A91}" name="Column4976" dataCellStyle="Normal 2"/>
    <tableColumn id="4992" xr3:uid="{7126A68D-B9B1-4FBA-B38F-B0772BD9731B}" name="Column4977" dataCellStyle="Normal 2"/>
    <tableColumn id="4993" xr3:uid="{6736FF14-F6CE-434C-AA38-BE5DFEA7D203}" name="Column4978" dataCellStyle="Normal 2"/>
    <tableColumn id="4994" xr3:uid="{59D87700-D9D0-43A1-8C30-441DD44AD40A}" name="Column4979" dataCellStyle="Normal 2"/>
    <tableColumn id="4995" xr3:uid="{DBC516BE-91D5-4568-A968-656CF736413D}" name="Column4980" dataCellStyle="Normal 2"/>
    <tableColumn id="4996" xr3:uid="{13DAA031-75DB-4CC6-9E13-82A8F5973DD1}" name="Column4981" dataCellStyle="Normal 2"/>
    <tableColumn id="4997" xr3:uid="{1D90DCDB-8AC8-444F-BAAD-1DAFECA4701E}" name="Column4982" dataCellStyle="Normal 2"/>
    <tableColumn id="4998" xr3:uid="{363541E7-CAE5-4E81-B9A8-FA56B30F05DD}" name="Column4983" dataCellStyle="Normal 2"/>
    <tableColumn id="4999" xr3:uid="{5243B93F-D5BE-42A3-AE61-ADF81EB8D9ED}" name="Column4984" dataCellStyle="Normal 2"/>
    <tableColumn id="5000" xr3:uid="{137C75DB-2675-4F38-B287-1B5B1D2886F4}" name="Column4985" dataCellStyle="Normal 2"/>
    <tableColumn id="5001" xr3:uid="{0511FA26-A9E1-4B65-874E-DBD7E1347D46}" name="Column4986" dataCellStyle="Normal 2"/>
    <tableColumn id="5002" xr3:uid="{7DF72F2A-EE6C-445D-85C6-F01357FC46B7}" name="Column4987" dataCellStyle="Normal 2"/>
    <tableColumn id="5003" xr3:uid="{161662EF-0C54-4A81-94DD-BE1C51265AB8}" name="Column4988" dataCellStyle="Normal 2"/>
    <tableColumn id="5004" xr3:uid="{6558AEBA-DB8B-4214-A71E-F8538DB24E3E}" name="Column4989" dataCellStyle="Normal 2"/>
    <tableColumn id="5005" xr3:uid="{39207D50-0EFF-4FC8-AE20-50A835FF3FD8}" name="Column4990" dataCellStyle="Normal 2"/>
    <tableColumn id="5006" xr3:uid="{8362A2F0-AC85-482B-8256-6306AA36790B}" name="Column4991" dataCellStyle="Normal 2"/>
    <tableColumn id="5007" xr3:uid="{C899D54B-B629-43E6-B284-9AB6C92BCD0C}" name="Column4992" dataCellStyle="Normal 2"/>
    <tableColumn id="5008" xr3:uid="{7F0FB531-5805-40F8-8CAE-43667C04350D}" name="Column4993" dataCellStyle="Normal 2"/>
    <tableColumn id="5009" xr3:uid="{660F9261-9323-4511-A1F5-16222D57E4B5}" name="Column4994" dataCellStyle="Normal 2"/>
    <tableColumn id="5010" xr3:uid="{75FE86F3-AB55-47B8-8C8E-ACB3968757FE}" name="Column4995" dataCellStyle="Normal 2"/>
    <tableColumn id="5011" xr3:uid="{9BB9A4C8-5AA8-4C36-9990-030AB663D668}" name="Column4996" dataCellStyle="Normal 2"/>
    <tableColumn id="5012" xr3:uid="{EBDC7E29-5FAE-4D4A-B31E-27E1B9028706}" name="Column4997" dataCellStyle="Normal 2"/>
    <tableColumn id="5013" xr3:uid="{29B36F8A-D88F-41F3-AB61-DFEFBAB3FEB0}" name="Column4998" dataCellStyle="Normal 2"/>
    <tableColumn id="5014" xr3:uid="{5C73A854-AA71-41E5-9856-886693C88C1B}" name="Column4999" dataCellStyle="Normal 2"/>
    <tableColumn id="5015" xr3:uid="{81080576-E894-4A99-BA9C-0A7B2F7B1F3D}" name="Column5000" dataCellStyle="Normal 2"/>
    <tableColumn id="5016" xr3:uid="{0189C8CA-CF03-4E76-9FBE-DE91DAE816F6}" name="Column5001" dataCellStyle="Normal 2"/>
    <tableColumn id="5017" xr3:uid="{0D27D244-2237-4F60-A6F9-E9022138BCA6}" name="Column5002" dataCellStyle="Normal 2"/>
    <tableColumn id="5018" xr3:uid="{F1B3A9EC-9FFB-4B11-A40A-FAB044A7C85B}" name="Column5003" dataCellStyle="Normal 2"/>
    <tableColumn id="5019" xr3:uid="{CCF6585B-A5EB-4FFE-840D-DFBC1AA6AF86}" name="Column5004" dataCellStyle="Normal 2"/>
    <tableColumn id="5020" xr3:uid="{04D6B1D4-181C-4FFC-BF84-F7BB4BB837DD}" name="Column5005" dataCellStyle="Normal 2"/>
    <tableColumn id="5021" xr3:uid="{F308363C-0D1E-4C5A-9CFD-13032D79A6A3}" name="Column5006" dataCellStyle="Normal 2"/>
    <tableColumn id="5022" xr3:uid="{BBF98047-654F-4F0D-AF7A-058B7D47FD22}" name="Column5007" dataCellStyle="Normal 2"/>
    <tableColumn id="5023" xr3:uid="{25C05856-97F2-4B57-918A-5C90EA0F697D}" name="Column5008" dataCellStyle="Normal 2"/>
    <tableColumn id="5024" xr3:uid="{142FA792-F7BC-4D7E-8579-269E578EE88A}" name="Column5009" dataCellStyle="Normal 2"/>
    <tableColumn id="5025" xr3:uid="{BAF008F9-4F46-4147-BEC1-AC8CDC429012}" name="Column5010" dataCellStyle="Normal 2"/>
    <tableColumn id="5026" xr3:uid="{FA91DFDC-B643-45CB-8BC1-D7004857DC4E}" name="Column5011" dataCellStyle="Normal 2"/>
    <tableColumn id="5027" xr3:uid="{63CFA024-E97E-4F19-8962-8E7FA6BF0F70}" name="Column5012" dataCellStyle="Normal 2"/>
    <tableColumn id="5028" xr3:uid="{E7823C7E-D02C-47D0-9D47-AD8A7EF47B64}" name="Column5013" dataCellStyle="Normal 2"/>
    <tableColumn id="5029" xr3:uid="{C4C01443-99E2-40A8-A096-0806BE1A1F81}" name="Column5014" dataCellStyle="Normal 2"/>
    <tableColumn id="5030" xr3:uid="{993063BB-5DC9-4999-AA59-2BAF7F0183DF}" name="Column5015" dataCellStyle="Normal 2"/>
    <tableColumn id="5031" xr3:uid="{35B7F905-7945-4D03-8A38-7264CCF9DF72}" name="Column5016" dataCellStyle="Normal 2"/>
    <tableColumn id="5032" xr3:uid="{8DA0555F-09E1-4CC4-9C90-B152089D4A19}" name="Column5017" dataCellStyle="Normal 2"/>
    <tableColumn id="5033" xr3:uid="{77ABD68A-CDC6-4156-BDD3-84F65A380AFC}" name="Column5018" dataCellStyle="Normal 2"/>
    <tableColumn id="5034" xr3:uid="{C7CFAB3E-7873-4960-890A-34F5DA7EE1DE}" name="Column5019" dataCellStyle="Normal 2"/>
    <tableColumn id="5035" xr3:uid="{0EF43E4B-A9D1-4294-8F4A-F1D4AD69BFBA}" name="Column5020" dataCellStyle="Normal 2"/>
    <tableColumn id="5036" xr3:uid="{389C897C-F367-49B4-9806-F8DAACBEC7BA}" name="Column5021" dataCellStyle="Normal 2"/>
    <tableColumn id="5037" xr3:uid="{9B6CF085-AAA9-4C13-80B3-09BB01EDBB4E}" name="Column5022" dataCellStyle="Normal 2"/>
    <tableColumn id="5038" xr3:uid="{A44768E2-2107-4909-A18E-A5DD99F774AB}" name="Column5023" dataCellStyle="Normal 2"/>
    <tableColumn id="5039" xr3:uid="{F9DBC0E3-8F3D-4C42-A16F-9184496A343C}" name="Column5024" dataCellStyle="Normal 2"/>
    <tableColumn id="5040" xr3:uid="{3DCAF12E-638E-4D56-81FE-644A33A20F08}" name="Column5025" dataCellStyle="Normal 2"/>
    <tableColumn id="5041" xr3:uid="{B7E815D0-20EC-4EED-8EF7-3493AB3971F3}" name="Column5026" dataCellStyle="Normal 2"/>
    <tableColumn id="5042" xr3:uid="{7C7398D8-0360-4F50-8FFA-DA14B151EE52}" name="Column5027" dataCellStyle="Normal 2"/>
    <tableColumn id="5043" xr3:uid="{FA7B5E6A-D9D8-45F1-8ED6-65AE62093CFF}" name="Column5028" dataCellStyle="Normal 2"/>
    <tableColumn id="5044" xr3:uid="{32DCCA21-6310-4746-AAB0-28E278E912F9}" name="Column5029" dataCellStyle="Normal 2"/>
    <tableColumn id="5045" xr3:uid="{3F26B9DD-121B-4200-B3D8-FF6729CE6E67}" name="Column5030" dataCellStyle="Normal 2"/>
    <tableColumn id="5046" xr3:uid="{F40D0911-132D-434B-A9FF-67AC420DDC33}" name="Column5031" dataCellStyle="Normal 2"/>
    <tableColumn id="5047" xr3:uid="{60432477-6BE7-4D4C-98F1-58459999EA6C}" name="Column5032" dataCellStyle="Normal 2"/>
    <tableColumn id="5048" xr3:uid="{F5FE81DA-6B86-4F9C-8346-0668A6CDD796}" name="Column5033" dataCellStyle="Normal 2"/>
    <tableColumn id="5049" xr3:uid="{4FB35F54-E6CF-45FD-877E-1A48AAD496EE}" name="Column5034" dataCellStyle="Normal 2"/>
    <tableColumn id="5050" xr3:uid="{00EB6E88-8972-4FFA-A8AB-354845CB90FA}" name="Column5035" dataCellStyle="Normal 2"/>
    <tableColumn id="5051" xr3:uid="{4AD82EF8-9FBD-46D0-A349-086751392A6C}" name="Column5036" dataCellStyle="Normal 2"/>
    <tableColumn id="5052" xr3:uid="{25D73C7D-E555-45D9-B14C-99FF255FB9E2}" name="Column5037" dataCellStyle="Normal 2"/>
    <tableColumn id="5053" xr3:uid="{1B7780EB-F468-402B-B4EA-DDA896E7A5F1}" name="Column5038" dataCellStyle="Normal 2"/>
    <tableColumn id="5054" xr3:uid="{58A8727E-CA59-4E7B-A06C-789B8DC699A8}" name="Column5039" dataCellStyle="Normal 2"/>
    <tableColumn id="5055" xr3:uid="{F998AE83-25E2-4787-8A9A-3C28DC668148}" name="Column5040" dataCellStyle="Normal 2"/>
    <tableColumn id="5056" xr3:uid="{95ED9673-0E1B-4245-960B-5DE2B7FBCBFA}" name="Column5041" dataCellStyle="Normal 2"/>
    <tableColumn id="5057" xr3:uid="{CBEE6DC2-71A4-4EEE-BEB7-DD53134FD83F}" name="Column5042" dataCellStyle="Normal 2"/>
    <tableColumn id="5058" xr3:uid="{7D77FC24-42F7-4FF2-AAD3-19DFB595515E}" name="Column5043" dataCellStyle="Normal 2"/>
    <tableColumn id="5059" xr3:uid="{1F8979C0-D426-4C5C-9F27-B4CBEB1BB13D}" name="Column5044" dataCellStyle="Normal 2"/>
    <tableColumn id="5060" xr3:uid="{E172DB49-4A32-43DA-B438-3C80CEC2DC9A}" name="Column5045" dataCellStyle="Normal 2"/>
    <tableColumn id="5061" xr3:uid="{3892E4CB-E7BD-416C-B2AA-A5D3B8A6C838}" name="Column5046" dataCellStyle="Normal 2"/>
    <tableColumn id="5062" xr3:uid="{6381588B-71CA-4462-B8CB-9E35690D0363}" name="Column5047" dataCellStyle="Normal 2"/>
    <tableColumn id="5063" xr3:uid="{8EEE618C-A40C-402B-958B-6F13910AE302}" name="Column5048" dataCellStyle="Normal 2"/>
    <tableColumn id="5064" xr3:uid="{1425E1EC-5B24-40BC-84AF-1242F268846A}" name="Column5049" dataCellStyle="Normal 2"/>
    <tableColumn id="5065" xr3:uid="{4D486063-651E-4DA8-92FD-8B4C1FA17115}" name="Column5050" dataCellStyle="Normal 2"/>
    <tableColumn id="5066" xr3:uid="{0F752A38-FACD-4FC1-BBCD-FACA5B213A76}" name="Column5051" dataCellStyle="Normal 2"/>
    <tableColumn id="5067" xr3:uid="{C236C286-AB9C-463C-BA01-442278CCB538}" name="Column5052" dataCellStyle="Normal 2"/>
    <tableColumn id="5068" xr3:uid="{9DCF3D8B-B3D2-43BE-9471-54D70B45317F}" name="Column5053" dataCellStyle="Normal 2"/>
    <tableColumn id="5069" xr3:uid="{68182C8E-227C-44BE-BC8E-7D79DF57B5AA}" name="Column5054" dataCellStyle="Normal 2"/>
    <tableColumn id="5070" xr3:uid="{85B07643-75F4-4031-B86C-87D6F81F3669}" name="Column5055" dataCellStyle="Normal 2"/>
    <tableColumn id="5071" xr3:uid="{BF1424EF-1219-4926-8681-873ADFD9EE21}" name="Column5056" dataCellStyle="Normal 2"/>
    <tableColumn id="5072" xr3:uid="{BF7739D7-3C7E-4DA4-A562-A93F7F31E82F}" name="Column5057" dataCellStyle="Normal 2"/>
    <tableColumn id="5073" xr3:uid="{2037CC71-92A2-409C-85C5-89AEF7921A6E}" name="Column5058" dataCellStyle="Normal 2"/>
    <tableColumn id="5074" xr3:uid="{57E4207A-04EC-4492-893B-FF2467EE6011}" name="Column5059" dataCellStyle="Normal 2"/>
    <tableColumn id="5075" xr3:uid="{9532F15B-9A2D-4E07-8966-01C850B10FD7}" name="Column5060" dataCellStyle="Normal 2"/>
    <tableColumn id="5076" xr3:uid="{51B05214-85B5-40AE-BC86-49148BED57AD}" name="Column5061" dataCellStyle="Normal 2"/>
    <tableColumn id="5077" xr3:uid="{84CEC723-F1BB-4CDD-8135-7033E8FAA9F1}" name="Column5062" dataCellStyle="Normal 2"/>
    <tableColumn id="5078" xr3:uid="{4A3715DE-F53F-4F24-A03D-0E046579217D}" name="Column5063" dataCellStyle="Normal 2"/>
    <tableColumn id="5079" xr3:uid="{9A6582F2-4763-4D2D-8FBE-76DA093D729A}" name="Column5064" dataCellStyle="Normal 2"/>
    <tableColumn id="5080" xr3:uid="{22165885-13DB-4372-B113-8A4D59FBE469}" name="Column5065" dataCellStyle="Normal 2"/>
    <tableColumn id="5081" xr3:uid="{838C9334-9B48-419F-AA59-4B6FF28C03CA}" name="Column5066" dataCellStyle="Normal 2"/>
    <tableColumn id="5082" xr3:uid="{2F262F14-2D23-45C8-B297-967778F5F4AC}" name="Column5067" dataCellStyle="Normal 2"/>
    <tableColumn id="5083" xr3:uid="{6BB63B1F-3ED1-4260-8BBC-EFFB3179C463}" name="Column5068" dataCellStyle="Normal 2"/>
    <tableColumn id="5084" xr3:uid="{23FD138C-F443-4B79-B293-C42EF59AC594}" name="Column5069" dataCellStyle="Normal 2"/>
    <tableColumn id="5085" xr3:uid="{ED7539CB-BFEB-4994-A8E1-3C72D24CEC9C}" name="Column5070" dataCellStyle="Normal 2"/>
    <tableColumn id="5086" xr3:uid="{4ADB5980-F75F-44C9-B3AE-0F91FFB42BBC}" name="Column5071" dataCellStyle="Normal 2"/>
    <tableColumn id="5087" xr3:uid="{519AB880-901A-4BDA-B6CA-AAB8982BCE21}" name="Column5072" dataCellStyle="Normal 2"/>
    <tableColumn id="5088" xr3:uid="{BE07FD2D-6637-41EA-A5A0-A270CB8239A9}" name="Column5073" dataCellStyle="Normal 2"/>
    <tableColumn id="5089" xr3:uid="{3A9A8866-6CC7-417F-BE23-8D84944505C3}" name="Column5074" dataCellStyle="Normal 2"/>
    <tableColumn id="5090" xr3:uid="{57E6EA76-97B5-4010-815F-57FA0051A657}" name="Column5075" dataCellStyle="Normal 2"/>
    <tableColumn id="5091" xr3:uid="{01555FDC-0624-4972-8231-93960C48B2E7}" name="Column5076" dataCellStyle="Normal 2"/>
    <tableColumn id="5092" xr3:uid="{C2EDF704-F47C-4C5D-9736-F8719FAAD09E}" name="Column5077" dataCellStyle="Normal 2"/>
    <tableColumn id="5093" xr3:uid="{374E7E12-6D03-4636-9FEE-8046E931E915}" name="Column5078" dataCellStyle="Normal 2"/>
    <tableColumn id="5094" xr3:uid="{1C2303F3-DFE4-40F4-AA61-955CFC0874AD}" name="Column5079" dataCellStyle="Normal 2"/>
    <tableColumn id="5095" xr3:uid="{3DB095CD-0821-482E-972C-A7574E6DA064}" name="Column5080" dataCellStyle="Normal 2"/>
    <tableColumn id="5096" xr3:uid="{9DA1B341-8309-421A-A62A-847825549CFF}" name="Column5081" dataCellStyle="Normal 2"/>
    <tableColumn id="5097" xr3:uid="{08787A44-5DB7-4A21-AA8F-A91312C4BD81}" name="Column5082" dataCellStyle="Normal 2"/>
    <tableColumn id="5098" xr3:uid="{8933B102-C6D1-4993-8A9E-A5113E4CFD18}" name="Column5083" dataCellStyle="Normal 2"/>
    <tableColumn id="5099" xr3:uid="{20D695CD-812B-4C9E-B759-ABC8254DB0D7}" name="Column5084" dataCellStyle="Normal 2"/>
    <tableColumn id="5100" xr3:uid="{55AE7AF7-3AD7-43DE-AEB8-8C29C1711106}" name="Column5085" dataCellStyle="Normal 2"/>
    <tableColumn id="5101" xr3:uid="{5BE99788-888A-431A-992B-4B5C020F4948}" name="Column5086" dataCellStyle="Normal 2"/>
    <tableColumn id="5102" xr3:uid="{0949FB57-EB85-4CB7-923A-4BA30D276204}" name="Column5087" dataCellStyle="Normal 2"/>
    <tableColumn id="5103" xr3:uid="{DA1D1995-B72D-440A-B185-8EF0BA231A4C}" name="Column5088" dataCellStyle="Normal 2"/>
    <tableColumn id="5104" xr3:uid="{741385BD-7150-47E9-8994-2F93126D251B}" name="Column5089" dataCellStyle="Normal 2"/>
    <tableColumn id="5105" xr3:uid="{56DD5AD3-A4BC-41F6-B2A3-3BE998A5B80D}" name="Column5090" dataCellStyle="Normal 2"/>
    <tableColumn id="5106" xr3:uid="{5DAB12CA-884C-490A-AA83-B56B262D73DE}" name="Column5091" dataCellStyle="Normal 2"/>
    <tableColumn id="5107" xr3:uid="{5956B606-198D-4C0B-AFE2-F9952A66496A}" name="Column5092" dataCellStyle="Normal 2"/>
    <tableColumn id="5108" xr3:uid="{58386908-07DD-4FC1-A507-778A903767A2}" name="Column5093" dataCellStyle="Normal 2"/>
    <tableColumn id="5109" xr3:uid="{E335C5C5-C844-4AC2-B13A-26D520D1220E}" name="Column5094" dataCellStyle="Normal 2"/>
    <tableColumn id="5110" xr3:uid="{09281D8B-DB76-4D41-A24E-72AE37288E83}" name="Column5095" dataCellStyle="Normal 2"/>
    <tableColumn id="5111" xr3:uid="{2D96217C-BBA4-4331-8F55-D47831693BCC}" name="Column5096" dataCellStyle="Normal 2"/>
    <tableColumn id="5112" xr3:uid="{512BBA3D-E03C-46E5-B331-6BAE89BE7ECE}" name="Column5097" dataCellStyle="Normal 2"/>
    <tableColumn id="5113" xr3:uid="{64C9A5CB-175E-49E0-A2F8-E94E611E560B}" name="Column5098" dataCellStyle="Normal 2"/>
    <tableColumn id="5114" xr3:uid="{C44EEF8B-1854-465F-8660-B43A0E330204}" name="Column5099" dataCellStyle="Normal 2"/>
    <tableColumn id="5115" xr3:uid="{901CC047-37A3-4200-BC38-A09A950D9190}" name="Column5100" dataCellStyle="Normal 2"/>
    <tableColumn id="5116" xr3:uid="{9BCAE84A-66DF-440D-BC6D-0A4B9632179B}" name="Column5101" dataCellStyle="Normal 2"/>
    <tableColumn id="5117" xr3:uid="{759CA3D9-A3C8-4928-813A-1B2A63BF40B0}" name="Column5102" dataCellStyle="Normal 2"/>
    <tableColumn id="5118" xr3:uid="{E5CA56FC-0919-4417-8890-B992E8703A01}" name="Column5103" dataCellStyle="Normal 2"/>
    <tableColumn id="5119" xr3:uid="{8E193D2F-E321-4446-BD4E-9E371E86831E}" name="Column5104" dataCellStyle="Normal 2"/>
    <tableColumn id="5120" xr3:uid="{1B5C0DCC-B00B-4486-952D-9E53981ED33B}" name="Column5105" dataCellStyle="Normal 2"/>
    <tableColumn id="5121" xr3:uid="{ADD1DC1D-196A-4918-B5AB-FF23AFCCAD47}" name="Column5106" dataCellStyle="Normal 2"/>
    <tableColumn id="5122" xr3:uid="{7C0CBC76-5440-42D9-9C02-7541452225DA}" name="Column5107" dataCellStyle="Normal 2"/>
    <tableColumn id="5123" xr3:uid="{A403D9A8-96A0-45D3-A2C1-86E48A24844C}" name="Column5108" dataCellStyle="Normal 2"/>
    <tableColumn id="5124" xr3:uid="{F5F48ECC-A120-476A-8746-1BE0DEFA71EB}" name="Column5109" dataCellStyle="Normal 2"/>
    <tableColumn id="5125" xr3:uid="{1481AFA5-6DFD-4D62-9F96-2DA26DE4D7A5}" name="Column5110" dataCellStyle="Normal 2"/>
    <tableColumn id="5126" xr3:uid="{76CD0910-F229-40AD-9F0B-EBB14DE47692}" name="Column5111" dataCellStyle="Normal 2"/>
    <tableColumn id="5127" xr3:uid="{B5184E64-0A09-45A9-9E74-13B6EE2946E2}" name="Column5112" dataCellStyle="Normal 2"/>
    <tableColumn id="5128" xr3:uid="{F331B7FE-09F9-4C21-9083-654F87CA23AB}" name="Column5113" dataCellStyle="Normal 2"/>
    <tableColumn id="5129" xr3:uid="{DCE642EB-A288-46BE-97E4-C3FA71609BA6}" name="Column5114" dataCellStyle="Normal 2"/>
    <tableColumn id="5130" xr3:uid="{3BBE43F6-808E-41D7-9B6F-835DD346FD3B}" name="Column5115" dataCellStyle="Normal 2"/>
    <tableColumn id="5131" xr3:uid="{9B2CCAEF-7559-414D-8A6A-7C99AD706116}" name="Column5116" dataCellStyle="Normal 2"/>
    <tableColumn id="5132" xr3:uid="{0377B726-E077-4C63-A342-5B37CB6BADE9}" name="Column5117" dataCellStyle="Normal 2"/>
    <tableColumn id="5133" xr3:uid="{51A484AA-4A4A-47EA-BADA-6AE7BC885427}" name="Column5118" dataCellStyle="Normal 2"/>
    <tableColumn id="5134" xr3:uid="{C92E36B5-3046-4375-B3FC-A0A128040690}" name="Column5119" dataCellStyle="Normal 2"/>
    <tableColumn id="5135" xr3:uid="{98A04185-ACF6-4DAE-A9EF-0A0A442B90E6}" name="Column5120" dataCellStyle="Normal 2"/>
    <tableColumn id="5136" xr3:uid="{53C07D80-458A-46EA-B758-210E28680751}" name="Column5121" dataCellStyle="Normal 2"/>
    <tableColumn id="5137" xr3:uid="{A592235B-62D1-4EA5-9D9E-3A45840AD4B5}" name="Column5122" dataCellStyle="Normal 2"/>
    <tableColumn id="5138" xr3:uid="{EAE0084A-A181-47BD-884B-11CDB0509B82}" name="Column5123" dataCellStyle="Normal 2"/>
    <tableColumn id="5139" xr3:uid="{1EA888E0-45C8-43D1-A41C-9D42070A4265}" name="Column5124" dataCellStyle="Normal 2"/>
    <tableColumn id="5140" xr3:uid="{1417FD21-E15A-4155-8831-252C3EACBCEA}" name="Column5125" dataCellStyle="Normal 2"/>
    <tableColumn id="5141" xr3:uid="{0E36B6EF-9050-4579-8974-578E8BB0E9B8}" name="Column5126" dataCellStyle="Normal 2"/>
    <tableColumn id="5142" xr3:uid="{4A3CC55E-C1A9-4763-B89D-007EA51F2967}" name="Column5127" dataCellStyle="Normal 2"/>
    <tableColumn id="5143" xr3:uid="{E14DDD0E-001B-4D3F-8CD1-86ABEA44BFBB}" name="Column5128" dataCellStyle="Normal 2"/>
    <tableColumn id="5144" xr3:uid="{55A5355B-C16C-4C84-B6C2-AF8589A3C478}" name="Column5129" dataCellStyle="Normal 2"/>
    <tableColumn id="5145" xr3:uid="{6A40D1D9-784C-43D8-8687-194533E8823D}" name="Column5130" dataCellStyle="Normal 2"/>
    <tableColumn id="5146" xr3:uid="{15E4BE62-320B-4DA2-A28A-E10276F86EA8}" name="Column5131" dataCellStyle="Normal 2"/>
    <tableColumn id="5147" xr3:uid="{AF3C1E13-B06C-4061-9D7F-600F66F06F67}" name="Column5132" dataCellStyle="Normal 2"/>
    <tableColumn id="5148" xr3:uid="{A7742242-0475-4AA1-BBBF-8A21B14C6E39}" name="Column5133" dataCellStyle="Normal 2"/>
    <tableColumn id="5149" xr3:uid="{3713D8BA-4AA3-47BB-8760-AE1CEFE4AC34}" name="Column5134" dataCellStyle="Normal 2"/>
    <tableColumn id="5150" xr3:uid="{301BE243-8F5E-4C2D-A4BF-C17A24433149}" name="Column5135" dataCellStyle="Normal 2"/>
    <tableColumn id="5151" xr3:uid="{04FDC17E-B2D0-415A-BFE4-BBEBD431AAF1}" name="Column5136" dataCellStyle="Normal 2"/>
    <tableColumn id="5152" xr3:uid="{1C976001-7491-477C-83CB-9C125434C8E8}" name="Column5137" dataCellStyle="Normal 2"/>
    <tableColumn id="5153" xr3:uid="{F06585EA-C2F8-401F-95A8-481CD7194ACC}" name="Column5138" dataCellStyle="Normal 2"/>
    <tableColumn id="5154" xr3:uid="{28FD35DE-3662-467A-BEFB-985057BA5593}" name="Column5139" dataCellStyle="Normal 2"/>
    <tableColumn id="5155" xr3:uid="{8BC53CA7-C81D-4DB1-9661-375E775EBBCF}" name="Column5140" dataCellStyle="Normal 2"/>
    <tableColumn id="5156" xr3:uid="{044EA110-09EC-43C0-BD27-47A94EA71228}" name="Column5141" dataCellStyle="Normal 2"/>
    <tableColumn id="5157" xr3:uid="{A6A19552-FF5D-49AE-A0EF-1744CC6AA40E}" name="Column5142" dataCellStyle="Normal 2"/>
    <tableColumn id="5158" xr3:uid="{77038B9D-2E53-48A3-8446-44E49EA35396}" name="Column5143" dataCellStyle="Normal 2"/>
    <tableColumn id="5159" xr3:uid="{E4EB41D8-4782-43C3-A973-3605A339FC96}" name="Column5144" dataCellStyle="Normal 2"/>
    <tableColumn id="5160" xr3:uid="{26677FA0-6EC7-47A8-B9CE-AF12F7FFDAC5}" name="Column5145" dataCellStyle="Normal 2"/>
    <tableColumn id="5161" xr3:uid="{B5C9B2C0-BB58-49EE-B2CC-230D53D3CA61}" name="Column5146" dataCellStyle="Normal 2"/>
    <tableColumn id="5162" xr3:uid="{DF3B172A-3B87-49E1-9829-DBC2BB7D6A36}" name="Column5147" dataCellStyle="Normal 2"/>
    <tableColumn id="5163" xr3:uid="{C6C5F1BD-81DC-4CF5-8157-F3D50FDAC31D}" name="Column5148" dataCellStyle="Normal 2"/>
    <tableColumn id="5164" xr3:uid="{8F3B8928-ED01-4196-A30B-13181D123D0D}" name="Column5149" dataCellStyle="Normal 2"/>
    <tableColumn id="5165" xr3:uid="{17859AAC-971E-4D8A-A66D-787CF8E2B19A}" name="Column5150" dataCellStyle="Normal 2"/>
    <tableColumn id="5166" xr3:uid="{B68B6D27-C5D1-4D50-9297-699F91C60427}" name="Column5151" dataCellStyle="Normal 2"/>
    <tableColumn id="5167" xr3:uid="{507AFCD3-306B-4048-9AE7-63F08636F062}" name="Column5152" dataCellStyle="Normal 2"/>
    <tableColumn id="5168" xr3:uid="{EFA661E6-F2C5-476D-9F89-95536061879C}" name="Column5153" dataCellStyle="Normal 2"/>
    <tableColumn id="5169" xr3:uid="{E33EF803-9D70-45D7-B65C-DA46D5B06E46}" name="Column5154" dataCellStyle="Normal 2"/>
    <tableColumn id="5170" xr3:uid="{73720A65-593D-49CB-B8C5-D26991D7045A}" name="Column5155" dataCellStyle="Normal 2"/>
    <tableColumn id="5171" xr3:uid="{DF337C1C-044D-4CF7-BEC9-85F0FDABCBD8}" name="Column5156" dataCellStyle="Normal 2"/>
    <tableColumn id="5172" xr3:uid="{9CD53770-BEA4-45DF-8403-191E834AED5F}" name="Column5157" dataCellStyle="Normal 2"/>
    <tableColumn id="5173" xr3:uid="{97C8747B-9718-479E-8B7A-2A96B4054673}" name="Column5158" dataCellStyle="Normal 2"/>
    <tableColumn id="5174" xr3:uid="{CA76A049-59AD-4910-A6F9-57F9B9CFE45D}" name="Column5159" dataCellStyle="Normal 2"/>
    <tableColumn id="5175" xr3:uid="{7261C52F-6912-4A2A-90CB-0B9D0B09B53C}" name="Column5160" dataCellStyle="Normal 2"/>
    <tableColumn id="5176" xr3:uid="{54D19AC5-06ED-4D62-8363-EE17FB841649}" name="Column5161" dataCellStyle="Normal 2"/>
    <tableColumn id="5177" xr3:uid="{01338DBA-A081-49A9-9EC0-20C47BB5CBBF}" name="Column5162" dataCellStyle="Normal 2"/>
    <tableColumn id="5178" xr3:uid="{1AA43474-A46C-4EF9-9286-949616B20D4B}" name="Column5163" dataCellStyle="Normal 2"/>
    <tableColumn id="5179" xr3:uid="{D0E4D068-8030-4EBB-9731-037049D2CB18}" name="Column5164" dataCellStyle="Normal 2"/>
    <tableColumn id="5180" xr3:uid="{EBC15D75-3E42-4B4E-83D0-B0A69240323C}" name="Column5165" dataCellStyle="Normal 2"/>
    <tableColumn id="5181" xr3:uid="{C8F1FF39-FE0B-499F-8AEC-34DC24C2DD44}" name="Column5166" dataCellStyle="Normal 2"/>
    <tableColumn id="5182" xr3:uid="{87AD7612-BCF8-4388-89B0-C63991D20750}" name="Column5167" dataCellStyle="Normal 2"/>
    <tableColumn id="5183" xr3:uid="{C75CBA62-1F00-41F5-9CB0-86FA3F01F338}" name="Column5168" dataCellStyle="Normal 2"/>
    <tableColumn id="5184" xr3:uid="{C95BA047-F684-49C3-B690-8F4ADABD1D59}" name="Column5169" dataCellStyle="Normal 2"/>
    <tableColumn id="5185" xr3:uid="{95E52F5D-570C-42AB-B913-4317DB0E2537}" name="Column5170" dataCellStyle="Normal 2"/>
    <tableColumn id="5186" xr3:uid="{8DFB8169-BB54-46DD-AC5B-7F0F8AF72F56}" name="Column5171" dataCellStyle="Normal 2"/>
    <tableColumn id="5187" xr3:uid="{19DBFF05-E1D5-4DBD-A856-03DF48445CF8}" name="Column5172" dataCellStyle="Normal 2"/>
    <tableColumn id="5188" xr3:uid="{E62ED32E-C074-4B63-A36A-A493D7560A26}" name="Column5173" dataCellStyle="Normal 2"/>
    <tableColumn id="5189" xr3:uid="{E5B4BE0F-6B44-499C-9E28-CC3CD4A7E377}" name="Column5174" dataCellStyle="Normal 2"/>
    <tableColumn id="5190" xr3:uid="{0C520575-F84E-46D6-A5C4-865651EACD8E}" name="Column5175" dataCellStyle="Normal 2"/>
    <tableColumn id="5191" xr3:uid="{619639AF-08F9-44AA-95A7-60471231B811}" name="Column5176" dataCellStyle="Normal 2"/>
    <tableColumn id="5192" xr3:uid="{F774D389-81BC-49B7-93B5-A79542D0D8B3}" name="Column5177" dataCellStyle="Normal 2"/>
    <tableColumn id="5193" xr3:uid="{573AD283-AF26-4034-A245-2900778F84FA}" name="Column5178" dataCellStyle="Normal 2"/>
    <tableColumn id="5194" xr3:uid="{6D8C5181-CD3B-4158-BFE4-03B267CE8F66}" name="Column5179" dataCellStyle="Normal 2"/>
    <tableColumn id="5195" xr3:uid="{EC212F34-FEE2-4BA9-98BF-66FDABB19D4E}" name="Column5180" dataCellStyle="Normal 2"/>
    <tableColumn id="5196" xr3:uid="{8D203D7D-5770-40CD-8EB8-9061C3A9CF32}" name="Column5181" dataCellStyle="Normal 2"/>
    <tableColumn id="5197" xr3:uid="{61F0B785-DF21-424D-AE3A-7EF752D15DB0}" name="Column5182" dataCellStyle="Normal 2"/>
    <tableColumn id="5198" xr3:uid="{498F54C9-94F9-4FB9-A131-0E28ACE52660}" name="Column5183" dataCellStyle="Normal 2"/>
    <tableColumn id="5199" xr3:uid="{FF6C0139-CA72-4292-86BF-686414391967}" name="Column5184" dataCellStyle="Normal 2"/>
    <tableColumn id="5200" xr3:uid="{214D5A39-AA8A-4AAE-912D-A0581DC05083}" name="Column5185" dataCellStyle="Normal 2"/>
    <tableColumn id="5201" xr3:uid="{C7E40D49-A9B6-4AFC-A77E-549073A644F2}" name="Column5186" dataCellStyle="Normal 2"/>
    <tableColumn id="5202" xr3:uid="{B07A6FE3-F5D9-44E8-94F6-1148ACFC18FE}" name="Column5187" dataCellStyle="Normal 2"/>
    <tableColumn id="5203" xr3:uid="{F0E5AD40-DFE3-4E8F-B545-30D005DEA3BF}" name="Column5188" dataCellStyle="Normal 2"/>
    <tableColumn id="5204" xr3:uid="{F61FC40E-8E6C-4027-B2D1-2E8AAAE3A09B}" name="Column5189" dataCellStyle="Normal 2"/>
    <tableColumn id="5205" xr3:uid="{A0F31CFA-FC26-4301-942A-BCFD00E26191}" name="Column5190" dataCellStyle="Normal 2"/>
    <tableColumn id="5206" xr3:uid="{8BCF163D-27D2-4615-A866-B700EE90C105}" name="Column5191" dataCellStyle="Normal 2"/>
    <tableColumn id="5207" xr3:uid="{1BF52E50-9019-4BF6-AC14-0E2E34A5640A}" name="Column5192" dataCellStyle="Normal 2"/>
    <tableColumn id="5208" xr3:uid="{60CBDE86-6D11-4CC8-B6F4-4A0B63B1A084}" name="Column5193" dataCellStyle="Normal 2"/>
    <tableColumn id="5209" xr3:uid="{A95FACB8-69CE-457E-AE9E-183619CB4D88}" name="Column5194" dataCellStyle="Normal 2"/>
    <tableColumn id="5210" xr3:uid="{E3835385-4872-44FE-AF5A-87C24132D820}" name="Column5195" dataCellStyle="Normal 2"/>
    <tableColumn id="5211" xr3:uid="{92C593BA-C755-4ACD-B4B5-A3A920D7A8EC}" name="Column5196" dataCellStyle="Normal 2"/>
    <tableColumn id="5212" xr3:uid="{45E19233-99E4-45E9-9D07-DA9C37DA1F77}" name="Column5197" dataCellStyle="Normal 2"/>
    <tableColumn id="5213" xr3:uid="{71EB39C5-915C-4138-950B-F639BE874850}" name="Column5198" dataCellStyle="Normal 2"/>
    <tableColumn id="5214" xr3:uid="{D164B9C1-1FAA-44D5-B96E-A6E6FC4A4244}" name="Column5199" dataCellStyle="Normal 2"/>
    <tableColumn id="5215" xr3:uid="{AFA73CF2-AA38-4068-95BE-B293C2A21157}" name="Column5200" dataCellStyle="Normal 2"/>
    <tableColumn id="5216" xr3:uid="{E05356FC-A15E-42C2-91E8-24596E0FE2BE}" name="Column5201" dataCellStyle="Normal 2"/>
    <tableColumn id="5217" xr3:uid="{836B674A-836D-4EF5-BE57-ED44E15452F3}" name="Column5202" dataCellStyle="Normal 2"/>
    <tableColumn id="5218" xr3:uid="{64A6BA88-9AD0-4160-AF44-0E745528E20B}" name="Column5203" dataCellStyle="Normal 2"/>
    <tableColumn id="5219" xr3:uid="{EF567F76-B541-4545-AF81-18132F4E3132}" name="Column5204" dataCellStyle="Normal 2"/>
    <tableColumn id="5220" xr3:uid="{50243A3F-DF1B-44E4-BA9D-56D7D016CFC1}" name="Column5205" dataCellStyle="Normal 2"/>
    <tableColumn id="5221" xr3:uid="{1786986D-7B9D-4F5D-AB4E-41442B8D2842}" name="Column5206" dataCellStyle="Normal 2"/>
    <tableColumn id="5222" xr3:uid="{6F7C0137-EEDD-4601-9497-3805A27E58AD}" name="Column5207" dataCellStyle="Normal 2"/>
    <tableColumn id="5223" xr3:uid="{810BF373-32E0-4DA0-911D-D668061E4F2F}" name="Column5208" dataCellStyle="Normal 2"/>
    <tableColumn id="5224" xr3:uid="{ADF5E94C-2E8B-4E54-82C4-181701109F78}" name="Column5209" dataCellStyle="Normal 2"/>
    <tableColumn id="5225" xr3:uid="{2DC3A64B-505F-42E3-8D65-547C23C6E8CD}" name="Column5210" dataCellStyle="Normal 2"/>
    <tableColumn id="5226" xr3:uid="{1CA8338A-4BD4-4FFA-B897-22CF90823E33}" name="Column5211" dataCellStyle="Normal 2"/>
    <tableColumn id="5227" xr3:uid="{964C4489-1E99-479A-A554-34C74FBC960C}" name="Column5212" dataCellStyle="Normal 2"/>
    <tableColumn id="5228" xr3:uid="{D5522384-4806-485F-9618-7C45B624AB90}" name="Column5213" dataCellStyle="Normal 2"/>
    <tableColumn id="5229" xr3:uid="{E62FDD3D-AE3D-411F-8423-D673B4FAA95F}" name="Column5214" dataCellStyle="Normal 2"/>
    <tableColumn id="5230" xr3:uid="{96EE2DF3-2D57-4D1D-BD5B-1A8DEFAB5529}" name="Column5215" dataCellStyle="Normal 2"/>
    <tableColumn id="5231" xr3:uid="{C44EC068-3D72-4195-BD21-9E4BF41251EF}" name="Column5216" dataCellStyle="Normal 2"/>
    <tableColumn id="5232" xr3:uid="{D520304D-92D1-4FFE-8B0B-4D57C13AB1DA}" name="Column5217" dataCellStyle="Normal 2"/>
    <tableColumn id="5233" xr3:uid="{ECE2C425-2D50-4C26-B864-24E2F45B07D5}" name="Column5218" dataCellStyle="Normal 2"/>
    <tableColumn id="5234" xr3:uid="{235E64B5-8738-47EA-BF97-12233EF66BBC}" name="Column5219" dataCellStyle="Normal 2"/>
    <tableColumn id="5235" xr3:uid="{DC05956D-2ADA-437F-BE6B-BA9C280317A3}" name="Column5220" dataCellStyle="Normal 2"/>
    <tableColumn id="5236" xr3:uid="{7294588B-98B4-4A2D-8978-6C2529026619}" name="Column5221" dataCellStyle="Normal 2"/>
    <tableColumn id="5237" xr3:uid="{4D5F3F11-8DDB-4F69-A112-A2DFB591FA70}" name="Column5222" dataCellStyle="Normal 2"/>
    <tableColumn id="5238" xr3:uid="{C08A1492-67B5-469F-818F-80983E809563}" name="Column5223" dataCellStyle="Normal 2"/>
    <tableColumn id="5239" xr3:uid="{60C3CCBF-6688-4218-B87A-A3D6000BFC70}" name="Column5224" dataCellStyle="Normal 2"/>
    <tableColumn id="5240" xr3:uid="{D902104C-F5A6-4346-99AA-2E49C2F1FC70}" name="Column5225" dataCellStyle="Normal 2"/>
    <tableColumn id="5241" xr3:uid="{653796E9-20E0-4F89-A61E-DEFF13D833B5}" name="Column5226" dataCellStyle="Normal 2"/>
    <tableColumn id="5242" xr3:uid="{5427530C-18A0-4EAA-80CA-B366B25D28B1}" name="Column5227" dataCellStyle="Normal 2"/>
    <tableColumn id="5243" xr3:uid="{ADE47C51-1105-4EE7-9618-10E047F13E3C}" name="Column5228" dataCellStyle="Normal 2"/>
    <tableColumn id="5244" xr3:uid="{B6DE8FD2-B1B9-4074-9304-4F414D88F7EC}" name="Column5229" dataCellStyle="Normal 2"/>
    <tableColumn id="5245" xr3:uid="{0F8CE948-F5CE-4E30-ABDF-C2F4380573C1}" name="Column5230" dataCellStyle="Normal 2"/>
    <tableColumn id="5246" xr3:uid="{94BD3AF6-C30B-4AF6-BFE6-93C46D0E0CB4}" name="Column5231" dataCellStyle="Normal 2"/>
    <tableColumn id="5247" xr3:uid="{8443B132-16D7-4CA0-B76D-16D2ED0200C0}" name="Column5232" dataCellStyle="Normal 2"/>
    <tableColumn id="5248" xr3:uid="{70C2923B-29D7-417F-A6FB-7D931CBF3088}" name="Column5233" dataCellStyle="Normal 2"/>
    <tableColumn id="5249" xr3:uid="{9B3D44F1-AD68-4EC2-805D-5A90C10E6849}" name="Column5234" dataCellStyle="Normal 2"/>
    <tableColumn id="5250" xr3:uid="{B568C29F-6811-4CD7-8B72-00D52C4E557F}" name="Column5235" dataCellStyle="Normal 2"/>
    <tableColumn id="5251" xr3:uid="{3D277EDE-00DE-42C4-9E94-FF5E4ED96A16}" name="Column5236" dataCellStyle="Normal 2"/>
    <tableColumn id="5252" xr3:uid="{45593BB9-FAED-4641-BC34-B17782F6F6FD}" name="Column5237" dataCellStyle="Normal 2"/>
    <tableColumn id="5253" xr3:uid="{966BBA43-DE02-4198-81BA-644842FB9A39}" name="Column5238" dataCellStyle="Normal 2"/>
    <tableColumn id="5254" xr3:uid="{57FF233E-9988-431F-BF3F-7A2E4BC6B4DA}" name="Column5239" dataCellStyle="Normal 2"/>
    <tableColumn id="5255" xr3:uid="{4F1F8C5F-50C3-4B0C-85F7-6F13AEA43E90}" name="Column5240" dataCellStyle="Normal 2"/>
    <tableColumn id="5256" xr3:uid="{F3646F86-49EF-4705-968D-4BB22E5F379B}" name="Column5241" dataCellStyle="Normal 2"/>
    <tableColumn id="5257" xr3:uid="{DC434B58-8EAF-47FD-9B0F-AD0A7EAFE04A}" name="Column5242" dataCellStyle="Normal 2"/>
    <tableColumn id="5258" xr3:uid="{CB4A0BF1-51FD-46B6-853C-606EE4DF276A}" name="Column5243" dataCellStyle="Normal 2"/>
    <tableColumn id="5259" xr3:uid="{378A191A-C909-4D85-8E30-6FF3DB8EFBFD}" name="Column5244" dataCellStyle="Normal 2"/>
    <tableColumn id="5260" xr3:uid="{85C3562C-04D2-4470-BFBB-8C9FCA72AFE6}" name="Column5245" dataCellStyle="Normal 2"/>
    <tableColumn id="5261" xr3:uid="{A40F2623-0D92-40A8-BBE1-C83F822BFA8B}" name="Column5246" dataCellStyle="Normal 2"/>
    <tableColumn id="5262" xr3:uid="{542A32A4-56B0-4207-8525-5A4A76726FDA}" name="Column5247" dataCellStyle="Normal 2"/>
    <tableColumn id="5263" xr3:uid="{1DF3C117-548B-43BF-BE6B-B0133C807674}" name="Column5248" dataCellStyle="Normal 2"/>
    <tableColumn id="5264" xr3:uid="{9ED8CE2E-1A91-439A-9D45-6F08CE5DCDA0}" name="Column5249" dataCellStyle="Normal 2"/>
    <tableColumn id="5265" xr3:uid="{02327B97-B397-447F-B6D1-4F0C37C177A1}" name="Column5250" dataCellStyle="Normal 2"/>
    <tableColumn id="5266" xr3:uid="{3B40AF9C-64EC-40FD-8353-16AD0B419019}" name="Column5251" dataCellStyle="Normal 2"/>
    <tableColumn id="5267" xr3:uid="{CCBCBC06-31CA-4907-8DF0-150675F2EB14}" name="Column5252" dataCellStyle="Normal 2"/>
    <tableColumn id="5268" xr3:uid="{DCC128B2-2EA4-4105-9CE5-A541FC9F9523}" name="Column5253" dataCellStyle="Normal 2"/>
    <tableColumn id="5269" xr3:uid="{11717F93-2F34-4A53-AAFD-3EA0490DC43E}" name="Column5254" dataCellStyle="Normal 2"/>
    <tableColumn id="5270" xr3:uid="{7E230FD4-7276-4EBB-B4D6-75B134A7474C}" name="Column5255" dataCellStyle="Normal 2"/>
    <tableColumn id="5271" xr3:uid="{AD2BA796-3434-4611-93DA-16389EF15446}" name="Column5256" dataCellStyle="Normal 2"/>
    <tableColumn id="5272" xr3:uid="{0263FEB5-01DD-48BE-AB48-342AAB1FDA72}" name="Column5257" dataCellStyle="Normal 2"/>
    <tableColumn id="5273" xr3:uid="{6CEEF8B9-D3C0-43A7-BEDC-334EE1A684BF}" name="Column5258" dataCellStyle="Normal 2"/>
    <tableColumn id="5274" xr3:uid="{232356DE-82BB-4AED-91CA-2A59C827274E}" name="Column5259" dataCellStyle="Normal 2"/>
    <tableColumn id="5275" xr3:uid="{BFC7A386-8D36-41D8-AD3C-8E529E837057}" name="Column5260" dataCellStyle="Normal 2"/>
    <tableColumn id="5276" xr3:uid="{7DEA4C55-EA6F-4E2F-841F-1C169E62B017}" name="Column5261" dataCellStyle="Normal 2"/>
    <tableColumn id="5277" xr3:uid="{35D11A5F-2FCC-49B2-9F56-614A4B63A65B}" name="Column5262" dataCellStyle="Normal 2"/>
    <tableColumn id="5278" xr3:uid="{A7B0312B-8E24-4B22-9703-EB4291C227CB}" name="Column5263" dataCellStyle="Normal 2"/>
    <tableColumn id="5279" xr3:uid="{3838E123-0C1D-41B4-AD07-F8C051B8A1CD}" name="Column5264" dataCellStyle="Normal 2"/>
    <tableColumn id="5280" xr3:uid="{7E850F6A-DE43-45EF-8E40-943DCE52C9C3}" name="Column5265" dataCellStyle="Normal 2"/>
    <tableColumn id="5281" xr3:uid="{24BFAE5F-E9F2-4540-8A1E-D118A09B7258}" name="Column5266" dataCellStyle="Normal 2"/>
    <tableColumn id="5282" xr3:uid="{18E7ACDE-D676-4AEC-AA28-7D7E912ADF55}" name="Column5267" dataCellStyle="Normal 2"/>
    <tableColumn id="5283" xr3:uid="{7D3E0530-C5E5-492B-BEE8-4B796E29A610}" name="Column5268" dataCellStyle="Normal 2"/>
    <tableColumn id="5284" xr3:uid="{E3CC83E6-2972-4C6A-9672-4FF27C3C46EE}" name="Column5269" dataCellStyle="Normal 2"/>
    <tableColumn id="5285" xr3:uid="{8897A7F1-E401-4C79-B391-6A7F91DC51A4}" name="Column5270" dataCellStyle="Normal 2"/>
    <tableColumn id="5286" xr3:uid="{E44E1C84-CCEF-41A8-9E9B-E8EDDACDC96D}" name="Column5271" dataCellStyle="Normal 2"/>
    <tableColumn id="5287" xr3:uid="{1FF9ACED-5D4D-49DC-9013-886DE6FD8E4F}" name="Column5272" dataCellStyle="Normal 2"/>
    <tableColumn id="5288" xr3:uid="{4B7AD09F-A7E2-4134-9B2C-586D36DA8356}" name="Column5273" dataCellStyle="Normal 2"/>
    <tableColumn id="5289" xr3:uid="{7C0F5A19-83AC-4958-80A1-C0344FBE7175}" name="Column5274" dataCellStyle="Normal 2"/>
    <tableColumn id="5290" xr3:uid="{2410F39E-2E35-4A9E-A0BF-BE8A56216E3F}" name="Column5275" dataCellStyle="Normal 2"/>
    <tableColumn id="5291" xr3:uid="{5D84B695-45BD-40DF-A75D-EB6C0CC2D78F}" name="Column5276" dataCellStyle="Normal 2"/>
    <tableColumn id="5292" xr3:uid="{C97944B9-9FE1-46A3-82F0-E0A4CF5D3495}" name="Column5277" dataCellStyle="Normal 2"/>
    <tableColumn id="5293" xr3:uid="{A173343E-F95E-4C55-AC88-6B3FDF94E4EF}" name="Column5278" dataCellStyle="Normal 2"/>
    <tableColumn id="5294" xr3:uid="{DA897078-95B7-4038-9C94-FA6EADB162EA}" name="Column5279" dataCellStyle="Normal 2"/>
    <tableColumn id="5295" xr3:uid="{2DAB1321-73C2-4915-A79B-830DC684C694}" name="Column5280" dataCellStyle="Normal 2"/>
    <tableColumn id="5296" xr3:uid="{B78FD7EC-E727-42D7-AC25-C9FAFA1BDA40}" name="Column5281" dataCellStyle="Normal 2"/>
    <tableColumn id="5297" xr3:uid="{92917DCC-68C3-4E15-93A9-A661A188C125}" name="Column5282" dataCellStyle="Normal 2"/>
    <tableColumn id="5298" xr3:uid="{991E7676-F658-480F-8480-2231236AFF88}" name="Column5283" dataCellStyle="Normal 2"/>
    <tableColumn id="5299" xr3:uid="{E2FD3E9E-4161-41E0-89AE-8CC5E6688D88}" name="Column5284" dataCellStyle="Normal 2"/>
    <tableColumn id="5300" xr3:uid="{71D1D4B6-DFD3-4BB3-92BC-886294B7374D}" name="Column5285" dataCellStyle="Normal 2"/>
    <tableColumn id="5301" xr3:uid="{B893C025-BA7F-48AE-BBCB-EBBD6B68786C}" name="Column5286" dataCellStyle="Normal 2"/>
    <tableColumn id="5302" xr3:uid="{90C1B33C-5880-48F6-9CD5-6D707F0DF9D7}" name="Column5287" dataCellStyle="Normal 2"/>
    <tableColumn id="5303" xr3:uid="{34D4FD91-CF9F-4721-8C26-1C7AADF6AF12}" name="Column5288" dataCellStyle="Normal 2"/>
    <tableColumn id="5304" xr3:uid="{9E398311-4B10-4C4D-A925-F601DAA1C73E}" name="Column5289" dataCellStyle="Normal 2"/>
    <tableColumn id="5305" xr3:uid="{E0A79759-BDAC-429C-8558-1769DC244E15}" name="Column5290" dataCellStyle="Normal 2"/>
    <tableColumn id="5306" xr3:uid="{CF191380-2A8A-4F89-96B2-4B0BA5319F77}" name="Column5291" dataCellStyle="Normal 2"/>
    <tableColumn id="5307" xr3:uid="{8EDF04C7-3212-44B8-82FF-75D5D7C74EE5}" name="Column5292" dataCellStyle="Normal 2"/>
    <tableColumn id="5308" xr3:uid="{4857AF2F-5EFB-47BE-8278-ACA58DB45308}" name="Column5293" dataCellStyle="Normal 2"/>
    <tableColumn id="5309" xr3:uid="{7C686D71-9A54-4D80-98E0-7ADEE2838F0E}" name="Column5294" dataCellStyle="Normal 2"/>
    <tableColumn id="5310" xr3:uid="{062C2EC7-7E52-40D4-9A98-EEB9654FD82E}" name="Column5295" dataCellStyle="Normal 2"/>
    <tableColumn id="5311" xr3:uid="{52D71FAA-9EEB-4885-9965-E2A144916265}" name="Column5296" dataCellStyle="Normal 2"/>
    <tableColumn id="5312" xr3:uid="{6CBAD034-3572-42B9-9D25-B6F441CF90A9}" name="Column5297" dataCellStyle="Normal 2"/>
    <tableColumn id="5313" xr3:uid="{D4ACC972-4B59-426E-88B2-0F6706D4DD47}" name="Column5298" dataCellStyle="Normal 2"/>
    <tableColumn id="5314" xr3:uid="{14FD4974-185B-47D4-B7A3-BEC4DF7BE6B2}" name="Column5299" dataCellStyle="Normal 2"/>
    <tableColumn id="5315" xr3:uid="{F749A59C-926C-4C51-A27D-9E670EFCBB4A}" name="Column5300" dataCellStyle="Normal 2"/>
    <tableColumn id="5316" xr3:uid="{1AEF76B9-28F4-4492-90E9-52D5A1DABD00}" name="Column5301" dataCellStyle="Normal 2"/>
    <tableColumn id="5317" xr3:uid="{87E92F56-4CBF-4DA8-BE66-58D2301DAEBC}" name="Column5302" dataCellStyle="Normal 2"/>
    <tableColumn id="5318" xr3:uid="{2C99F66B-AF0F-4C78-9C80-C164EFCCEDCB}" name="Column5303" dataCellStyle="Normal 2"/>
    <tableColumn id="5319" xr3:uid="{7A9EB273-A26E-4042-8450-0AF313B7DEC7}" name="Column5304" dataCellStyle="Normal 2"/>
    <tableColumn id="5320" xr3:uid="{1518C61B-A903-4614-BE52-B2BD29A6C03E}" name="Column5305" dataCellStyle="Normal 2"/>
    <tableColumn id="5321" xr3:uid="{B94D6943-25A8-4A7E-9EEA-782D1B542514}" name="Column5306" dataCellStyle="Normal 2"/>
    <tableColumn id="5322" xr3:uid="{82685EFB-CBA1-4250-B7DD-279896B0D961}" name="Column5307" dataCellStyle="Normal 2"/>
    <tableColumn id="5323" xr3:uid="{E958A701-0066-42AD-B034-BEE58016060C}" name="Column5308" dataCellStyle="Normal 2"/>
    <tableColumn id="5324" xr3:uid="{F3FA2C4C-674A-48FC-91B7-77D1BAB10269}" name="Column5309" dataCellStyle="Normal 2"/>
    <tableColumn id="5325" xr3:uid="{75933792-D0F3-4E33-9169-6D07B837E76B}" name="Column5310" dataCellStyle="Normal 2"/>
    <tableColumn id="5326" xr3:uid="{F314C05F-78AD-4314-A648-233B86806534}" name="Column5311" dataCellStyle="Normal 2"/>
    <tableColumn id="5327" xr3:uid="{2BCE96B8-B4A5-46B1-9AD9-698AB482A857}" name="Column5312" dataCellStyle="Normal 2"/>
    <tableColumn id="5328" xr3:uid="{513B9DA0-CF40-489D-8551-59F7157B9B87}" name="Column5313" dataCellStyle="Normal 2"/>
    <tableColumn id="5329" xr3:uid="{E753FB43-C010-43CB-8219-7B931E81CCF6}" name="Column5314" dataCellStyle="Normal 2"/>
    <tableColumn id="5330" xr3:uid="{34398BAC-5A22-4B15-9419-236E9FE54329}" name="Column5315" dataCellStyle="Normal 2"/>
    <tableColumn id="5331" xr3:uid="{6CB11BF0-3A04-41F4-B8BF-271329CA78C2}" name="Column5316" dataCellStyle="Normal 2"/>
    <tableColumn id="5332" xr3:uid="{D5C73A75-930B-4FC8-8AF8-3F3FAC1BE95F}" name="Column5317" dataCellStyle="Normal 2"/>
    <tableColumn id="5333" xr3:uid="{506C6DB6-23C5-416C-A63D-8F703EAD45F7}" name="Column5318" dataCellStyle="Normal 2"/>
    <tableColumn id="5334" xr3:uid="{A00157F7-156B-4DDB-B113-689DA873FAAE}" name="Column5319" dataCellStyle="Normal 2"/>
    <tableColumn id="5335" xr3:uid="{B86DD597-E708-4D1B-B0DA-7BDBE675EDB4}" name="Column5320" dataCellStyle="Normal 2"/>
    <tableColumn id="5336" xr3:uid="{F16FE16E-55C1-4A57-A022-A579EE13FB00}" name="Column5321" dataCellStyle="Normal 2"/>
    <tableColumn id="5337" xr3:uid="{B1CC2CD1-03B7-4ECF-88C1-E90652D621B9}" name="Column5322" dataCellStyle="Normal 2"/>
    <tableColumn id="5338" xr3:uid="{1EA45DC1-CF4E-4B5E-9B93-4205F365C06B}" name="Column5323" dataCellStyle="Normal 2"/>
    <tableColumn id="5339" xr3:uid="{DC298E8E-354A-42A8-8731-04912EC51FC7}" name="Column5324" dataCellStyle="Normal 2"/>
    <tableColumn id="5340" xr3:uid="{A415B857-6DFE-451F-8777-736429DEF148}" name="Column5325" dataCellStyle="Normal 2"/>
    <tableColumn id="5341" xr3:uid="{973ABC41-7A2D-43A6-BFB8-EDAA041EAC16}" name="Column5326" dataCellStyle="Normal 2"/>
    <tableColumn id="5342" xr3:uid="{23626FDA-8486-4E9B-ABCA-08F8DD73B948}" name="Column5327" dataCellStyle="Normal 2"/>
    <tableColumn id="5343" xr3:uid="{42BA4A15-1907-4437-A9D8-4F98AECFECE1}" name="Column5328" dataCellStyle="Normal 2"/>
    <tableColumn id="5344" xr3:uid="{50BA64B1-B0A4-450C-9EE3-806B9CFDDE88}" name="Column5329" dataCellStyle="Normal 2"/>
    <tableColumn id="5345" xr3:uid="{5C16E466-3302-44C8-8625-B179D01C9B0E}" name="Column5330" dataCellStyle="Normal 2"/>
    <tableColumn id="5346" xr3:uid="{171F4F98-A85F-41D6-B84B-D388D5981CB0}" name="Column5331" dataCellStyle="Normal 2"/>
    <tableColumn id="5347" xr3:uid="{A89E6914-BEDE-45FE-BA21-5092646FD5AF}" name="Column5332" dataCellStyle="Normal 2"/>
    <tableColumn id="5348" xr3:uid="{D0E6624E-1BF3-466F-AABB-F5DEC0CDD2FA}" name="Column5333" dataCellStyle="Normal 2"/>
    <tableColumn id="5349" xr3:uid="{C611E0C1-C8AC-4930-97D9-58480F33FC1A}" name="Column5334" dataCellStyle="Normal 2"/>
    <tableColumn id="5350" xr3:uid="{8022073C-EDD7-4444-B02D-F8E546B102B9}" name="Column5335" dataCellStyle="Normal 2"/>
    <tableColumn id="5351" xr3:uid="{F756C76D-9BC4-4164-98B1-EC43B6238A75}" name="Column5336" dataCellStyle="Normal 2"/>
    <tableColumn id="5352" xr3:uid="{6A3D6EBE-A95E-478A-BD51-7A7E071B788C}" name="Column5337" dataCellStyle="Normal 2"/>
    <tableColumn id="5353" xr3:uid="{73BE0B05-76B9-4898-AA6A-B58134814DE9}" name="Column5338" dataCellStyle="Normal 2"/>
    <tableColumn id="5354" xr3:uid="{F8057737-23C8-4FA5-9BA8-804EC8705B78}" name="Column5339" dataCellStyle="Normal 2"/>
    <tableColumn id="5355" xr3:uid="{E9D7579F-70F2-42FF-B68B-1AFE6F4EEB73}" name="Column5340" dataCellStyle="Normal 2"/>
    <tableColumn id="5356" xr3:uid="{E6BA06BF-CE86-40B6-9B3D-A05D30AA828D}" name="Column5341" dataCellStyle="Normal 2"/>
    <tableColumn id="5357" xr3:uid="{A77EEBBC-3424-4AA9-B3B2-240C9D7DF3D2}" name="Column5342" dataCellStyle="Normal 2"/>
    <tableColumn id="5358" xr3:uid="{97E3C97F-3E01-4312-A0EA-A9ADDB6AE82C}" name="Column5343" dataCellStyle="Normal 2"/>
    <tableColumn id="5359" xr3:uid="{096B3CE7-28A3-4D95-BD34-206C62EB1F50}" name="Column5344" dataCellStyle="Normal 2"/>
    <tableColumn id="5360" xr3:uid="{6A525FFA-9C09-4249-9D48-4EDFFAFF0C11}" name="Column5345" dataCellStyle="Normal 2"/>
    <tableColumn id="5361" xr3:uid="{86ECD87F-2A77-4178-A3A7-9F05AEF84A7C}" name="Column5346" dataCellStyle="Normal 2"/>
    <tableColumn id="5362" xr3:uid="{D808C9B9-9693-417E-90C4-D2800D6D7AEE}" name="Column5347" dataCellStyle="Normal 2"/>
    <tableColumn id="5363" xr3:uid="{BCFD2A31-5C84-405D-865D-55A9CD5AB8FA}" name="Column5348" dataCellStyle="Normal 2"/>
    <tableColumn id="5364" xr3:uid="{AB41B3D2-9A20-4FC6-8096-8FE39DEFD21D}" name="Column5349" dataCellStyle="Normal 2"/>
    <tableColumn id="5365" xr3:uid="{4E019979-A6E1-4C04-BC0D-77BB27F793F1}" name="Column5350" dataCellStyle="Normal 2"/>
    <tableColumn id="5366" xr3:uid="{FFBEA983-3FC9-4717-B0DA-C5183E1CDE38}" name="Column5351" dataCellStyle="Normal 2"/>
    <tableColumn id="5367" xr3:uid="{E2D20611-FCEB-499C-8FF0-C506BD50F09B}" name="Column5352" dataCellStyle="Normal 2"/>
    <tableColumn id="5368" xr3:uid="{A3384FF6-3ACC-4DE2-994D-6393C7344DDE}" name="Column5353" dataCellStyle="Normal 2"/>
    <tableColumn id="5369" xr3:uid="{90EDF5A3-D8BE-4CBC-8F0F-EDCDDBFE53B5}" name="Column5354" dataCellStyle="Normal 2"/>
    <tableColumn id="5370" xr3:uid="{B7DF6956-3512-49F1-A6DF-AF29114A0161}" name="Column5355" dataCellStyle="Normal 2"/>
    <tableColumn id="5371" xr3:uid="{312408A8-CAE7-4FF2-91E9-BF424B49C487}" name="Column5356" dataCellStyle="Normal 2"/>
    <tableColumn id="5372" xr3:uid="{98F19C60-2E88-4682-A5B6-0581BBC12388}" name="Column5357" dataCellStyle="Normal 2"/>
    <tableColumn id="5373" xr3:uid="{6A82597B-1882-47BD-A23C-580E902311CC}" name="Column5358" dataCellStyle="Normal 2"/>
    <tableColumn id="5374" xr3:uid="{A8ACFF29-A411-4168-93DF-44B6F724A1DB}" name="Column5359" dataCellStyle="Normal 2"/>
    <tableColumn id="5375" xr3:uid="{660B42E1-2320-4561-BD27-9A273F5A7E33}" name="Column5360" dataCellStyle="Normal 2"/>
    <tableColumn id="5376" xr3:uid="{C6698380-974B-45C0-9DD1-F9A4AEC1BE62}" name="Column5361" dataCellStyle="Normal 2"/>
    <tableColumn id="5377" xr3:uid="{7DEB5CC2-C3C6-4C40-8765-E480EEA8FFCB}" name="Column5362" dataCellStyle="Normal 2"/>
    <tableColumn id="5378" xr3:uid="{004D96BF-F85B-4E94-873E-760DB3950102}" name="Column5363" dataCellStyle="Normal 2"/>
    <tableColumn id="5379" xr3:uid="{10EA56F4-8E60-4E96-9B33-585293070D4F}" name="Column5364" dataCellStyle="Normal 2"/>
    <tableColumn id="5380" xr3:uid="{FA393B0E-FF35-4DE9-B5FC-BF0CFC29CB88}" name="Column5365" dataCellStyle="Normal 2"/>
    <tableColumn id="5381" xr3:uid="{DB04DAA0-B93C-47E5-8438-611CD57C6FF5}" name="Column5366" dataCellStyle="Normal 2"/>
    <tableColumn id="5382" xr3:uid="{ACB2E49A-8425-411F-A284-CF26DC8580EB}" name="Column5367" dataCellStyle="Normal 2"/>
    <tableColumn id="5383" xr3:uid="{50C3C5A3-A437-4A02-805F-ED4666869A08}" name="Column5368" dataCellStyle="Normal 2"/>
    <tableColumn id="5384" xr3:uid="{530B6F7F-9F88-49DC-980C-690DC9D31F30}" name="Column5369" dataCellStyle="Normal 2"/>
    <tableColumn id="5385" xr3:uid="{3B487692-5541-4F9F-85E1-1C9461F8CD54}" name="Column5370" dataCellStyle="Normal 2"/>
    <tableColumn id="5386" xr3:uid="{CBDA7666-FC25-47FB-82C6-6B26D37ABDB1}" name="Column5371" dataCellStyle="Normal 2"/>
    <tableColumn id="5387" xr3:uid="{310A089B-A1E5-42C4-88C9-00838236D6C6}" name="Column5372" dataCellStyle="Normal 2"/>
    <tableColumn id="5388" xr3:uid="{9ED0F614-CB46-4B01-8915-3560A6424602}" name="Column5373" dataCellStyle="Normal 2"/>
    <tableColumn id="5389" xr3:uid="{80E2DFD3-53CA-4CB9-95FE-D713BA948FF0}" name="Column5374" dataCellStyle="Normal 2"/>
    <tableColumn id="5390" xr3:uid="{2B4B71DB-021E-45BB-8096-DBF4567BE4C2}" name="Column5375" dataCellStyle="Normal 2"/>
    <tableColumn id="5391" xr3:uid="{69E7C99F-B0EB-4E0E-8FDF-9BADD4C35E9B}" name="Column5376" dataCellStyle="Normal 2"/>
    <tableColumn id="5392" xr3:uid="{9142BF77-0557-4AFE-8D85-3207F26C5038}" name="Column5377" dataCellStyle="Normal 2"/>
    <tableColumn id="5393" xr3:uid="{770B2428-D27F-490A-9AC0-4ED480AC6455}" name="Column5378" dataCellStyle="Normal 2"/>
    <tableColumn id="5394" xr3:uid="{5DC5CF89-1C1F-4079-A172-2C69A00F75DF}" name="Column5379" dataCellStyle="Normal 2"/>
    <tableColumn id="5395" xr3:uid="{05157926-D9FF-4E57-9E58-4309D7E4A999}" name="Column5380" dataCellStyle="Normal 2"/>
    <tableColumn id="5396" xr3:uid="{610945F3-E2BB-4027-8E5A-B824791AF247}" name="Column5381" dataCellStyle="Normal 2"/>
    <tableColumn id="5397" xr3:uid="{A38E5A27-8C40-4FA5-AD78-986ADCE63933}" name="Column5382" dataCellStyle="Normal 2"/>
    <tableColumn id="5398" xr3:uid="{3ABF8E35-C652-4923-BE60-DC1223A2225A}" name="Column5383" dataCellStyle="Normal 2"/>
    <tableColumn id="5399" xr3:uid="{0ECB144B-791A-4854-B4E2-DB400365063A}" name="Column5384" dataCellStyle="Normal 2"/>
    <tableColumn id="5400" xr3:uid="{92600516-1AC3-4A9D-A53C-B2F0989D47D0}" name="Column5385" dataCellStyle="Normal 2"/>
    <tableColumn id="5401" xr3:uid="{25F259DC-FA71-455F-83BC-78DB0C0E93DD}" name="Column5386" dataCellStyle="Normal 2"/>
    <tableColumn id="5402" xr3:uid="{BE6C0508-C463-40B6-8992-AEFB2470905F}" name="Column5387" dataCellStyle="Normal 2"/>
    <tableColumn id="5403" xr3:uid="{5E0C71F1-38C1-4787-9C95-35CCA905C7A2}" name="Column5388" dataCellStyle="Normal 2"/>
    <tableColumn id="5404" xr3:uid="{188B2D5C-A15F-44CF-8EE5-95E620188651}" name="Column5389" dataCellStyle="Normal 2"/>
    <tableColumn id="5405" xr3:uid="{016C2957-E850-439B-8178-0EC101AC1909}" name="Column5390" dataCellStyle="Normal 2"/>
    <tableColumn id="5406" xr3:uid="{6A1D9AED-FEC5-4639-A557-930D87E6BEB3}" name="Column5391" dataCellStyle="Normal 2"/>
    <tableColumn id="5407" xr3:uid="{29F49E82-C55F-4DCD-871E-CB5569A5190A}" name="Column5392" dataCellStyle="Normal 2"/>
    <tableColumn id="5408" xr3:uid="{E4BC6764-FAD7-4807-8131-4948286636EE}" name="Column5393" dataCellStyle="Normal 2"/>
    <tableColumn id="5409" xr3:uid="{99035D56-A61C-4388-A98D-373CD773DA8D}" name="Column5394" dataCellStyle="Normal 2"/>
    <tableColumn id="5410" xr3:uid="{F200F2AA-E7F6-45FD-BE68-AF440379D3D0}" name="Column5395" dataCellStyle="Normal 2"/>
    <tableColumn id="5411" xr3:uid="{EC66DA77-1A25-4385-960A-BEE3C1CD4105}" name="Column5396" dataCellStyle="Normal 2"/>
    <tableColumn id="5412" xr3:uid="{521FBB57-DBB8-4265-BB59-9EDE1A6ECE52}" name="Column5397" dataCellStyle="Normal 2"/>
    <tableColumn id="5413" xr3:uid="{D5E3E8CC-FCE1-4DBA-8715-DBDD6CCD070D}" name="Column5398" dataCellStyle="Normal 2"/>
    <tableColumn id="5414" xr3:uid="{2B1E1458-FD69-4886-93F4-152FF8EE514D}" name="Column5399" dataCellStyle="Normal 2"/>
    <tableColumn id="5415" xr3:uid="{1DDE7A60-E309-4722-9808-0997B5912A46}" name="Column5400" dataCellStyle="Normal 2"/>
    <tableColumn id="5416" xr3:uid="{DDFEF871-571A-4B21-8FC4-A82264A26092}" name="Column5401" dataCellStyle="Normal 2"/>
    <tableColumn id="5417" xr3:uid="{44611C37-9B47-4C6A-A913-55265590F1DA}" name="Column5402" dataCellStyle="Normal 2"/>
    <tableColumn id="5418" xr3:uid="{8287D139-BE28-4CAD-8473-FAC710F41ED1}" name="Column5403" dataCellStyle="Normal 2"/>
    <tableColumn id="5419" xr3:uid="{2400F2F1-CACB-460E-BED5-CA59D071859D}" name="Column5404" dataCellStyle="Normal 2"/>
    <tableColumn id="5420" xr3:uid="{394AB2B0-8CC3-44B1-877A-9528175B060F}" name="Column5405" dataCellStyle="Normal 2"/>
    <tableColumn id="5421" xr3:uid="{F107BFCD-D2BC-45AA-B4B5-3C5CA1C7B15B}" name="Column5406" dataCellStyle="Normal 2"/>
    <tableColumn id="5422" xr3:uid="{4504A569-3631-4B67-904D-861CB0284DE4}" name="Column5407" dataCellStyle="Normal 2"/>
    <tableColumn id="5423" xr3:uid="{11334042-1EAB-422C-89AD-7441CE8CEC74}" name="Column5408" dataCellStyle="Normal 2"/>
    <tableColumn id="5424" xr3:uid="{D91B4B72-3648-46B3-BEF0-4DF16C909856}" name="Column5409" dataCellStyle="Normal 2"/>
    <tableColumn id="5425" xr3:uid="{A378A0FC-A352-47DC-AE2C-8F6942B2AF8A}" name="Column5410" dataCellStyle="Normal 2"/>
    <tableColumn id="5426" xr3:uid="{F3AF2C7B-43C9-48F9-88ED-A1BED152274D}" name="Column5411" dataCellStyle="Normal 2"/>
    <tableColumn id="5427" xr3:uid="{8AB7997B-4C4F-4B63-A1D6-47C5D461A992}" name="Column5412" dataCellStyle="Normal 2"/>
    <tableColumn id="5428" xr3:uid="{B2F56FE2-BFB0-415C-AD94-74172B78BFD3}" name="Column5413" dataCellStyle="Normal 2"/>
    <tableColumn id="5429" xr3:uid="{8A46C8F3-ED8F-4882-9B86-4F0FB03F01B9}" name="Column5414" dataCellStyle="Normal 2"/>
    <tableColumn id="5430" xr3:uid="{CEBC71F5-0537-4F4A-9D88-C268FAE47971}" name="Column5415" dataCellStyle="Normal 2"/>
    <tableColumn id="5431" xr3:uid="{CCA09095-C8A0-42BF-BD7E-10F62218DEA5}" name="Column5416" dataCellStyle="Normal 2"/>
    <tableColumn id="5432" xr3:uid="{CE577697-5FC8-4049-B5D9-43CD4A4E26E3}" name="Column5417" dataCellStyle="Normal 2"/>
    <tableColumn id="5433" xr3:uid="{F8967021-8BAE-48D7-9DF6-28E92B33CC98}" name="Column5418" dataCellStyle="Normal 2"/>
    <tableColumn id="5434" xr3:uid="{46C30253-4370-4256-B809-BCB3B2A77A03}" name="Column5419" dataCellStyle="Normal 2"/>
    <tableColumn id="5435" xr3:uid="{7115306E-DE33-46E4-A942-298561A25181}" name="Column5420" dataCellStyle="Normal 2"/>
    <tableColumn id="5436" xr3:uid="{400C5F4C-3C13-48F1-A1CC-AC104144B42B}" name="Column5421" dataCellStyle="Normal 2"/>
    <tableColumn id="5437" xr3:uid="{71AF3296-F7C9-42C5-AF09-07807DBD46BD}" name="Column5422" dataCellStyle="Normal 2"/>
    <tableColumn id="5438" xr3:uid="{E67D442D-625B-4E20-AF65-6A0789FD67FE}" name="Column5423" dataCellStyle="Normal 2"/>
    <tableColumn id="5439" xr3:uid="{990F4590-8E51-4E9B-BDCF-A58FD9886F9A}" name="Column5424" dataCellStyle="Normal 2"/>
    <tableColumn id="5440" xr3:uid="{DB0BEBFD-31D2-4A66-929D-8B882ECF3420}" name="Column5425" dataCellStyle="Normal 2"/>
    <tableColumn id="5441" xr3:uid="{984F8FC9-FB2D-4EFC-9377-EBEA31F988BB}" name="Column5426" dataCellStyle="Normal 2"/>
    <tableColumn id="5442" xr3:uid="{4F8299A5-AF5C-478F-851C-66553FE28DE0}" name="Column5427" dataCellStyle="Normal 2"/>
    <tableColumn id="5443" xr3:uid="{77FA4307-10CD-449F-9D5A-477AB6F049E9}" name="Column5428" dataCellStyle="Normal 2"/>
    <tableColumn id="5444" xr3:uid="{7C4BE4CF-7E2A-49F8-BE9B-E3EDABBB4C52}" name="Column5429" dataCellStyle="Normal 2"/>
    <tableColumn id="5445" xr3:uid="{B969DA0C-91D7-479F-A6FA-46C7C53AEE8C}" name="Column5430" dataCellStyle="Normal 2"/>
    <tableColumn id="5446" xr3:uid="{70C81923-7066-4C47-819A-103145270B2B}" name="Column5431" dataCellStyle="Normal 2"/>
    <tableColumn id="5447" xr3:uid="{7F83F826-7B71-4CB6-816B-12BC55C717D0}" name="Column5432" dataCellStyle="Normal 2"/>
    <tableColumn id="5448" xr3:uid="{E36AA64B-87D6-41DA-97F3-F17F8E88A9E6}" name="Column5433" dataCellStyle="Normal 2"/>
    <tableColumn id="5449" xr3:uid="{7DEDEF0A-112E-4585-AFAC-D4D165EA2A87}" name="Column5434" dataCellStyle="Normal 2"/>
    <tableColumn id="5450" xr3:uid="{C6CE0199-F83C-46C8-90B0-62272201DB63}" name="Column5435" dataCellStyle="Normal 2"/>
    <tableColumn id="5451" xr3:uid="{706C188E-9B93-4C5D-8A08-C7BD2DCB711B}" name="Column5436" dataCellStyle="Normal 2"/>
    <tableColumn id="5452" xr3:uid="{E0937F8A-C783-4616-AD0A-01E554BBB520}" name="Column5437" dataCellStyle="Normal 2"/>
    <tableColumn id="5453" xr3:uid="{A77F6713-507E-4EBD-9EE2-0A1962452F65}" name="Column5438" dataCellStyle="Normal 2"/>
    <tableColumn id="5454" xr3:uid="{EA7A7C27-BE72-4499-B692-B2629BCA8E24}" name="Column5439" dataCellStyle="Normal 2"/>
    <tableColumn id="5455" xr3:uid="{45A61DB9-A723-4783-8CD1-36089452506A}" name="Column5440" dataCellStyle="Normal 2"/>
    <tableColumn id="5456" xr3:uid="{56FD1C7C-877A-4D9B-A802-B07C352F01B3}" name="Column5441" dataCellStyle="Normal 2"/>
    <tableColumn id="5457" xr3:uid="{C2BBB03B-9EC6-4B86-838A-53A466195EF4}" name="Column5442" dataCellStyle="Normal 2"/>
    <tableColumn id="5458" xr3:uid="{780E8508-6BCD-40EC-9065-73CB0238A30F}" name="Column5443" dataCellStyle="Normal 2"/>
    <tableColumn id="5459" xr3:uid="{545728C8-D864-48BC-B925-F8489E33475B}" name="Column5444" dataCellStyle="Normal 2"/>
    <tableColumn id="5460" xr3:uid="{9912F797-FBAA-4A03-8B52-ABAF7A6C1F98}" name="Column5445" dataCellStyle="Normal 2"/>
    <tableColumn id="5461" xr3:uid="{F191C778-A5E9-4092-9E6C-609D777592E1}" name="Column5446" dataCellStyle="Normal 2"/>
    <tableColumn id="5462" xr3:uid="{38A38DA8-CF58-4EFA-A3C9-16DCEA106CFD}" name="Column5447" dataCellStyle="Normal 2"/>
    <tableColumn id="5463" xr3:uid="{5F6FFBB7-3FB0-488A-B1C1-BD3CE93CC6C3}" name="Column5448" dataCellStyle="Normal 2"/>
    <tableColumn id="5464" xr3:uid="{7E3CFEA0-95FA-4415-A40F-E6512A6EF6D1}" name="Column5449" dataCellStyle="Normal 2"/>
    <tableColumn id="5465" xr3:uid="{3C8CE672-6FC5-4619-B051-6806C390A446}" name="Column5450" dataCellStyle="Normal 2"/>
    <tableColumn id="5466" xr3:uid="{6C4DCFF7-2FC0-47E7-AB49-BB448C9FBE97}" name="Column5451" dataCellStyle="Normal 2"/>
    <tableColumn id="5467" xr3:uid="{96119CB2-E7DB-42A1-B307-CA03DBDC3841}" name="Column5452" dataCellStyle="Normal 2"/>
    <tableColumn id="5468" xr3:uid="{EA31713E-6C12-4AA8-BA5E-9DA9A122C459}" name="Column5453" dataCellStyle="Normal 2"/>
    <tableColumn id="5469" xr3:uid="{E02EC70C-25D3-420A-8B23-F2343131B622}" name="Column5454" dataCellStyle="Normal 2"/>
    <tableColumn id="5470" xr3:uid="{F38FC088-A6A6-4A31-BE0B-50E1E0FA1CBC}" name="Column5455" dataCellStyle="Normal 2"/>
    <tableColumn id="5471" xr3:uid="{A3EE9ABB-3A6F-4CEF-8C41-8467C67461F8}" name="Column5456" dataCellStyle="Normal 2"/>
    <tableColumn id="5472" xr3:uid="{66B729B6-6DDB-4F74-9B60-B3327027A168}" name="Column5457" dataCellStyle="Normal 2"/>
    <tableColumn id="5473" xr3:uid="{EB80469A-FA55-46A4-80F9-D40A7FB01FF1}" name="Column5458" dataCellStyle="Normal 2"/>
    <tableColumn id="5474" xr3:uid="{2C073E03-52D2-4D4B-8647-4179ACFDB87F}" name="Column5459" dataCellStyle="Normal 2"/>
    <tableColumn id="5475" xr3:uid="{6AFB2531-4829-4BDA-A97A-236B0F391F75}" name="Column5460" dataCellStyle="Normal 2"/>
    <tableColumn id="5476" xr3:uid="{2C3E54D8-62D0-427E-AB1C-DBF6EC5FA44F}" name="Column5461" dataCellStyle="Normal 2"/>
    <tableColumn id="5477" xr3:uid="{7D81F3B2-CCA6-4EB3-8E95-477E768744EC}" name="Column5462" dataCellStyle="Normal 2"/>
    <tableColumn id="5478" xr3:uid="{55C58B58-E38F-44F8-B193-984BA65F6C02}" name="Column5463" dataCellStyle="Normal 2"/>
    <tableColumn id="5479" xr3:uid="{735ECDA5-4A04-4740-9B2D-D560555B32CA}" name="Column5464" dataCellStyle="Normal 2"/>
    <tableColumn id="5480" xr3:uid="{DDB2871E-1938-4EA8-B72C-BF1C19E38678}" name="Column5465" dataCellStyle="Normal 2"/>
    <tableColumn id="5481" xr3:uid="{36CB69D7-45E4-4735-B7C4-3B241D07C994}" name="Column5466" dataCellStyle="Normal 2"/>
    <tableColumn id="5482" xr3:uid="{BCEB9F3F-C840-44A8-9B56-F5571B93D5B8}" name="Column5467" dataCellStyle="Normal 2"/>
    <tableColumn id="5483" xr3:uid="{B2806BA8-9BC4-4BCB-937A-8D8A70F6E716}" name="Column5468" dataCellStyle="Normal 2"/>
    <tableColumn id="5484" xr3:uid="{2954F371-2A7D-4A71-BAE3-AAE939CB9EFB}" name="Column5469" dataCellStyle="Normal 2"/>
    <tableColumn id="5485" xr3:uid="{E3FF76BC-8BEC-4505-BC51-2566759DF987}" name="Column5470" dataCellStyle="Normal 2"/>
    <tableColumn id="5486" xr3:uid="{366917CE-D4F3-4633-8517-3881AF7CA661}" name="Column5471" dataCellStyle="Normal 2"/>
    <tableColumn id="5487" xr3:uid="{390EB924-C42E-445C-9B9F-FA5F049ED266}" name="Column5472" dataCellStyle="Normal 2"/>
    <tableColumn id="5488" xr3:uid="{47817120-3C82-4353-B62F-BEF4CF88652A}" name="Column5473" dataCellStyle="Normal 2"/>
    <tableColumn id="5489" xr3:uid="{677A56CD-1DFF-4E74-B06C-7B79F5CB6574}" name="Column5474" dataCellStyle="Normal 2"/>
    <tableColumn id="5490" xr3:uid="{AD2625A5-F622-4378-8865-39F7E4C8746E}" name="Column5475" dataCellStyle="Normal 2"/>
    <tableColumn id="5491" xr3:uid="{04211C14-A365-4F13-BA92-74905031E43B}" name="Column5476" dataCellStyle="Normal 2"/>
    <tableColumn id="5492" xr3:uid="{6C6E172E-9598-4CB7-810F-FB2C84B5A50F}" name="Column5477" dataCellStyle="Normal 2"/>
    <tableColumn id="5493" xr3:uid="{E3457084-3173-4AA5-86EE-3503FA8F3A89}" name="Column5478" dataCellStyle="Normal 2"/>
    <tableColumn id="5494" xr3:uid="{3961FC32-D429-40AB-8D5F-52D8DB0B992A}" name="Column5479" dataCellStyle="Normal 2"/>
    <tableColumn id="5495" xr3:uid="{BF4879BF-FD68-4E37-957D-6978668D714A}" name="Column5480" dataCellStyle="Normal 2"/>
    <tableColumn id="5496" xr3:uid="{E6681A26-5B45-4599-9F77-20E79CE0897E}" name="Column5481" dataCellStyle="Normal 2"/>
    <tableColumn id="5497" xr3:uid="{FCD4ECF4-5C42-4D21-BB84-1956C5055F61}" name="Column5482" dataCellStyle="Normal 2"/>
    <tableColumn id="5498" xr3:uid="{2E979AE0-4F83-468B-B192-AF5C63591EEC}" name="Column5483" dataCellStyle="Normal 2"/>
    <tableColumn id="5499" xr3:uid="{4E2533E9-69C7-48A3-9AC3-777EE93F3C38}" name="Column5484" dataCellStyle="Normal 2"/>
    <tableColumn id="5500" xr3:uid="{E71E237B-8512-4A84-B60E-FED3BFDC5015}" name="Column5485" dataCellStyle="Normal 2"/>
    <tableColumn id="5501" xr3:uid="{7AD8A743-C3B1-4E19-9EBC-741B408AED1D}" name="Column5486" dataCellStyle="Normal 2"/>
    <tableColumn id="5502" xr3:uid="{1581D36D-D668-402A-8CD9-2094F4B36F7A}" name="Column5487" dataCellStyle="Normal 2"/>
    <tableColumn id="5503" xr3:uid="{6DAA0A4C-8395-4508-91EF-77E559838B4B}" name="Column5488" dataCellStyle="Normal 2"/>
    <tableColumn id="5504" xr3:uid="{FC0892B9-C4AB-40C1-A982-D8D646859B2D}" name="Column5489" dataCellStyle="Normal 2"/>
    <tableColumn id="5505" xr3:uid="{0F07E2EB-48FB-4B86-A32B-4E4F3E0A6181}" name="Column5490" dataCellStyle="Normal 2"/>
    <tableColumn id="5506" xr3:uid="{03654133-3EBD-48EB-B2E7-D4332ABCF4A4}" name="Column5491" dataCellStyle="Normal 2"/>
    <tableColumn id="5507" xr3:uid="{862FC89B-190A-4DAD-B3C7-C44475CC7B70}" name="Column5492" dataCellStyle="Normal 2"/>
    <tableColumn id="5508" xr3:uid="{A6A0B9CB-BA09-4BD3-8B7D-A62AD6F2662B}" name="Column5493" dataCellStyle="Normal 2"/>
    <tableColumn id="5509" xr3:uid="{C42B209E-0758-4D34-99EE-BD06116BC3C9}" name="Column5494" dataCellStyle="Normal 2"/>
    <tableColumn id="5510" xr3:uid="{55BA6162-A34D-496D-A7B9-AB2B5006F0D8}" name="Column5495" dataCellStyle="Normal 2"/>
    <tableColumn id="5511" xr3:uid="{2626C060-2F14-4B98-9708-913CFAF968AC}" name="Column5496" dataCellStyle="Normal 2"/>
    <tableColumn id="5512" xr3:uid="{E5A6F7D7-CC2B-4DF2-8E99-9DC066A7AA05}" name="Column5497" dataCellStyle="Normal 2"/>
    <tableColumn id="5513" xr3:uid="{240BCDBD-12A5-4DEF-892A-BA54691C8193}" name="Column5498" dataCellStyle="Normal 2"/>
    <tableColumn id="5514" xr3:uid="{23FD9ED1-22C3-41A6-8601-A8CC4CF1DCA1}" name="Column5499" dataCellStyle="Normal 2"/>
    <tableColumn id="5515" xr3:uid="{8F16A1EE-9D4D-4FF0-9541-20850867B21B}" name="Column5500" dataCellStyle="Normal 2"/>
    <tableColumn id="5516" xr3:uid="{6DADC78D-C9CE-4841-A74D-FC5478233CCB}" name="Column5501" dataCellStyle="Normal 2"/>
    <tableColumn id="5517" xr3:uid="{D854EF8B-690A-4B00-9CA7-9D5030BB0EB1}" name="Column5502" dataCellStyle="Normal 2"/>
    <tableColumn id="5518" xr3:uid="{0C983368-72DD-45D7-B23D-2F6B950D781A}" name="Column5503" dataCellStyle="Normal 2"/>
    <tableColumn id="5519" xr3:uid="{EB151920-FC72-41C0-8BF3-549A8B3350E9}" name="Column5504" dataCellStyle="Normal 2"/>
    <tableColumn id="5520" xr3:uid="{F163A519-D850-49C2-B607-02FEA2FFAE90}" name="Column5505" dataCellStyle="Normal 2"/>
    <tableColumn id="5521" xr3:uid="{5B677D20-AB37-4157-B670-A5CDE9920639}" name="Column5506" dataCellStyle="Normal 2"/>
    <tableColumn id="5522" xr3:uid="{35078B4A-9FC8-4F52-83D3-530E1FA3B113}" name="Column5507" dataCellStyle="Normal 2"/>
    <tableColumn id="5523" xr3:uid="{9AB8BE57-2AB8-45F0-9123-DCE212E82DA1}" name="Column5508" dataCellStyle="Normal 2"/>
    <tableColumn id="5524" xr3:uid="{5DE37752-FB9B-4AE9-856A-1375B2486C1F}" name="Column5509" dataCellStyle="Normal 2"/>
    <tableColumn id="5525" xr3:uid="{5E9A8E01-B819-4E93-A308-33DB2426408B}" name="Column5510" dataCellStyle="Normal 2"/>
    <tableColumn id="5526" xr3:uid="{BF040FC3-D889-4E20-AB86-D92E865C4F02}" name="Column5511" dataCellStyle="Normal 2"/>
    <tableColumn id="5527" xr3:uid="{E74DFE39-5CBC-4FF1-844A-BFF299A49A1E}" name="Column5512" dataCellStyle="Normal 2"/>
    <tableColumn id="5528" xr3:uid="{019DB429-BD7A-4C0A-BF32-214413AC42E4}" name="Column5513" dataCellStyle="Normal 2"/>
    <tableColumn id="5529" xr3:uid="{5619EE33-9140-4A4D-ADB7-CA052CF6590B}" name="Column5514" dataCellStyle="Normal 2"/>
    <tableColumn id="5530" xr3:uid="{AFD507C6-CA50-430F-9152-8D436AC959CB}" name="Column5515" dataCellStyle="Normal 2"/>
    <tableColumn id="5531" xr3:uid="{82BE306A-C9E1-4989-9F03-00DB8F987874}" name="Column5516" dataCellStyle="Normal 2"/>
    <tableColumn id="5532" xr3:uid="{DAF406BE-0325-4831-9C20-C3ED0FCD5CA7}" name="Column5517" dataCellStyle="Normal 2"/>
    <tableColumn id="5533" xr3:uid="{1C6D463E-8808-4363-B067-693FF039BFA2}" name="Column5518" dataCellStyle="Normal 2"/>
    <tableColumn id="5534" xr3:uid="{52CE4CD4-0942-48C2-8009-5E16690D25C5}" name="Column5519" dataCellStyle="Normal 2"/>
    <tableColumn id="5535" xr3:uid="{CB2754DD-58D9-471B-B610-CBE6D5B52520}" name="Column5520" dataCellStyle="Normal 2"/>
    <tableColumn id="5536" xr3:uid="{7D642063-49A5-4945-A8C6-0FB1BFACBB70}" name="Column5521" dataCellStyle="Normal 2"/>
    <tableColumn id="5537" xr3:uid="{1B3CC613-07FD-442F-859C-7A2983C5F492}" name="Column5522" dataCellStyle="Normal 2"/>
    <tableColumn id="5538" xr3:uid="{A3562E10-5B1E-474E-9790-D443DD0B664D}" name="Column5523" dataCellStyle="Normal 2"/>
    <tableColumn id="5539" xr3:uid="{856E658D-3EE3-4870-B824-E2B876995E67}" name="Column5524" dataCellStyle="Normal 2"/>
    <tableColumn id="5540" xr3:uid="{332559C3-7466-4769-A176-8DB07DB65B96}" name="Column5525" dataCellStyle="Normal 2"/>
    <tableColumn id="5541" xr3:uid="{158BB511-AAA2-40C2-AA20-04D9610BA111}" name="Column5526" dataCellStyle="Normal 2"/>
    <tableColumn id="5542" xr3:uid="{08B3AE10-E27A-44C3-AF0C-1996AC26B1FC}" name="Column5527" dataCellStyle="Normal 2"/>
    <tableColumn id="5543" xr3:uid="{A6050E3C-2296-43CA-8A98-BAD7E60CE864}" name="Column5528" dataCellStyle="Normal 2"/>
    <tableColumn id="5544" xr3:uid="{08B8ED8D-7769-4CFA-96BF-774EEEB06C9B}" name="Column5529" dataCellStyle="Normal 2"/>
    <tableColumn id="5545" xr3:uid="{D3B7B355-5D65-4F28-959C-D4FE0FAC91BE}" name="Column5530" dataCellStyle="Normal 2"/>
    <tableColumn id="5546" xr3:uid="{44161009-2F75-4A76-AC12-2EB0FFC7A25E}" name="Column5531" dataCellStyle="Normal 2"/>
    <tableColumn id="5547" xr3:uid="{4A1A0CA7-D30D-43C7-87BF-73775E00D6C3}" name="Column5532" dataCellStyle="Normal 2"/>
    <tableColumn id="5548" xr3:uid="{6678A335-E181-421E-8C71-30B25E282479}" name="Column5533" dataCellStyle="Normal 2"/>
    <tableColumn id="5549" xr3:uid="{B1019E9A-56F6-40F1-A56E-95C283CFC964}" name="Column5534" dataCellStyle="Normal 2"/>
    <tableColumn id="5550" xr3:uid="{E11D3E14-A83B-4D1D-AC37-B577F29AEB7E}" name="Column5535" dataCellStyle="Normal 2"/>
    <tableColumn id="5551" xr3:uid="{347D2CC0-0BD9-42B8-9CB2-A122619E449A}" name="Column5536" dataCellStyle="Normal 2"/>
    <tableColumn id="5552" xr3:uid="{BDD02EF6-07F4-4B2B-864C-F1DC8363FE1D}" name="Column5537" dataCellStyle="Normal 2"/>
    <tableColumn id="5553" xr3:uid="{D43991DB-5473-4F53-9BCB-49AFEDFD59C1}" name="Column5538" dataCellStyle="Normal 2"/>
    <tableColumn id="5554" xr3:uid="{316F4426-897A-40A7-A7EC-84DF0C0DA7AE}" name="Column5539" dataCellStyle="Normal 2"/>
    <tableColumn id="5555" xr3:uid="{B01D6CB2-CDA1-436C-81F7-765D51037C3A}" name="Column5540" dataCellStyle="Normal 2"/>
    <tableColumn id="5556" xr3:uid="{DED46F47-A909-4918-BCBD-7B605F275431}" name="Column5541" dataCellStyle="Normal 2"/>
    <tableColumn id="5557" xr3:uid="{0E0AF1B3-5DE6-44DB-8924-C12BDF0B3479}" name="Column5542" dataCellStyle="Normal 2"/>
    <tableColumn id="5558" xr3:uid="{B1D6D1A7-9290-4347-B25E-8754097949EA}" name="Column5543" dataCellStyle="Normal 2"/>
    <tableColumn id="5559" xr3:uid="{60F96E99-FC67-4188-8C5E-BDFE527EF310}" name="Column5544" dataCellStyle="Normal 2"/>
    <tableColumn id="5560" xr3:uid="{023D6733-B8BA-4676-B7E1-690B3346CF1E}" name="Column5545" dataCellStyle="Normal 2"/>
    <tableColumn id="5561" xr3:uid="{14B3D63B-263C-470F-8A22-F9FA285B3E6D}" name="Column5546" dataCellStyle="Normal 2"/>
    <tableColumn id="5562" xr3:uid="{6BFEA762-2F94-4FA2-85C6-5BB93340643A}" name="Column5547" dataCellStyle="Normal 2"/>
    <tableColumn id="5563" xr3:uid="{8356C51C-206F-4D17-9F45-EBB13B386B64}" name="Column5548" dataCellStyle="Normal 2"/>
    <tableColumn id="5564" xr3:uid="{219646D5-C5D0-41A3-BAFF-2B15CBB17BA4}" name="Column5549" dataCellStyle="Normal 2"/>
    <tableColumn id="5565" xr3:uid="{56ED6423-8ECC-4E22-9E14-301C300C84CE}" name="Column5550" dataCellStyle="Normal 2"/>
    <tableColumn id="5566" xr3:uid="{8575CD4F-8C1B-4646-8EE3-463089B4293C}" name="Column5551" dataCellStyle="Normal 2"/>
    <tableColumn id="5567" xr3:uid="{EC144D7A-A733-4F6D-B7D5-9D81E4B1677E}" name="Column5552" dataCellStyle="Normal 2"/>
    <tableColumn id="5568" xr3:uid="{A541D317-3F71-43AC-BC98-236B7B42641B}" name="Column5553" dataCellStyle="Normal 2"/>
    <tableColumn id="5569" xr3:uid="{FA5C6AC2-36AD-4D0C-BED9-A1E911C2B18D}" name="Column5554" dataCellStyle="Normal 2"/>
    <tableColumn id="5570" xr3:uid="{3A286436-6B33-4B66-9204-FEE116E4D8EB}" name="Column5555" dataCellStyle="Normal 2"/>
    <tableColumn id="5571" xr3:uid="{E7F8FE49-E6A4-401A-A47F-86C83507AD99}" name="Column5556" dataCellStyle="Normal 2"/>
    <tableColumn id="5572" xr3:uid="{7D1438C3-CEE3-4ECE-ABA9-EE141AECD057}" name="Column5557" dataCellStyle="Normal 2"/>
    <tableColumn id="5573" xr3:uid="{7F98909A-35E6-4C32-8CEC-BD9A06AFE14C}" name="Column5558" dataCellStyle="Normal 2"/>
    <tableColumn id="5574" xr3:uid="{0F79ED27-98C8-4D51-BDF3-09483DAFDBA7}" name="Column5559" dataCellStyle="Normal 2"/>
    <tableColumn id="5575" xr3:uid="{43D1833C-6407-4C20-BF2A-3CA9350F0621}" name="Column5560" dataCellStyle="Normal 2"/>
    <tableColumn id="5576" xr3:uid="{5E1AC789-F2F8-4C6B-9FDD-859565134EC2}" name="Column5561" dataCellStyle="Normal 2"/>
    <tableColumn id="5577" xr3:uid="{EC1954B0-21EC-4823-A123-AC9400030C20}" name="Column5562" dataCellStyle="Normal 2"/>
    <tableColumn id="5578" xr3:uid="{A8A0FF6A-855E-4A46-86A8-558537AAFCCD}" name="Column5563" dataCellStyle="Normal 2"/>
    <tableColumn id="5579" xr3:uid="{77B7D8C6-F1EA-4EE0-9745-A0A0E6582F3E}" name="Column5564" dataCellStyle="Normal 2"/>
    <tableColumn id="5580" xr3:uid="{3902A14A-AAFB-4AA1-9E3E-50D9DF6E726E}" name="Column5565" dataCellStyle="Normal 2"/>
    <tableColumn id="5581" xr3:uid="{6212B965-5FF6-40EA-9CC0-A81F9668DC47}" name="Column5566" dataCellStyle="Normal 2"/>
    <tableColumn id="5582" xr3:uid="{17176883-6F10-4299-80B2-C38D7CCB8A21}" name="Column5567" dataCellStyle="Normal 2"/>
    <tableColumn id="5583" xr3:uid="{ED4CEC69-CE86-48F7-93A4-B3AB2603E15E}" name="Column5568" dataCellStyle="Normal 2"/>
    <tableColumn id="5584" xr3:uid="{4B493372-C008-432F-8A02-53BE997F7E08}" name="Column5569" dataCellStyle="Normal 2"/>
    <tableColumn id="5585" xr3:uid="{26675D6C-DCC8-43D4-96DA-B91808C4C8AD}" name="Column5570" dataCellStyle="Normal 2"/>
    <tableColumn id="5586" xr3:uid="{590A98D2-62D3-4E8E-A67E-303A15721EF0}" name="Column5571" dataCellStyle="Normal 2"/>
    <tableColumn id="5587" xr3:uid="{7DB53151-20D9-431F-96AB-AC1FEE22C8C4}" name="Column5572" dataCellStyle="Normal 2"/>
    <tableColumn id="5588" xr3:uid="{84F4A1F8-6C45-4C73-9BCF-9817A94DCD72}" name="Column5573" dataCellStyle="Normal 2"/>
    <tableColumn id="5589" xr3:uid="{B3688C13-195B-431A-8843-A4A1F036B6DB}" name="Column5574" dataCellStyle="Normal 2"/>
    <tableColumn id="5590" xr3:uid="{2B060A84-6799-4779-A733-734722A1C242}" name="Column5575" dataCellStyle="Normal 2"/>
    <tableColumn id="5591" xr3:uid="{0D97B489-135C-420B-A687-66B58A722983}" name="Column5576" dataCellStyle="Normal 2"/>
    <tableColumn id="5592" xr3:uid="{38FBA381-71B9-4B98-ADFF-C22CCA6E63B6}" name="Column5577" dataCellStyle="Normal 2"/>
    <tableColumn id="5593" xr3:uid="{0E63023D-9017-4813-8030-D043F1C5AE0B}" name="Column5578" dataCellStyle="Normal 2"/>
    <tableColumn id="5594" xr3:uid="{4A110F01-01EC-4C63-9E88-CFBDD26B32C8}" name="Column5579" dataCellStyle="Normal 2"/>
    <tableColumn id="5595" xr3:uid="{3A63FA2F-BA6E-4595-9335-0B5D2AC4247F}" name="Column5580" dataCellStyle="Normal 2"/>
    <tableColumn id="5596" xr3:uid="{80935EA7-3657-487C-94D5-EADD32677CB6}" name="Column5581" dataCellStyle="Normal 2"/>
    <tableColumn id="5597" xr3:uid="{B16F13B4-8841-47FF-BEAE-E5070BC52297}" name="Column5582" dataCellStyle="Normal 2"/>
    <tableColumn id="5598" xr3:uid="{9410A072-5DDD-4C98-A82B-19988341C571}" name="Column5583" dataCellStyle="Normal 2"/>
    <tableColumn id="5599" xr3:uid="{3B80737A-965F-4865-AEB1-6376D40B0909}" name="Column5584" dataCellStyle="Normal 2"/>
    <tableColumn id="5600" xr3:uid="{F987D8D4-C7F0-4EA2-AA1C-4C1209ECD30D}" name="Column5585" dataCellStyle="Normal 2"/>
    <tableColumn id="5601" xr3:uid="{C2054497-DA30-4DA8-80D8-6517DF219215}" name="Column5586" dataCellStyle="Normal 2"/>
    <tableColumn id="5602" xr3:uid="{FD75958C-57AC-4AFB-8B50-917324A3CA7C}" name="Column5587" dataCellStyle="Normal 2"/>
    <tableColumn id="5603" xr3:uid="{7D896E88-24F4-4DF6-B292-F188E2DF8A3C}" name="Column5588" dataCellStyle="Normal 2"/>
    <tableColumn id="5604" xr3:uid="{E77C3622-3FAC-4C05-BC82-5BF49D408C25}" name="Column5589" dataCellStyle="Normal 2"/>
    <tableColumn id="5605" xr3:uid="{063F64E3-DE5D-40C6-9DB2-67E383E28309}" name="Column5590" dataCellStyle="Normal 2"/>
    <tableColumn id="5606" xr3:uid="{79CBBA4A-53FE-4D35-8FF5-FF55468C48F3}" name="Column5591" dataCellStyle="Normal 2"/>
    <tableColumn id="5607" xr3:uid="{F46B8564-1724-48E1-B4FF-A89E8C82BF94}" name="Column5592" dataCellStyle="Normal 2"/>
    <tableColumn id="5608" xr3:uid="{48797607-BB5E-4280-9B98-377967E2CE1A}" name="Column5593" dataCellStyle="Normal 2"/>
    <tableColumn id="5609" xr3:uid="{4C102004-0856-493D-9854-537EFC86EB56}" name="Column5594" dataCellStyle="Normal 2"/>
    <tableColumn id="5610" xr3:uid="{F2E6FD9D-AF53-4BC8-A07E-4876ABF92F30}" name="Column5595" dataCellStyle="Normal 2"/>
    <tableColumn id="5611" xr3:uid="{99615C77-BAD3-46C6-8779-65432D4F2EF6}" name="Column5596" dataCellStyle="Normal 2"/>
    <tableColumn id="5612" xr3:uid="{9CF7EEB2-82AC-4624-A41C-610C40567455}" name="Column5597" dataCellStyle="Normal 2"/>
    <tableColumn id="5613" xr3:uid="{55B6FA4C-3519-402E-9882-27DFC9A6D686}" name="Column5598" dataCellStyle="Normal 2"/>
    <tableColumn id="5614" xr3:uid="{BF1B5FBC-F2A3-4F54-A652-975EB85A0492}" name="Column5599" dataCellStyle="Normal 2"/>
    <tableColumn id="5615" xr3:uid="{01F3FC36-D76A-4C7A-871B-7EC3CD7EDF4E}" name="Column5600" dataCellStyle="Normal 2"/>
    <tableColumn id="5616" xr3:uid="{709D3917-111B-4C84-9281-44D65AD1AE95}" name="Column5601" dataCellStyle="Normal 2"/>
    <tableColumn id="5617" xr3:uid="{02529B5F-5BC3-4B5E-9D82-810EF2308AED}" name="Column5602" dataCellStyle="Normal 2"/>
    <tableColumn id="5618" xr3:uid="{E3A2F2C2-7D9E-4898-A907-2C30C82DE31E}" name="Column5603" dataCellStyle="Normal 2"/>
    <tableColumn id="5619" xr3:uid="{38082FD7-4CEC-4E0A-BD92-1A25FB1F7D2C}" name="Column5604" dataCellStyle="Normal 2"/>
    <tableColumn id="5620" xr3:uid="{47670981-0EF4-47C1-B2B4-384485AF5EBB}" name="Column5605" dataCellStyle="Normal 2"/>
    <tableColumn id="5621" xr3:uid="{ED5F3ADD-0B1F-407A-9A52-0748EC8F1B98}" name="Column5606" dataCellStyle="Normal 2"/>
    <tableColumn id="5622" xr3:uid="{97F12ADB-516A-4115-A933-9E50E8675935}" name="Column5607" dataCellStyle="Normal 2"/>
    <tableColumn id="5623" xr3:uid="{1F7C7464-2C07-4EB7-87AD-540EE0C95FA1}" name="Column5608" dataCellStyle="Normal 2"/>
    <tableColumn id="5624" xr3:uid="{125150B7-8D89-40D2-B732-89C58A88EAB0}" name="Column5609" dataCellStyle="Normal 2"/>
    <tableColumn id="5625" xr3:uid="{95A9EA52-FD75-43C9-976C-12C33C58562D}" name="Column5610" dataCellStyle="Normal 2"/>
    <tableColumn id="5626" xr3:uid="{B8465C67-9F8E-412F-8487-526D95DE67AE}" name="Column5611" dataCellStyle="Normal 2"/>
    <tableColumn id="5627" xr3:uid="{A3F8AC22-1E5D-478F-890F-F1844C13B274}" name="Column5612" dataCellStyle="Normal 2"/>
    <tableColumn id="5628" xr3:uid="{076F1815-F92B-4F22-BCFA-15C5EC17C06C}" name="Column5613" dataCellStyle="Normal 2"/>
    <tableColumn id="5629" xr3:uid="{17D8489B-CA4A-40AF-9D09-D77260135B6B}" name="Column5614" dataCellStyle="Normal 2"/>
    <tableColumn id="5630" xr3:uid="{5DC7D94A-044D-4212-8517-9A51A6274627}" name="Column5615" dataCellStyle="Normal 2"/>
    <tableColumn id="5631" xr3:uid="{041775A5-B8AC-45C0-B41D-EC5C1987BC36}" name="Column5616" dataCellStyle="Normal 2"/>
    <tableColumn id="5632" xr3:uid="{DCD2E4E7-8142-493E-93D8-2A464D877DA1}" name="Column5617" dataCellStyle="Normal 2"/>
    <tableColumn id="5633" xr3:uid="{3405A54E-49E4-4013-B5DA-C15EAEDB72BF}" name="Column5618" dataCellStyle="Normal 2"/>
    <tableColumn id="5634" xr3:uid="{DDE6C6E8-C3ED-4BC1-86DE-E1F19CD6BE5B}" name="Column5619" dataCellStyle="Normal 2"/>
    <tableColumn id="5635" xr3:uid="{27C80683-814E-4EC6-894B-7DA5AEFE916D}" name="Column5620" dataCellStyle="Normal 2"/>
    <tableColumn id="5636" xr3:uid="{F00E6DD5-5A76-45F8-B62A-1A43B98408F8}" name="Column5621" dataCellStyle="Normal 2"/>
    <tableColumn id="5637" xr3:uid="{FB8D8A8B-D055-4007-8E19-095C4D69290C}" name="Column5622" dataCellStyle="Normal 2"/>
    <tableColumn id="5638" xr3:uid="{44E1B888-7F35-4A3D-BB60-C3256C6C33CD}" name="Column5623" dataCellStyle="Normal 2"/>
    <tableColumn id="5639" xr3:uid="{C2911662-2531-4C7D-A4E6-BB178323DE4C}" name="Column5624" dataCellStyle="Normal 2"/>
    <tableColumn id="5640" xr3:uid="{1F38F231-EE7A-4E4E-9F3B-AEFB298BE75C}" name="Column5625" dataCellStyle="Normal 2"/>
    <tableColumn id="5641" xr3:uid="{04A96FEE-9575-44D7-90B5-0394B8AEF06C}" name="Column5626" dataCellStyle="Normal 2"/>
    <tableColumn id="5642" xr3:uid="{134EBC1A-2E53-4B43-B8A0-ECC63CCC9E08}" name="Column5627" dataCellStyle="Normal 2"/>
    <tableColumn id="5643" xr3:uid="{383115CF-FF2F-40FF-96EC-25630D44CFDB}" name="Column5628" dataCellStyle="Normal 2"/>
    <tableColumn id="5644" xr3:uid="{D03616DD-2646-4415-9E3F-7E01DD20D663}" name="Column5629" dataCellStyle="Normal 2"/>
    <tableColumn id="5645" xr3:uid="{F72AE9C0-73CE-4F7E-9635-0E4B2FB45BF0}" name="Column5630" dataCellStyle="Normal 2"/>
    <tableColumn id="5646" xr3:uid="{BF3B41C0-56AD-41F2-98D1-A26FC738CF16}" name="Column5631" dataCellStyle="Normal 2"/>
    <tableColumn id="5647" xr3:uid="{1F8E63CE-F1F8-405A-A0AB-319CBB79B73B}" name="Column5632" dataCellStyle="Normal 2"/>
    <tableColumn id="5648" xr3:uid="{387F35FE-1D42-453C-B12E-4F869D5D1615}" name="Column5633" dataCellStyle="Normal 2"/>
    <tableColumn id="5649" xr3:uid="{D24B98E9-AEF6-4794-9E38-8397E9F03A21}" name="Column5634" dataCellStyle="Normal 2"/>
    <tableColumn id="5650" xr3:uid="{4D53F993-88A6-4C0C-AC37-A922740205C0}" name="Column5635" dataCellStyle="Normal 2"/>
    <tableColumn id="5651" xr3:uid="{2047CBC0-1CB4-45BF-ACE2-42E048BD1AE7}" name="Column5636" dataCellStyle="Normal 2"/>
    <tableColumn id="5652" xr3:uid="{E5D41B1C-6111-4BD6-BEB1-24A6502B16EC}" name="Column5637" dataCellStyle="Normal 2"/>
    <tableColumn id="5653" xr3:uid="{BBA7A07B-FFAF-463E-ACDE-03261460AEA3}" name="Column5638" dataCellStyle="Normal 2"/>
    <tableColumn id="5654" xr3:uid="{9897BDB1-C3A9-4A26-A4BA-EE43419AE794}" name="Column5639" dataCellStyle="Normal 2"/>
    <tableColumn id="5655" xr3:uid="{835353BD-D265-4100-981E-65F91E4DF2D2}" name="Column5640" dataCellStyle="Normal 2"/>
    <tableColumn id="5656" xr3:uid="{210A2760-54B9-45B8-A9BB-6AAD0E04B44A}" name="Column5641" dataCellStyle="Normal 2"/>
    <tableColumn id="5657" xr3:uid="{293791CF-9B54-40C4-BC0F-76F4B17D1638}" name="Column5642" dataCellStyle="Normal 2"/>
    <tableColumn id="5658" xr3:uid="{A8939276-D35B-4994-9584-D162CFD62DE3}" name="Column5643" dataCellStyle="Normal 2"/>
    <tableColumn id="5659" xr3:uid="{B140B107-6DFC-4DB8-BF24-63A96FA2F7E9}" name="Column5644" dataCellStyle="Normal 2"/>
    <tableColumn id="5660" xr3:uid="{5A6DD4B9-7264-48E1-A186-162F1425FE78}" name="Column5645" dataCellStyle="Normal 2"/>
    <tableColumn id="5661" xr3:uid="{69348F8D-80AA-439B-9603-47640880231F}" name="Column5646" dataCellStyle="Normal 2"/>
    <tableColumn id="5662" xr3:uid="{5868F46F-016D-4B76-A741-CAF040CE8EAA}" name="Column5647" dataCellStyle="Normal 2"/>
    <tableColumn id="5663" xr3:uid="{4E9D79F1-29AB-4B96-B238-23465B4790A6}" name="Column5648" dataCellStyle="Normal 2"/>
    <tableColumn id="5664" xr3:uid="{E755769C-7BAE-4E72-A2A2-ECEA4CFB3959}" name="Column5649" dataCellStyle="Normal 2"/>
    <tableColumn id="5665" xr3:uid="{47A99944-0EEC-4F5C-8BCA-F604557E8FC0}" name="Column5650" dataCellStyle="Normal 2"/>
    <tableColumn id="5666" xr3:uid="{C354ADFF-9920-43C1-B4F2-CD19140C9570}" name="Column5651" dataCellStyle="Normal 2"/>
    <tableColumn id="5667" xr3:uid="{0C88B240-D4E0-4794-8EB4-00E1D5D533EB}" name="Column5652" dataCellStyle="Normal 2"/>
    <tableColumn id="5668" xr3:uid="{3417E2F1-8BEC-4FA6-A991-337AA8D99F0F}" name="Column5653" dataCellStyle="Normal 2"/>
    <tableColumn id="5669" xr3:uid="{DAE09D73-D3D3-40E0-800D-FB7C7AF18909}" name="Column5654" dataCellStyle="Normal 2"/>
    <tableColumn id="5670" xr3:uid="{788E21D6-722F-4D8E-88CF-1CC7A8FC0D68}" name="Column5655" dataCellStyle="Normal 2"/>
    <tableColumn id="5671" xr3:uid="{C7AA5A2A-5A30-49DF-8F39-3733106AA9F0}" name="Column5656" dataCellStyle="Normal 2"/>
    <tableColumn id="5672" xr3:uid="{2880D9F6-C5BF-4B5E-BA6B-A50C9E1C902D}" name="Column5657" dataCellStyle="Normal 2"/>
    <tableColumn id="5673" xr3:uid="{D2F9F0AD-575C-4E48-96A1-2F65E6AE5D36}" name="Column5658" dataCellStyle="Normal 2"/>
    <tableColumn id="5674" xr3:uid="{B2136C40-FD45-4D9E-888B-BDCB045CBB2C}" name="Column5659" dataCellStyle="Normal 2"/>
    <tableColumn id="5675" xr3:uid="{DA253F23-D7E0-4E56-8C29-259BFC7810AE}" name="Column5660" dataCellStyle="Normal 2"/>
    <tableColumn id="5676" xr3:uid="{D46F330F-7FF5-48F9-B1A5-FEADCA697A58}" name="Column5661" dataCellStyle="Normal 2"/>
    <tableColumn id="5677" xr3:uid="{0C5D40CB-B5DF-4606-849E-E6FD4038E732}" name="Column5662" dataCellStyle="Normal 2"/>
    <tableColumn id="5678" xr3:uid="{E55C0277-D32D-4396-ACC7-8406D483FD26}" name="Column5663" dataCellStyle="Normal 2"/>
    <tableColumn id="5679" xr3:uid="{863AEC94-ECD7-4B0D-8C9C-9BD073F0BC0A}" name="Column5664" dataCellStyle="Normal 2"/>
    <tableColumn id="5680" xr3:uid="{F6E74680-A96F-45BD-BB8B-B1F80E0FDE1B}" name="Column5665" dataCellStyle="Normal 2"/>
    <tableColumn id="5681" xr3:uid="{F917591B-8A72-41CC-AE71-0AF0B215A194}" name="Column5666" dataCellStyle="Normal 2"/>
    <tableColumn id="5682" xr3:uid="{F6F6E7E1-2AA8-4A01-8845-89BF65C0B1DC}" name="Column5667" dataCellStyle="Normal 2"/>
    <tableColumn id="5683" xr3:uid="{6EADCD7D-1353-4C00-86BD-F3A806376F6A}" name="Column5668" dataCellStyle="Normal 2"/>
    <tableColumn id="5684" xr3:uid="{B1136CBB-C4F8-4AF9-910A-4D786BE21B9D}" name="Column5669" dataCellStyle="Normal 2"/>
    <tableColumn id="5685" xr3:uid="{E2A0BFC7-A53F-4461-949D-4C1FDAAE88D2}" name="Column5670" dataCellStyle="Normal 2"/>
    <tableColumn id="5686" xr3:uid="{E8DC63B0-9A81-4ECB-B6BD-BAC414F89592}" name="Column5671" dataCellStyle="Normal 2"/>
    <tableColumn id="5687" xr3:uid="{702D146E-AD12-4585-B115-34A764DF8B0B}" name="Column5672" dataCellStyle="Normal 2"/>
    <tableColumn id="5688" xr3:uid="{BC434261-A590-423B-A598-1C8946706CD3}" name="Column5673" dataCellStyle="Normal 2"/>
    <tableColumn id="5689" xr3:uid="{33794BD7-2ACC-4352-BC63-AD482FB6BC98}" name="Column5674" dataCellStyle="Normal 2"/>
    <tableColumn id="5690" xr3:uid="{55E2FEDF-CFAE-4EF7-AF72-EAAFD8985834}" name="Column5675" dataCellStyle="Normal 2"/>
    <tableColumn id="5691" xr3:uid="{C6E78B02-AFDF-459F-B3EF-8C9C46A4C4CF}" name="Column5676" dataCellStyle="Normal 2"/>
    <tableColumn id="5692" xr3:uid="{B3AE1D5B-79FA-4E48-9397-0AB62AEB0740}" name="Column5677" dataCellStyle="Normal 2"/>
    <tableColumn id="5693" xr3:uid="{79EB733C-C3D5-4F02-B9E1-E7CA8505A037}" name="Column5678" dataCellStyle="Normal 2"/>
    <tableColumn id="5694" xr3:uid="{8F1C18B7-69FC-4F57-B9E8-FFFACFCB92F6}" name="Column5679" dataCellStyle="Normal 2"/>
    <tableColumn id="5695" xr3:uid="{768680FE-D591-4CEC-8D78-59456DDD3F3B}" name="Column5680" dataCellStyle="Normal 2"/>
    <tableColumn id="5696" xr3:uid="{8ED91A74-C4BC-4E9E-B23D-CC977D8AF8D0}" name="Column5681" dataCellStyle="Normal 2"/>
    <tableColumn id="5697" xr3:uid="{C48C0D4E-396C-44BC-A7C7-298B6E9D128F}" name="Column5682" dataCellStyle="Normal 2"/>
    <tableColumn id="5698" xr3:uid="{75800CBA-A5DE-4A78-A4E1-629347632025}" name="Column5683" dataCellStyle="Normal 2"/>
    <tableColumn id="5699" xr3:uid="{DAACE14C-8208-4C1D-8807-807BED63F0E7}" name="Column5684" dataCellStyle="Normal 2"/>
    <tableColumn id="5700" xr3:uid="{CF316468-B289-4E32-9B47-C1F2705727BA}" name="Column5685" dataCellStyle="Normal 2"/>
    <tableColumn id="5701" xr3:uid="{3AECAA56-C139-4F28-87C7-CE24323462D3}" name="Column5686" dataCellStyle="Normal 2"/>
    <tableColumn id="5702" xr3:uid="{3D2C87E1-844E-4B9C-9E19-E15DF242A0CF}" name="Column5687" dataCellStyle="Normal 2"/>
    <tableColumn id="5703" xr3:uid="{1449E425-E448-4DC2-BD29-1610852ADA4B}" name="Column5688" dataCellStyle="Normal 2"/>
    <tableColumn id="5704" xr3:uid="{87B38682-95F2-4016-9321-4649D949AB9E}" name="Column5689" dataCellStyle="Normal 2"/>
    <tableColumn id="5705" xr3:uid="{EE250DE2-5AA8-44D5-A097-59F97242EBD7}" name="Column5690" dataCellStyle="Normal 2"/>
    <tableColumn id="5706" xr3:uid="{E695AB21-D094-41FA-A923-FD358F3A2C26}" name="Column5691" dataCellStyle="Normal 2"/>
    <tableColumn id="5707" xr3:uid="{CC1E0F5B-A151-4E09-A6AB-85864E5756F8}" name="Column5692" dataCellStyle="Normal 2"/>
    <tableColumn id="5708" xr3:uid="{75C0A662-F7FB-4892-80E2-3394E1974094}" name="Column5693" dataCellStyle="Normal 2"/>
    <tableColumn id="5709" xr3:uid="{5CFEA8D4-B2F8-46B8-8032-9267D8DC632B}" name="Column5694" dataCellStyle="Normal 2"/>
    <tableColumn id="5710" xr3:uid="{676E164E-3CD8-4F6F-9FB2-95F0759187A6}" name="Column5695" dataCellStyle="Normal 2"/>
    <tableColumn id="5711" xr3:uid="{63340925-074F-4ABA-8F3F-5BF9F393B754}" name="Column5696" dataCellStyle="Normal 2"/>
    <tableColumn id="5712" xr3:uid="{04FE8474-E891-43F4-89FB-867C84E91CA7}" name="Column5697" dataCellStyle="Normal 2"/>
    <tableColumn id="5713" xr3:uid="{3A8FE7AF-87FF-4524-A1E0-0530BEA701F8}" name="Column5698" dataCellStyle="Normal 2"/>
    <tableColumn id="5714" xr3:uid="{98A62672-12A7-466A-ADC3-5100ECD16B46}" name="Column5699" dataCellStyle="Normal 2"/>
    <tableColumn id="5715" xr3:uid="{CCFC0B41-D0FB-4B73-A153-1C6CD1190925}" name="Column5700" dataCellStyle="Normal 2"/>
    <tableColumn id="5716" xr3:uid="{5FE09D1A-0D1E-4589-A56F-D7B972DDBB27}" name="Column5701" dataCellStyle="Normal 2"/>
    <tableColumn id="5717" xr3:uid="{A90A58E1-07B3-4E65-9AA7-A2E60742D429}" name="Column5702" dataCellStyle="Normal 2"/>
    <tableColumn id="5718" xr3:uid="{42BDF3EB-7372-45D5-98EC-FF72699DA9CE}" name="Column5703" dataCellStyle="Normal 2"/>
    <tableColumn id="5719" xr3:uid="{F526F781-3342-4B06-9DC6-749F665BAB60}" name="Column5704" dataCellStyle="Normal 2"/>
    <tableColumn id="5720" xr3:uid="{3860FADC-15D3-47BF-9C57-26027614D12B}" name="Column5705" dataCellStyle="Normal 2"/>
    <tableColumn id="5721" xr3:uid="{26504C2F-4084-423C-B75D-8AC6CD153468}" name="Column5706" dataCellStyle="Normal 2"/>
    <tableColumn id="5722" xr3:uid="{2EB2D3CB-552C-4AB1-8456-5C5FEA0250BF}" name="Column5707" dataCellStyle="Normal 2"/>
    <tableColumn id="5723" xr3:uid="{2AF29747-6F92-4799-9D21-54ED8CC7846C}" name="Column5708" dataCellStyle="Normal 2"/>
    <tableColumn id="5724" xr3:uid="{21F657B3-0C5D-4F8A-B7B1-E20344AB0215}" name="Column5709" dataCellStyle="Normal 2"/>
    <tableColumn id="5725" xr3:uid="{F667C5B7-64DC-4F77-9189-B85870361625}" name="Column5710" dataCellStyle="Normal 2"/>
    <tableColumn id="5726" xr3:uid="{56BF31F6-85AB-451D-B3BE-F6CF7D35BEC5}" name="Column5711" dataCellStyle="Normal 2"/>
    <tableColumn id="5727" xr3:uid="{AA227789-AC1A-4F3E-BA11-1F33370531AE}" name="Column5712" dataCellStyle="Normal 2"/>
    <tableColumn id="5728" xr3:uid="{9FFCF29D-7B94-4C12-B596-43EAD0C46E53}" name="Column5713" dataCellStyle="Normal 2"/>
    <tableColumn id="5729" xr3:uid="{14382861-C104-478F-B954-AD659770C2E6}" name="Column5714" dataCellStyle="Normal 2"/>
    <tableColumn id="5730" xr3:uid="{1526E084-F750-45DD-9120-DA521C8316A7}" name="Column5715" dataCellStyle="Normal 2"/>
    <tableColumn id="5731" xr3:uid="{E74B5A2E-8045-433C-9B98-C5A36CA0C3FF}" name="Column5716" dataCellStyle="Normal 2"/>
    <tableColumn id="5732" xr3:uid="{75BEB860-8227-48BE-BC19-8D7C169860A3}" name="Column5717" dataCellStyle="Normal 2"/>
    <tableColumn id="5733" xr3:uid="{33131211-C1D9-46FC-878C-257C067B7505}" name="Column5718" dataCellStyle="Normal 2"/>
    <tableColumn id="5734" xr3:uid="{3F401EC4-5AC8-43CA-8628-1D3E256DC4C6}" name="Column5719" dataCellStyle="Normal 2"/>
    <tableColumn id="5735" xr3:uid="{B34D7FCD-0517-4CF3-A6A4-26BC36311F06}" name="Column5720" dataCellStyle="Normal 2"/>
    <tableColumn id="5736" xr3:uid="{44818FED-C894-463C-A747-4F334185E599}" name="Column5721" dataCellStyle="Normal 2"/>
    <tableColumn id="5737" xr3:uid="{EE27F7FF-0913-48B1-B7B7-2747B82A57E5}" name="Column5722" dataCellStyle="Normal 2"/>
    <tableColumn id="5738" xr3:uid="{508C6D4C-01F9-41B7-B30E-49C736345314}" name="Column5723" dataCellStyle="Normal 2"/>
    <tableColumn id="5739" xr3:uid="{2AA8AF51-36C7-45F7-BC48-648F383CD301}" name="Column5724" dataCellStyle="Normal 2"/>
    <tableColumn id="5740" xr3:uid="{D0562723-352E-45D3-A9D2-E7D6B7621F7C}" name="Column5725" dataCellStyle="Normal 2"/>
    <tableColumn id="5741" xr3:uid="{02CE3416-2A74-46D3-B6BD-C0A6BBAA3FC6}" name="Column5726" dataCellStyle="Normal 2"/>
    <tableColumn id="5742" xr3:uid="{21E4D690-5AC0-4ECD-80D6-F44ED69F022A}" name="Column5727" dataCellStyle="Normal 2"/>
    <tableColumn id="5743" xr3:uid="{A37535E6-553A-4BD7-B342-614785291A61}" name="Column5728" dataCellStyle="Normal 2"/>
    <tableColumn id="5744" xr3:uid="{16727489-8442-4B89-8B10-EEA435794DD0}" name="Column5729" dataCellStyle="Normal 2"/>
    <tableColumn id="5745" xr3:uid="{30F5829A-7958-438A-BEB1-D78CBB0E9654}" name="Column5730" dataCellStyle="Normal 2"/>
    <tableColumn id="5746" xr3:uid="{D71C157A-450E-4369-97A7-31B1DD291FD7}" name="Column5731" dataCellStyle="Normal 2"/>
    <tableColumn id="5747" xr3:uid="{D5588C70-BA97-4D56-AE06-5737EF654098}" name="Column5732" dataCellStyle="Normal 2"/>
    <tableColumn id="5748" xr3:uid="{B04444EE-62EE-4C58-AEAE-4F3A8989EE58}" name="Column5733" dataCellStyle="Normal 2"/>
    <tableColumn id="5749" xr3:uid="{5C8BF36A-7041-4B2F-80B7-75C62BCF779D}" name="Column5734" dataCellStyle="Normal 2"/>
    <tableColumn id="5750" xr3:uid="{D43B103E-929F-431B-AA4B-965761A009F3}" name="Column5735" dataCellStyle="Normal 2"/>
    <tableColumn id="5751" xr3:uid="{C876A8BB-A680-4130-91A3-BD19AFE1F20A}" name="Column5736" dataCellStyle="Normal 2"/>
    <tableColumn id="5752" xr3:uid="{85B7E941-E5AB-4980-A81B-A28AAB26A2A3}" name="Column5737" dataCellStyle="Normal 2"/>
    <tableColumn id="5753" xr3:uid="{9D3063E8-8925-4B08-ABCD-B35CA6C9F546}" name="Column5738" dataCellStyle="Normal 2"/>
    <tableColumn id="5754" xr3:uid="{2C022B9D-4ADD-4570-8CBA-D72236AF6471}" name="Column5739" dataCellStyle="Normal 2"/>
    <tableColumn id="5755" xr3:uid="{0904ED9A-2064-4AC7-9F30-402A911F3A20}" name="Column5740" dataCellStyle="Normal 2"/>
    <tableColumn id="5756" xr3:uid="{611DE079-9F02-4F59-976A-022291385A96}" name="Column5741" dataCellStyle="Normal 2"/>
    <tableColumn id="5757" xr3:uid="{95E38981-EC91-4771-BE80-AC444F876535}" name="Column5742" dataCellStyle="Normal 2"/>
    <tableColumn id="5758" xr3:uid="{045EA3A2-5B76-476B-94E9-261242875B84}" name="Column5743" dataCellStyle="Normal 2"/>
    <tableColumn id="5759" xr3:uid="{061B5A15-EDDB-40C3-8A6A-206AED747BEF}" name="Column5744" dataCellStyle="Normal 2"/>
    <tableColumn id="5760" xr3:uid="{9CFA7D58-2602-4B63-8D92-EBA5C53FB7A5}" name="Column5745" dataCellStyle="Normal 2"/>
    <tableColumn id="5761" xr3:uid="{2C0F0360-061E-4C0C-AF8C-021466D96F9B}" name="Column5746" dataCellStyle="Normal 2"/>
    <tableColumn id="5762" xr3:uid="{969CD804-4AEC-4919-9C79-D20ACC2267AA}" name="Column5747" dataCellStyle="Normal 2"/>
    <tableColumn id="5763" xr3:uid="{687148CA-8390-411D-965D-4F99FFBB3FE1}" name="Column5748" dataCellStyle="Normal 2"/>
    <tableColumn id="5764" xr3:uid="{9187DEEF-F30B-4C44-BC1E-189644B471EE}" name="Column5749" dataCellStyle="Normal 2"/>
    <tableColumn id="5765" xr3:uid="{F4394AFA-0A5E-4CDD-AE6D-886645ABD17E}" name="Column5750" dataCellStyle="Normal 2"/>
    <tableColumn id="5766" xr3:uid="{E80E21E0-13C7-4E5B-9F02-75527F6C2E03}" name="Column5751" dataCellStyle="Normal 2"/>
    <tableColumn id="5767" xr3:uid="{9E857104-39B0-44A2-8A21-AEB4500E8B5B}" name="Column5752" dataCellStyle="Normal 2"/>
    <tableColumn id="5768" xr3:uid="{234FA49E-4B8F-45A0-8ACA-A7A91973941C}" name="Column5753" dataCellStyle="Normal 2"/>
    <tableColumn id="5769" xr3:uid="{044B5801-203A-446D-A2D5-DB85C3953A4C}" name="Column5754" dataCellStyle="Normal 2"/>
    <tableColumn id="5770" xr3:uid="{926484BD-E26B-4878-B337-A49CD76D5FC1}" name="Column5755" dataCellStyle="Normal 2"/>
    <tableColumn id="5771" xr3:uid="{4E0664D4-4CB7-41DD-A2E1-559FC39802AC}" name="Column5756" dataCellStyle="Normal 2"/>
    <tableColumn id="5772" xr3:uid="{1D4C57CA-2BEE-480F-A201-00CBFCB5E79C}" name="Column5757" dataCellStyle="Normal 2"/>
    <tableColumn id="5773" xr3:uid="{6CA06E60-05A9-4F91-94DC-3E2358D27F80}" name="Column5758" dataCellStyle="Normal 2"/>
    <tableColumn id="5774" xr3:uid="{90AC64C5-1B27-47B1-9D21-EEA8C02561E9}" name="Column5759" dataCellStyle="Normal 2"/>
    <tableColumn id="5775" xr3:uid="{0C54CC67-184F-45FE-8090-ED38F2A5E069}" name="Column5760" dataCellStyle="Normal 2"/>
    <tableColumn id="5776" xr3:uid="{E6D2A348-BEC0-431E-9D99-0873847F010F}" name="Column5761" dataCellStyle="Normal 2"/>
    <tableColumn id="5777" xr3:uid="{6A492B90-C18E-4C19-9F64-E48A64FEF354}" name="Column5762" dataCellStyle="Normal 2"/>
    <tableColumn id="5778" xr3:uid="{B6E44D38-1192-4949-B5B4-143D7879F75D}" name="Column5763" dataCellStyle="Normal 2"/>
    <tableColumn id="5779" xr3:uid="{67A07A52-A578-4F64-8A7F-D921D25FB1FF}" name="Column5764" dataCellStyle="Normal 2"/>
    <tableColumn id="5780" xr3:uid="{2C54F113-9875-4E8A-8A27-1A2C27EA77F3}" name="Column5765" dataCellStyle="Normal 2"/>
    <tableColumn id="5781" xr3:uid="{1B2B826F-98D8-4B51-9753-BE3727DC1735}" name="Column5766" dataCellStyle="Normal 2"/>
    <tableColumn id="5782" xr3:uid="{B26AF5D0-50AA-4B44-AB79-E42A0056B54F}" name="Column5767" dataCellStyle="Normal 2"/>
    <tableColumn id="5783" xr3:uid="{40D2ABC5-5ED7-4508-B5EB-588723CD3305}" name="Column5768" dataCellStyle="Normal 2"/>
    <tableColumn id="5784" xr3:uid="{4ABBF067-E044-4774-8C5E-B9533269DAB7}" name="Column5769" dataCellStyle="Normal 2"/>
    <tableColumn id="5785" xr3:uid="{13DE63E1-B4B9-4DB4-92B9-F85431172A79}" name="Column5770" dataCellStyle="Normal 2"/>
    <tableColumn id="5786" xr3:uid="{16AD3EF1-7316-49FC-83B4-DEAED68DCCC3}" name="Column5771" dataCellStyle="Normal 2"/>
    <tableColumn id="5787" xr3:uid="{2838D8E4-8A0B-45AD-AF30-40CED8289552}" name="Column5772" dataCellStyle="Normal 2"/>
    <tableColumn id="5788" xr3:uid="{C251F985-02FC-4F10-8F2C-AE0F580A3237}" name="Column5773" dataCellStyle="Normal 2"/>
    <tableColumn id="5789" xr3:uid="{9327A66B-18FF-42BE-892F-0C9A4D0D91FD}" name="Column5774" dataCellStyle="Normal 2"/>
    <tableColumn id="5790" xr3:uid="{C63615B6-8101-4F36-BCA5-E3409BD4C999}" name="Column5775" dataCellStyle="Normal 2"/>
    <tableColumn id="5791" xr3:uid="{6E3EB0C6-8D9F-4D4C-AAE5-D5C2696363CB}" name="Column5776" dataCellStyle="Normal 2"/>
    <tableColumn id="5792" xr3:uid="{0304026C-24AC-4E45-BEE9-9B71BACF871C}" name="Column5777" dataCellStyle="Normal 2"/>
    <tableColumn id="5793" xr3:uid="{0231CF7C-F7DC-4B44-90DE-DC192FEDB6F3}" name="Column5778" dataCellStyle="Normal 2"/>
    <tableColumn id="5794" xr3:uid="{6B57A649-B224-4F0A-9401-6B6A26600D6A}" name="Column5779" dataCellStyle="Normal 2"/>
    <tableColumn id="5795" xr3:uid="{C2CB9FCF-94B5-4422-B60B-EF6C52680FC1}" name="Column5780" dataCellStyle="Normal 2"/>
    <tableColumn id="5796" xr3:uid="{08694713-4FB4-4F42-8827-A3E802ECF6B5}" name="Column5781" dataCellStyle="Normal 2"/>
    <tableColumn id="5797" xr3:uid="{C15B33CA-FD74-4529-9492-A857A090FF04}" name="Column5782" dataCellStyle="Normal 2"/>
    <tableColumn id="5798" xr3:uid="{1D381B87-A449-45A9-8F44-78BE121868AA}" name="Column5783" dataCellStyle="Normal 2"/>
    <tableColumn id="5799" xr3:uid="{3119C61A-4093-48A7-A30D-C9DD6D9FE70C}" name="Column5784" dataCellStyle="Normal 2"/>
    <tableColumn id="5800" xr3:uid="{73D07DB9-C914-4A1A-99A9-8B3948D29503}" name="Column5785" dataCellStyle="Normal 2"/>
    <tableColumn id="5801" xr3:uid="{4023C6C6-D7F3-4874-B834-A2A52F083314}" name="Column5786" dataCellStyle="Normal 2"/>
    <tableColumn id="5802" xr3:uid="{FE7ABEBD-85AD-454A-868F-0B9BFC6448D7}" name="Column5787" dataCellStyle="Normal 2"/>
    <tableColumn id="5803" xr3:uid="{66539E98-B73D-4597-A28A-FF5DD84D7FDB}" name="Column5788" dataCellStyle="Normal 2"/>
    <tableColumn id="5804" xr3:uid="{491BF130-1AF6-462D-B6E0-5F8A17A41DC0}" name="Column5789" dataCellStyle="Normal 2"/>
    <tableColumn id="5805" xr3:uid="{5E937B48-6BE7-4192-99AC-B44A89EF9A51}" name="Column5790" dataCellStyle="Normal 2"/>
    <tableColumn id="5806" xr3:uid="{91F24437-8F76-40C9-ABD9-875835222C83}" name="Column5791" dataCellStyle="Normal 2"/>
    <tableColumn id="5807" xr3:uid="{78800ADE-3D28-464A-8CEC-0677A21B1DF3}" name="Column5792" dataCellStyle="Normal 2"/>
    <tableColumn id="5808" xr3:uid="{E7C4567F-96EF-4B1E-B241-0C4625D94612}" name="Column5793" dataCellStyle="Normal 2"/>
    <tableColumn id="5809" xr3:uid="{FD2B9092-8D17-4FB8-9CB3-7982948CA9CF}" name="Column5794" dataCellStyle="Normal 2"/>
    <tableColumn id="5810" xr3:uid="{DD902D3A-F848-4D98-9C83-D518428F748D}" name="Column5795" dataCellStyle="Normal 2"/>
    <tableColumn id="5811" xr3:uid="{9B97B7F4-2927-4349-A933-AADE86CAE77E}" name="Column5796" dataCellStyle="Normal 2"/>
    <tableColumn id="5812" xr3:uid="{33258741-2288-4977-AA58-14006E0F0398}" name="Column5797" dataCellStyle="Normal 2"/>
    <tableColumn id="5813" xr3:uid="{7E7DC0A4-AC30-4346-A0C8-B9EAB056E6DC}" name="Column5798" dataCellStyle="Normal 2"/>
    <tableColumn id="5814" xr3:uid="{403FA96B-9B31-4358-8220-02C96AA5D397}" name="Column5799" dataCellStyle="Normal 2"/>
    <tableColumn id="5815" xr3:uid="{85FCB8FA-0621-4FB2-940D-221F4141A271}" name="Column5800" dataCellStyle="Normal 2"/>
    <tableColumn id="5816" xr3:uid="{0AFF3E7C-300F-4F5A-9483-D283C41E52C1}" name="Column5801" dataCellStyle="Normal 2"/>
    <tableColumn id="5817" xr3:uid="{16884D89-8BC6-47F0-81B0-F483D5C6FED4}" name="Column5802" dataCellStyle="Normal 2"/>
    <tableColumn id="5818" xr3:uid="{91F8424F-AFBB-44AF-9AA8-34F89C8DFA7F}" name="Column5803" dataCellStyle="Normal 2"/>
    <tableColumn id="5819" xr3:uid="{CB8F4583-776D-4C5F-8DEA-923D94EA611B}" name="Column5804" dataCellStyle="Normal 2"/>
    <tableColumn id="5820" xr3:uid="{EB3365F0-39EE-493B-B4D5-420C5BEFCE78}" name="Column5805" dataCellStyle="Normal 2"/>
    <tableColumn id="5821" xr3:uid="{8CF97AF8-BA62-494D-B773-1BBEBDE0FB62}" name="Column5806" dataCellStyle="Normal 2"/>
    <tableColumn id="5822" xr3:uid="{6477FD0F-5D40-4638-AADA-40ECB4E1C81E}" name="Column5807" dataCellStyle="Normal 2"/>
    <tableColumn id="5823" xr3:uid="{7D76908A-FD30-4BF0-880B-36A190ACA2D0}" name="Column5808" dataCellStyle="Normal 2"/>
    <tableColumn id="5824" xr3:uid="{55A2A661-9090-4E2B-97A7-F75637951BD8}" name="Column5809" dataCellStyle="Normal 2"/>
    <tableColumn id="5825" xr3:uid="{0DC848C1-7C77-48D5-BFAB-7B4A71282CD3}" name="Column5810" dataCellStyle="Normal 2"/>
    <tableColumn id="5826" xr3:uid="{91E138CD-2358-4835-A6BB-CD2E2DD8D0D7}" name="Column5811" dataCellStyle="Normal 2"/>
    <tableColumn id="5827" xr3:uid="{97EA8719-33D8-4185-9066-380FEE02533F}" name="Column5812" dataCellStyle="Normal 2"/>
    <tableColumn id="5828" xr3:uid="{34B7476F-42D9-432B-94FA-2F9CF69F02AD}" name="Column5813" dataCellStyle="Normal 2"/>
    <tableColumn id="5829" xr3:uid="{22A43E83-64C4-48E9-AAF3-E5F8DE6AB41F}" name="Column5814" dataCellStyle="Normal 2"/>
    <tableColumn id="5830" xr3:uid="{DC92BAC4-8103-422E-AC93-170E1328C5A2}" name="Column5815" dataCellStyle="Normal 2"/>
    <tableColumn id="5831" xr3:uid="{3D4017CD-3995-4F70-B5D5-BF792D888A05}" name="Column5816" dataCellStyle="Normal 2"/>
    <tableColumn id="5832" xr3:uid="{DBF92025-FE10-45C2-B76B-52ABD5FAEDFF}" name="Column5817" dataCellStyle="Normal 2"/>
    <tableColumn id="5833" xr3:uid="{E1826ED8-994B-4370-A48C-4AD5A31F19A7}" name="Column5818" dataCellStyle="Normal 2"/>
    <tableColumn id="5834" xr3:uid="{A0D53035-8FFE-4B25-A700-C23213C9FDC3}" name="Column5819" dataCellStyle="Normal 2"/>
    <tableColumn id="5835" xr3:uid="{35B8A495-3327-4F60-A91B-24416AE0AC99}" name="Column5820" dataCellStyle="Normal 2"/>
    <tableColumn id="5836" xr3:uid="{5FEEB44E-F7E6-44C7-B245-A278FA379AB1}" name="Column5821" dataCellStyle="Normal 2"/>
    <tableColumn id="5837" xr3:uid="{DA5E4E77-EA4F-4150-BC97-5EA245EBAB9A}" name="Column5822" dataCellStyle="Normal 2"/>
    <tableColumn id="5838" xr3:uid="{A93397EA-D27B-4C0A-B6A8-E0117587253A}" name="Column5823" dataCellStyle="Normal 2"/>
    <tableColumn id="5839" xr3:uid="{C9BC0195-7DB5-4CD4-BC59-A2EA76EDDCC6}" name="Column5824" dataCellStyle="Normal 2"/>
    <tableColumn id="5840" xr3:uid="{C9C16FA4-EF99-4B9E-AAC0-67759E1D32AC}" name="Column5825" dataCellStyle="Normal 2"/>
    <tableColumn id="5841" xr3:uid="{B70523FF-247B-4523-AA40-7DA7F08321CF}" name="Column5826" dataCellStyle="Normal 2"/>
    <tableColumn id="5842" xr3:uid="{F070474E-EE46-4E44-B0FD-90D807BC9476}" name="Column5827" dataCellStyle="Normal 2"/>
    <tableColumn id="5843" xr3:uid="{B520CC50-160E-4444-972D-754F4516D2A3}" name="Column5828" dataCellStyle="Normal 2"/>
    <tableColumn id="5844" xr3:uid="{286812E0-D7BA-4A2B-8D62-50051E7FE710}" name="Column5829" dataCellStyle="Normal 2"/>
    <tableColumn id="5845" xr3:uid="{0ACA0F9D-1F56-4A1E-A160-1893CDBB02E6}" name="Column5830" dataCellStyle="Normal 2"/>
    <tableColumn id="5846" xr3:uid="{78E65863-F0E6-474C-9132-7DF7FA5B66A0}" name="Column5831" dataCellStyle="Normal 2"/>
    <tableColumn id="5847" xr3:uid="{1AC2DDB6-51E0-461F-9B89-69E9C4B3DDC3}" name="Column5832" dataCellStyle="Normal 2"/>
    <tableColumn id="5848" xr3:uid="{5706B116-6723-4485-913E-11AFB1AF848E}" name="Column5833" dataCellStyle="Normal 2"/>
    <tableColumn id="5849" xr3:uid="{0259CF03-8D1A-47C0-84B0-5A50EDD09F99}" name="Column5834" dataCellStyle="Normal 2"/>
    <tableColumn id="5850" xr3:uid="{6E9279CF-226B-45EE-A3A7-6218BE49638C}" name="Column5835" dataCellStyle="Normal 2"/>
    <tableColumn id="5851" xr3:uid="{67F1572E-E8B7-4930-899C-00B8CB066820}" name="Column5836" dataCellStyle="Normal 2"/>
    <tableColumn id="5852" xr3:uid="{801C1A11-39CF-4BB3-9052-44C39B0E148F}" name="Column5837" dataCellStyle="Normal 2"/>
    <tableColumn id="5853" xr3:uid="{67A1B2EF-3B9E-4CDD-A1FD-42910EC0824E}" name="Column5838" dataCellStyle="Normal 2"/>
    <tableColumn id="5854" xr3:uid="{47D7E126-62DD-4985-8E4E-8A70AE8EEF4D}" name="Column5839" dataCellStyle="Normal 2"/>
    <tableColumn id="5855" xr3:uid="{DFF80190-015D-4761-847A-5B2452E90E1C}" name="Column5840" dataCellStyle="Normal 2"/>
    <tableColumn id="5856" xr3:uid="{AFAF4DB9-F5DF-4137-B6B5-470D046E1762}" name="Column5841" dataCellStyle="Normal 2"/>
    <tableColumn id="5857" xr3:uid="{314F4C81-EB1F-4B31-AFA6-2AF19A2F1382}" name="Column5842" dataCellStyle="Normal 2"/>
    <tableColumn id="5858" xr3:uid="{E5A75534-323F-4F8A-BD01-9D814F4B5A7D}" name="Column5843" dataCellStyle="Normal 2"/>
    <tableColumn id="5859" xr3:uid="{E8723FA7-43D8-40E3-82BA-EFFCE2CBFA3E}" name="Column5844" dataCellStyle="Normal 2"/>
    <tableColumn id="5860" xr3:uid="{CC97110A-2EF5-494F-A589-29EB190EDD3C}" name="Column5845" dataCellStyle="Normal 2"/>
    <tableColumn id="5861" xr3:uid="{72844D43-9300-4DCD-AECB-AB5466DEBBB4}" name="Column5846" dataCellStyle="Normal 2"/>
    <tableColumn id="5862" xr3:uid="{D56C65F3-88A0-492C-BAC9-08777E1A833B}" name="Column5847" dataCellStyle="Normal 2"/>
    <tableColumn id="5863" xr3:uid="{AC2F4A40-402D-4BCB-B156-0FB9725C0F6A}" name="Column5848" dataCellStyle="Normal 2"/>
    <tableColumn id="5864" xr3:uid="{768F23F6-298E-4C65-826D-B4EA9339A8FD}" name="Column5849" dataCellStyle="Normal 2"/>
    <tableColumn id="5865" xr3:uid="{C47ADFA6-BDB6-4E24-9305-419DEBB9839D}" name="Column5850" dataCellStyle="Normal 2"/>
    <tableColumn id="5866" xr3:uid="{4124448F-7E04-4F3E-BF71-C303743BB3A5}" name="Column5851" dataCellStyle="Normal 2"/>
    <tableColumn id="5867" xr3:uid="{44BFE830-3D5A-4608-9316-8E1DD43B7710}" name="Column5852" dataCellStyle="Normal 2"/>
    <tableColumn id="5868" xr3:uid="{BD55B656-F657-4717-B8F8-33CF450D9AAF}" name="Column5853" dataCellStyle="Normal 2"/>
    <tableColumn id="5869" xr3:uid="{E938DFE7-7A36-4955-8D4E-370AFEF726E5}" name="Column5854" dataCellStyle="Normal 2"/>
    <tableColumn id="5870" xr3:uid="{A43B04A3-C064-4A58-9B6A-89AD4E83C3B3}" name="Column5855" dataCellStyle="Normal 2"/>
    <tableColumn id="5871" xr3:uid="{8C56FB17-4947-4D49-B9EF-55D23894A87A}" name="Column5856" dataCellStyle="Normal 2"/>
    <tableColumn id="5872" xr3:uid="{26781028-1DFD-462E-8D8B-93315B04FC9D}" name="Column5857" dataCellStyle="Normal 2"/>
    <tableColumn id="5873" xr3:uid="{6676100D-51D5-4C32-A834-E8421E994EBD}" name="Column5858" dataCellStyle="Normal 2"/>
    <tableColumn id="5874" xr3:uid="{AD13B971-A938-49DA-8AFE-16A883B95B09}" name="Column5859" dataCellStyle="Normal 2"/>
    <tableColumn id="5875" xr3:uid="{B07B4EF0-9CC1-4175-AF30-FEFB890EC570}" name="Column5860" dataCellStyle="Normal 2"/>
    <tableColumn id="5876" xr3:uid="{15F90E67-0F4F-42B2-A91D-84171AA7C071}" name="Column5861" dataCellStyle="Normal 2"/>
    <tableColumn id="5877" xr3:uid="{1626266D-607E-4106-B71F-D2DA8C20C0E7}" name="Column5862" dataCellStyle="Normal 2"/>
    <tableColumn id="5878" xr3:uid="{E689D787-3AA4-44B8-B423-EA64871240D0}" name="Column5863" dataCellStyle="Normal 2"/>
    <tableColumn id="5879" xr3:uid="{61D3ADFD-C04E-4189-BBDD-D81E6FCD58C9}" name="Column5864" dataCellStyle="Normal 2"/>
    <tableColumn id="5880" xr3:uid="{001AF84A-12CC-4F66-A400-0DE49BC76A5F}" name="Column5865" dataCellStyle="Normal 2"/>
    <tableColumn id="5881" xr3:uid="{91D5EB2D-0F67-4ADB-AB66-5D8714DC4B18}" name="Column5866" dataCellStyle="Normal 2"/>
    <tableColumn id="5882" xr3:uid="{3925552F-1593-4FC2-A529-5E69B0BD1279}" name="Column5867" dataCellStyle="Normal 2"/>
    <tableColumn id="5883" xr3:uid="{D419E1CD-26D0-49C4-B382-61984EB7DC94}" name="Column5868" dataCellStyle="Normal 2"/>
    <tableColumn id="5884" xr3:uid="{322A8723-DC4B-4A2F-AD7B-88C339177377}" name="Column5869" dataCellStyle="Normal 2"/>
    <tableColumn id="5885" xr3:uid="{26AE65F6-6FD6-440F-A7FD-678D6093F2E7}" name="Column5870" dataCellStyle="Normal 2"/>
    <tableColumn id="5886" xr3:uid="{878F86B5-19DD-4594-9DD2-13F5E32556B2}" name="Column5871" dataCellStyle="Normal 2"/>
    <tableColumn id="5887" xr3:uid="{DAEC0972-47DB-4207-9C47-B4876AB05F13}" name="Column5872" dataCellStyle="Normal 2"/>
    <tableColumn id="5888" xr3:uid="{7B52C269-A85D-4618-ABDD-833498598ED4}" name="Column5873" dataCellStyle="Normal 2"/>
    <tableColumn id="5889" xr3:uid="{2E13FF4E-00EC-4B71-B249-67C41B461F94}" name="Column5874" dataCellStyle="Normal 2"/>
    <tableColumn id="5890" xr3:uid="{B50F9CB8-9F07-44F9-801D-50E1F72D904C}" name="Column5875" dataCellStyle="Normal 2"/>
    <tableColumn id="5891" xr3:uid="{C61C63CC-9AC2-40DB-9BB6-DDF1A0069D87}" name="Column5876" dataCellStyle="Normal 2"/>
    <tableColumn id="5892" xr3:uid="{67E15765-7C93-45CD-B093-C46CB18B6786}" name="Column5877" dataCellStyle="Normal 2"/>
    <tableColumn id="5893" xr3:uid="{706D50FE-789B-4E6F-9705-99CF547455A3}" name="Column5878" dataCellStyle="Normal 2"/>
    <tableColumn id="5894" xr3:uid="{8A7E46B0-42F0-4DFD-B555-D530D26319BE}" name="Column5879" dataCellStyle="Normal 2"/>
    <tableColumn id="5895" xr3:uid="{3FB932F5-4C1D-48EF-A543-E4F8684B44A4}" name="Column5880" dataCellStyle="Normal 2"/>
    <tableColumn id="5896" xr3:uid="{A34AEEB5-3B14-40A3-9CF1-CF7477F3DD20}" name="Column5881" dataCellStyle="Normal 2"/>
    <tableColumn id="5897" xr3:uid="{88103446-CF9E-43C7-AEB7-BAB68A134B81}" name="Column5882" dataCellStyle="Normal 2"/>
    <tableColumn id="5898" xr3:uid="{7D866DCC-07D2-480C-8FD4-8861741D33EE}" name="Column5883" dataCellStyle="Normal 2"/>
    <tableColumn id="5899" xr3:uid="{422E0561-B8C4-4747-BB1E-F7862C62BA2E}" name="Column5884" dataCellStyle="Normal 2"/>
    <tableColumn id="5900" xr3:uid="{4D0249B6-27EC-44DB-9F86-6D3BDA1E8C51}" name="Column5885" dataCellStyle="Normal 2"/>
    <tableColumn id="5901" xr3:uid="{FDC4FF74-2F9F-42B2-833E-185F671585A2}" name="Column5886" dataCellStyle="Normal 2"/>
    <tableColumn id="5902" xr3:uid="{0E4FB3C5-7A40-4E85-8B45-B2BF3D87C487}" name="Column5887" dataCellStyle="Normal 2"/>
    <tableColumn id="5903" xr3:uid="{55DFE4EF-9FEA-4157-8A69-F4300ACDC949}" name="Column5888" dataCellStyle="Normal 2"/>
    <tableColumn id="5904" xr3:uid="{C0DA563D-76E4-44CD-B4E1-B6E7BB4F8329}" name="Column5889" dataCellStyle="Normal 2"/>
    <tableColumn id="5905" xr3:uid="{9DE4D50D-C98D-47CF-A7AE-AABD20D349E0}" name="Column5890" dataCellStyle="Normal 2"/>
    <tableColumn id="5906" xr3:uid="{4A883F04-2438-41F7-AFF3-87E929C7ECF0}" name="Column5891" dataCellStyle="Normal 2"/>
    <tableColumn id="5907" xr3:uid="{9F5C9BAA-0CA2-4B92-ABE1-4FEB64C67FD1}" name="Column5892" dataCellStyle="Normal 2"/>
    <tableColumn id="5908" xr3:uid="{AA6F2338-F503-4538-8E1F-A19096108F63}" name="Column5893" dataCellStyle="Normal 2"/>
    <tableColumn id="5909" xr3:uid="{5359FACA-09FD-4DD7-9E31-A4BF3E3333C2}" name="Column5894" dataCellStyle="Normal 2"/>
    <tableColumn id="5910" xr3:uid="{2AE6C3AD-F19D-48C8-A16C-4B5EB9B63C38}" name="Column5895" dataCellStyle="Normal 2"/>
    <tableColumn id="5911" xr3:uid="{F9FDB34C-1883-4845-B3C0-2F46904E9648}" name="Column5896" dataCellStyle="Normal 2"/>
    <tableColumn id="5912" xr3:uid="{16D1ED81-9DD5-4CFC-8EDD-E11E0CA2432E}" name="Column5897" dataCellStyle="Normal 2"/>
    <tableColumn id="5913" xr3:uid="{AB5FC44F-3C1D-4725-B5D0-6F1B05B9712A}" name="Column5898" dataCellStyle="Normal 2"/>
    <tableColumn id="5914" xr3:uid="{5D8CC5F3-FE0B-4C89-8902-662CC07A9797}" name="Column5899" dataCellStyle="Normal 2"/>
    <tableColumn id="5915" xr3:uid="{E39BAB2A-41AF-4E2F-B088-3D9691B14F8D}" name="Column5900" dataCellStyle="Normal 2"/>
    <tableColumn id="5916" xr3:uid="{1505CAB5-71D7-40CF-A01B-45D79207CFD8}" name="Column5901" dataCellStyle="Normal 2"/>
    <tableColumn id="5917" xr3:uid="{0046A8C3-F6C7-498E-A025-C804E6667638}" name="Column5902" dataCellStyle="Normal 2"/>
    <tableColumn id="5918" xr3:uid="{E3ADB0B5-1297-46B2-8200-DA7365CCD9E9}" name="Column5903" dataCellStyle="Normal 2"/>
    <tableColumn id="5919" xr3:uid="{E06DB61D-3164-49FC-928D-550DF0BC40BC}" name="Column5904" dataCellStyle="Normal 2"/>
    <tableColumn id="5920" xr3:uid="{2BC91F82-3AC6-4206-B7AB-29BCBCF38F9F}" name="Column5905" dataCellStyle="Normal 2"/>
    <tableColumn id="5921" xr3:uid="{56EB9534-17B9-4316-B153-5433BEB1AE4B}" name="Column5906" dataCellStyle="Normal 2"/>
    <tableColumn id="5922" xr3:uid="{445A3489-3288-4002-87BD-E063B098FA5A}" name="Column5907" dataCellStyle="Normal 2"/>
    <tableColumn id="5923" xr3:uid="{175FB5F9-1D6A-4309-BD17-1EFA12E73AC7}" name="Column5908" dataCellStyle="Normal 2"/>
    <tableColumn id="5924" xr3:uid="{4453DE86-2723-474C-9D13-80E5A771081B}" name="Column5909" dataCellStyle="Normal 2"/>
    <tableColumn id="5925" xr3:uid="{4FA04330-78FF-46E4-9888-8EF9EC10E12C}" name="Column5910" dataCellStyle="Normal 2"/>
    <tableColumn id="5926" xr3:uid="{38D4D188-2C66-48EF-8D59-9BE3B5B92DA3}" name="Column5911" dataCellStyle="Normal 2"/>
    <tableColumn id="5927" xr3:uid="{F01589A4-933C-49D6-938E-0F534A14C1E7}" name="Column5912" dataCellStyle="Normal 2"/>
    <tableColumn id="5928" xr3:uid="{6C1D17E3-4779-4909-90DA-5243E00A7218}" name="Column5913" dataCellStyle="Normal 2"/>
    <tableColumn id="5929" xr3:uid="{7A8C406E-DE96-4792-9296-705884E60800}" name="Column5914" dataCellStyle="Normal 2"/>
    <tableColumn id="5930" xr3:uid="{4EE31112-289A-4E90-BFB0-77A92CD5D20D}" name="Column5915" dataCellStyle="Normal 2"/>
    <tableColumn id="5931" xr3:uid="{DDC1DA7B-4543-4351-BE6C-301A04450258}" name="Column5916" dataCellStyle="Normal 2"/>
    <tableColumn id="5932" xr3:uid="{B978C9B0-28F8-41FF-84A8-D8C06B26D55A}" name="Column5917" dataCellStyle="Normal 2"/>
    <tableColumn id="5933" xr3:uid="{723DFA7F-5F06-4252-B7C9-97005E89ADDA}" name="Column5918" dataCellStyle="Normal 2"/>
    <tableColumn id="5934" xr3:uid="{D28BE8EB-C5EA-4FF2-ADD3-0D85FC8E6222}" name="Column5919" dataCellStyle="Normal 2"/>
    <tableColumn id="5935" xr3:uid="{7513EA4C-C5FC-4687-9D76-478E176BD52A}" name="Column5920" dataCellStyle="Normal 2"/>
    <tableColumn id="5936" xr3:uid="{0B0CB81E-471E-477F-BAEC-BEB78B999770}" name="Column5921" dataCellStyle="Normal 2"/>
    <tableColumn id="5937" xr3:uid="{2A3EB22E-65B4-4851-9B10-29F9238ABC10}" name="Column5922" dataCellStyle="Normal 2"/>
    <tableColumn id="5938" xr3:uid="{92AD6B10-9B56-46EA-BC0B-859313C4ED9B}" name="Column5923" dataCellStyle="Normal 2"/>
    <tableColumn id="5939" xr3:uid="{EB33EBFF-F9E1-4F72-B221-594292B10CB5}" name="Column5924" dataCellStyle="Normal 2"/>
    <tableColumn id="5940" xr3:uid="{6CB47E38-E76F-4D74-9FA5-2F3D64981219}" name="Column5925" dataCellStyle="Normal 2"/>
    <tableColumn id="5941" xr3:uid="{6F9257FB-452C-46E0-9909-60C355D53081}" name="Column5926" dataCellStyle="Normal 2"/>
    <tableColumn id="5942" xr3:uid="{74E42576-CF73-4190-BA72-BB599D26D76E}" name="Column5927" dataCellStyle="Normal 2"/>
    <tableColumn id="5943" xr3:uid="{D0FC4796-F012-4EDE-B4A8-DF09173D444B}" name="Column5928" dataCellStyle="Normal 2"/>
    <tableColumn id="5944" xr3:uid="{CFE47E1A-592F-491D-A0D3-2A48D9D2549C}" name="Column5929" dataCellStyle="Normal 2"/>
    <tableColumn id="5945" xr3:uid="{E49120F5-4315-4A6F-8EC4-819445DD870B}" name="Column5930" dataCellStyle="Normal 2"/>
    <tableColumn id="5946" xr3:uid="{8DF9B3F3-549E-479B-9245-A501B2931787}" name="Column5931" dataCellStyle="Normal 2"/>
    <tableColumn id="5947" xr3:uid="{F894363A-7B0C-47A1-9AF9-205105D98B61}" name="Column5932" dataCellStyle="Normal 2"/>
    <tableColumn id="5948" xr3:uid="{B78F06D2-164A-4F50-ACD5-60F35F6065E2}" name="Column5933" dataCellStyle="Normal 2"/>
    <tableColumn id="5949" xr3:uid="{020F9B1E-0B7B-42BF-971B-9143F405F78C}" name="Column5934" dataCellStyle="Normal 2"/>
    <tableColumn id="5950" xr3:uid="{394A9594-705F-4EDF-9A60-0E53545ABB3A}" name="Column5935" dataCellStyle="Normal 2"/>
    <tableColumn id="5951" xr3:uid="{197B47AC-654D-4B00-8D67-520279F526E6}" name="Column5936" dataCellStyle="Normal 2"/>
    <tableColumn id="5952" xr3:uid="{6910014C-0D3B-4281-8349-0748129E96D6}" name="Column5937" dataCellStyle="Normal 2"/>
    <tableColumn id="5953" xr3:uid="{9D14F76C-ACD2-414F-97E1-5F9B83EC47C3}" name="Column5938" dataCellStyle="Normal 2"/>
    <tableColumn id="5954" xr3:uid="{8B9DEFC2-397E-487C-996B-83A435288BD6}" name="Column5939" dataCellStyle="Normal 2"/>
    <tableColumn id="5955" xr3:uid="{72ACC42E-736B-43C3-9645-96155D785949}" name="Column5940" dataCellStyle="Normal 2"/>
    <tableColumn id="5956" xr3:uid="{F7702E3B-1132-4EE7-876E-48605BDED39F}" name="Column5941" dataCellStyle="Normal 2"/>
    <tableColumn id="5957" xr3:uid="{F8E563C4-92C1-4E72-AB13-E735F47E85C4}" name="Column5942" dataCellStyle="Normal 2"/>
    <tableColumn id="5958" xr3:uid="{4D1A93BB-FF37-410F-802D-13C85CBC3AF4}" name="Column5943" dataCellStyle="Normal 2"/>
    <tableColumn id="5959" xr3:uid="{A9CA79B4-4126-4977-8503-BAAACCDF2E6C}" name="Column5944" dataCellStyle="Normal 2"/>
    <tableColumn id="5960" xr3:uid="{0F5D6BFC-B78F-4E92-BD58-B16669B7DCAC}" name="Column5945" dataCellStyle="Normal 2"/>
    <tableColumn id="5961" xr3:uid="{1F196C72-3E75-4AD1-B333-A835092CD609}" name="Column5946" dataCellStyle="Normal 2"/>
    <tableColumn id="5962" xr3:uid="{6BA94308-0B5D-43A2-B3B4-E68A8F491140}" name="Column5947" dataCellStyle="Normal 2"/>
    <tableColumn id="5963" xr3:uid="{9F0E7169-7C80-426B-A966-554FEC530FBC}" name="Column5948" dataCellStyle="Normal 2"/>
    <tableColumn id="5964" xr3:uid="{707FE109-CA6D-4F67-AAD8-94BE5F086FB9}" name="Column5949" dataCellStyle="Normal 2"/>
    <tableColumn id="5965" xr3:uid="{3D9C7D70-D6EC-43F6-B32E-292609C3A9F2}" name="Column5950" dataCellStyle="Normal 2"/>
    <tableColumn id="5966" xr3:uid="{6C1D52E9-3A75-4F11-8808-883A3F427C38}" name="Column5951" dataCellStyle="Normal 2"/>
    <tableColumn id="5967" xr3:uid="{E9AC98BA-82B6-4C3F-9D2D-422DFE29F7C1}" name="Column5952" dataCellStyle="Normal 2"/>
    <tableColumn id="5968" xr3:uid="{DFED7265-1A3D-4D19-BE42-42D19C4D768F}" name="Column5953" dataCellStyle="Normal 2"/>
    <tableColumn id="5969" xr3:uid="{910DBFDF-B74D-4385-97EB-F2506AB0D524}" name="Column5954" dataCellStyle="Normal 2"/>
    <tableColumn id="5970" xr3:uid="{629E94DB-41DB-4181-9299-BBEB1CD106BA}" name="Column5955" dataCellStyle="Normal 2"/>
    <tableColumn id="5971" xr3:uid="{8D00B927-53E4-4613-95E8-060216DD83FD}" name="Column5956" dataCellStyle="Normal 2"/>
    <tableColumn id="5972" xr3:uid="{73617F7D-C2D9-433F-9C60-AFFFDB3EFE34}" name="Column5957" dataCellStyle="Normal 2"/>
    <tableColumn id="5973" xr3:uid="{DEB9A640-6424-488B-B31E-24DA612B58EE}" name="Column5958" dataCellStyle="Normal 2"/>
    <tableColumn id="5974" xr3:uid="{9A1359A0-1703-4D96-A587-C9B79373808E}" name="Column5959" dataCellStyle="Normal 2"/>
    <tableColumn id="5975" xr3:uid="{D2D88D65-005E-422A-97EB-5D2EDB5F5E39}" name="Column5960" dataCellStyle="Normal 2"/>
    <tableColumn id="5976" xr3:uid="{B7684A0A-7E27-4EAE-AAC6-CCC49E83B270}" name="Column5961" dataCellStyle="Normal 2"/>
    <tableColumn id="5977" xr3:uid="{5C7790A1-01B2-4460-A0A7-2EB19817593D}" name="Column5962" dataCellStyle="Normal 2"/>
    <tableColumn id="5978" xr3:uid="{DF631CD3-4AB6-4236-B9D6-8F8C390F04EC}" name="Column5963" dataCellStyle="Normal 2"/>
    <tableColumn id="5979" xr3:uid="{A429FB3B-1B89-4B49-AFA0-770ABEF969C5}" name="Column5964" dataCellStyle="Normal 2"/>
    <tableColumn id="5980" xr3:uid="{81460432-00D2-4C51-95C0-7BD2D1A7E795}" name="Column5965" dataCellStyle="Normal 2"/>
    <tableColumn id="5981" xr3:uid="{65B6B891-620F-4C23-8B14-1B46C2D78402}" name="Column5966" dataCellStyle="Normal 2"/>
    <tableColumn id="5982" xr3:uid="{7661C370-0FA1-4D60-9F41-F3009290A522}" name="Column5967" dataCellStyle="Normal 2"/>
    <tableColumn id="5983" xr3:uid="{EB40BC2C-5654-4B52-AC6E-7535F3331A79}" name="Column5968" dataCellStyle="Normal 2"/>
    <tableColumn id="5984" xr3:uid="{CF89EA09-646F-4B89-AB8D-CF732A56944A}" name="Column5969" dataCellStyle="Normal 2"/>
    <tableColumn id="5985" xr3:uid="{0606EDDF-C310-419D-8F86-A0A5F5313F09}" name="Column5970" dataCellStyle="Normal 2"/>
    <tableColumn id="5986" xr3:uid="{47AFBC54-FDF3-4B53-BEB8-84B1AC2D240D}" name="Column5971" dataCellStyle="Normal 2"/>
    <tableColumn id="5987" xr3:uid="{C35AEB46-7077-4443-A538-754F4EE237CF}" name="Column5972" dataCellStyle="Normal 2"/>
    <tableColumn id="5988" xr3:uid="{ADFE909D-3904-4413-A0E8-3C277DD03C17}" name="Column5973" dataCellStyle="Normal 2"/>
    <tableColumn id="5989" xr3:uid="{CFD77B7B-C0CD-499E-BB84-1B5D520E09DF}" name="Column5974" dataCellStyle="Normal 2"/>
    <tableColumn id="5990" xr3:uid="{BD34C330-8A1D-4B0E-A511-07AAE751F954}" name="Column5975" dataCellStyle="Normal 2"/>
    <tableColumn id="5991" xr3:uid="{EB601BE8-94A7-445F-B6A9-376CD01AD207}" name="Column5976" dataCellStyle="Normal 2"/>
    <tableColumn id="5992" xr3:uid="{E0C8D415-1647-4EF7-ACAD-0535D33AF7F4}" name="Column5977" dataCellStyle="Normal 2"/>
    <tableColumn id="5993" xr3:uid="{80BC55B9-45CF-4013-955C-B1F399C2A48E}" name="Column5978" dataCellStyle="Normal 2"/>
    <tableColumn id="5994" xr3:uid="{43432D27-20BC-433F-A2C8-855AB0498583}" name="Column5979" dataCellStyle="Normal 2"/>
    <tableColumn id="5995" xr3:uid="{A9A53E9C-8ABA-41CD-8478-039D31AA0CE9}" name="Column5980" dataCellStyle="Normal 2"/>
    <tableColumn id="5996" xr3:uid="{E0C4261C-FD0F-476D-ADE7-493DF6001F39}" name="Column5981" dataCellStyle="Normal 2"/>
    <tableColumn id="5997" xr3:uid="{02382BF8-A2E3-443F-BC66-D7B787B78698}" name="Column5982" dataCellStyle="Normal 2"/>
    <tableColumn id="5998" xr3:uid="{53D8A362-8F03-4FA9-90DC-7D8A0C038D8E}" name="Column5983" dataCellStyle="Normal 2"/>
    <tableColumn id="5999" xr3:uid="{FDD118DD-7760-4DAD-9746-259CE06ED2E6}" name="Column5984" dataCellStyle="Normal 2"/>
    <tableColumn id="6000" xr3:uid="{AA902878-1BFC-470C-BA6E-F80AF34E480C}" name="Column5985" dataCellStyle="Normal 2"/>
    <tableColumn id="6001" xr3:uid="{FC21860B-8B13-44C4-A9A2-72A6DD1E0DD5}" name="Column5986" dataCellStyle="Normal 2"/>
    <tableColumn id="6002" xr3:uid="{4AA0BC5D-3710-44ED-BF31-5E2194CC4728}" name="Column5987" dataCellStyle="Normal 2"/>
    <tableColumn id="6003" xr3:uid="{90A76585-A4E2-4A32-852C-8EA0E55B1009}" name="Column5988" dataCellStyle="Normal 2"/>
    <tableColumn id="6004" xr3:uid="{83C34E48-9824-4CC0-8A24-6CE7BE18E713}" name="Column5989" dataCellStyle="Normal 2"/>
    <tableColumn id="6005" xr3:uid="{C9702DCD-A3D1-4C2B-8F4E-5DA01F6A49A0}" name="Column5990" dataCellStyle="Normal 2"/>
    <tableColumn id="6006" xr3:uid="{CFDF8180-0762-4331-9A6F-23FCF022F4E9}" name="Column5991" dataCellStyle="Normal 2"/>
    <tableColumn id="6007" xr3:uid="{5C758CFC-4CAC-4DEE-8631-F213385C8B95}" name="Column5992" dataCellStyle="Normal 2"/>
    <tableColumn id="6008" xr3:uid="{58433C2E-EF2F-4807-8DE8-D30183FE0B36}" name="Column5993" dataCellStyle="Normal 2"/>
    <tableColumn id="6009" xr3:uid="{84BC0D7A-00B7-4B6A-BE60-E6FF27354CCB}" name="Column5994" dataCellStyle="Normal 2"/>
    <tableColumn id="6010" xr3:uid="{4BA9A5D2-E33A-4DBE-A332-4AA9A11DF5D6}" name="Column5995" dataCellStyle="Normal 2"/>
    <tableColumn id="6011" xr3:uid="{DF1B4467-B07B-4FB0-9E9F-E4CB8530F629}" name="Column5996" dataCellStyle="Normal 2"/>
    <tableColumn id="6012" xr3:uid="{57F0D0AA-7222-41BA-BCD9-4B52253FA882}" name="Column5997" dataCellStyle="Normal 2"/>
    <tableColumn id="6013" xr3:uid="{BC280410-02C8-43FA-9ED7-0812023D614D}" name="Column5998" dataCellStyle="Normal 2"/>
    <tableColumn id="6014" xr3:uid="{AA2E3C46-2B87-49BC-A404-F7A1D8159794}" name="Column5999" dataCellStyle="Normal 2"/>
    <tableColumn id="6015" xr3:uid="{E90130E8-D2DF-4B6E-AE54-9756B13618EC}" name="Column6000" dataCellStyle="Normal 2"/>
    <tableColumn id="6016" xr3:uid="{80C5B7A9-9E40-43DF-B6F7-92DA083CB496}" name="Column6001" dataCellStyle="Normal 2"/>
    <tableColumn id="6017" xr3:uid="{256366E7-6300-4719-9E03-0C9E6D9BD85D}" name="Column6002" dataCellStyle="Normal 2"/>
    <tableColumn id="6018" xr3:uid="{56400F2D-7BDA-45BD-AF1C-502CF410A10D}" name="Column6003" dataCellStyle="Normal 2"/>
    <tableColumn id="6019" xr3:uid="{7E982857-DB77-4CF3-92A0-5A4A0A305F17}" name="Column6004" dataCellStyle="Normal 2"/>
    <tableColumn id="6020" xr3:uid="{DBF403A2-E679-46A1-9E2F-4FB9B970D7E5}" name="Column6005" dataCellStyle="Normal 2"/>
    <tableColumn id="6021" xr3:uid="{0CD4135C-A494-4FE8-B696-28B401F93DEB}" name="Column6006" dataCellStyle="Normal 2"/>
    <tableColumn id="6022" xr3:uid="{614AC890-A1CF-4E48-8088-0A4003FB2514}" name="Column6007" dataCellStyle="Normal 2"/>
    <tableColumn id="6023" xr3:uid="{AB03C171-643E-4715-B5A1-3D54C7D6AAD4}" name="Column6008" dataCellStyle="Normal 2"/>
    <tableColumn id="6024" xr3:uid="{CD65215D-7616-4B0F-A937-59F5C631D8BA}" name="Column6009" dataCellStyle="Normal 2"/>
    <tableColumn id="6025" xr3:uid="{C6FA31E8-48DA-476C-82D0-9C23F6C957BE}" name="Column6010" dataCellStyle="Normal 2"/>
    <tableColumn id="6026" xr3:uid="{2A3943C9-AE83-49EB-9C48-5076B2EB2D56}" name="Column6011" dataCellStyle="Normal 2"/>
    <tableColumn id="6027" xr3:uid="{9103B926-727E-451E-B94A-D5B518A1DFBA}" name="Column6012" dataCellStyle="Normal 2"/>
    <tableColumn id="6028" xr3:uid="{AED0C220-F241-4268-B330-9F50D3D8D10F}" name="Column6013" dataCellStyle="Normal 2"/>
    <tableColumn id="6029" xr3:uid="{A64E2FD6-9B9F-4B6A-BD19-C9DB8314BF90}" name="Column6014" dataCellStyle="Normal 2"/>
    <tableColumn id="6030" xr3:uid="{BDC4A8C0-DBF3-44FC-B15D-2EF23D0E3DAA}" name="Column6015" dataCellStyle="Normal 2"/>
    <tableColumn id="6031" xr3:uid="{41B94635-F948-4345-95D4-804347FE3738}" name="Column6016" dataCellStyle="Normal 2"/>
    <tableColumn id="6032" xr3:uid="{D36F4CE1-1AFF-47E4-877C-B685C9AB8439}" name="Column6017" dataCellStyle="Normal 2"/>
    <tableColumn id="6033" xr3:uid="{58DCFBF9-608F-41E8-9207-E5BBA15222E7}" name="Column6018" dataCellStyle="Normal 2"/>
    <tableColumn id="6034" xr3:uid="{48D64B52-2E84-424E-BBD2-2FAAB6838517}" name="Column6019" dataCellStyle="Normal 2"/>
    <tableColumn id="6035" xr3:uid="{6B80521F-C013-4CE5-BC0D-79CCFC2CD8EA}" name="Column6020" dataCellStyle="Normal 2"/>
    <tableColumn id="6036" xr3:uid="{00F5DAF7-9736-4CC4-9748-FE9691341ABB}" name="Column6021" dataCellStyle="Normal 2"/>
    <tableColumn id="6037" xr3:uid="{7B0095F7-5072-41D3-8BF5-622061E329A2}" name="Column6022" dataCellStyle="Normal 2"/>
    <tableColumn id="6038" xr3:uid="{1180DF77-E03C-4316-AC32-3BDEA12A7C54}" name="Column6023" dataCellStyle="Normal 2"/>
    <tableColumn id="6039" xr3:uid="{E1697ACD-B57E-433D-B6D0-DCDB6BC5061D}" name="Column6024" dataCellStyle="Normal 2"/>
    <tableColumn id="6040" xr3:uid="{D1AA9F48-372C-4782-8767-E98171734D85}" name="Column6025" dataCellStyle="Normal 2"/>
    <tableColumn id="6041" xr3:uid="{4A3C6AA6-5483-4E67-AE8A-4064303B8F57}" name="Column6026" dataCellStyle="Normal 2"/>
    <tableColumn id="6042" xr3:uid="{3E0B4257-664A-4B22-9CC4-834C367A4C7D}" name="Column6027" dataCellStyle="Normal 2"/>
    <tableColumn id="6043" xr3:uid="{97B9838A-304F-4773-B1EA-3EF400AC255A}" name="Column6028" dataCellStyle="Normal 2"/>
    <tableColumn id="6044" xr3:uid="{7D47C1E8-F1CF-4AC8-85B1-CF272FD3659F}" name="Column6029" dataCellStyle="Normal 2"/>
    <tableColumn id="6045" xr3:uid="{9128299C-7673-4E84-88CB-B1CDD410288D}" name="Column6030" dataCellStyle="Normal 2"/>
    <tableColumn id="6046" xr3:uid="{A74814CD-575E-4C95-A478-1BFFA918AA9F}" name="Column6031" dataCellStyle="Normal 2"/>
    <tableColumn id="6047" xr3:uid="{FE9F31BB-D12E-4930-A4D0-B13472F38A1A}" name="Column6032" dataCellStyle="Normal 2"/>
    <tableColumn id="6048" xr3:uid="{26D59AC6-DBE4-4BD1-81EB-C17F5257D99A}" name="Column6033" dataCellStyle="Normal 2"/>
    <tableColumn id="6049" xr3:uid="{21872AE3-17BA-4D5E-9510-A11E58880FAF}" name="Column6034" dataCellStyle="Normal 2"/>
    <tableColumn id="6050" xr3:uid="{0052F8A1-5622-442F-BAE0-6BEDC2099DAE}" name="Column6035" dataCellStyle="Normal 2"/>
    <tableColumn id="6051" xr3:uid="{13E6A8E4-0B80-4C8C-99D9-A6D19A54CA5A}" name="Column6036" dataCellStyle="Normal 2"/>
    <tableColumn id="6052" xr3:uid="{43C61238-2E64-44D2-85C9-AF0695796170}" name="Column6037" dataCellStyle="Normal 2"/>
    <tableColumn id="6053" xr3:uid="{E7F9E3C5-2F94-403C-91CE-EE2CCBD66104}" name="Column6038" dataCellStyle="Normal 2"/>
    <tableColumn id="6054" xr3:uid="{69739D9A-2ECA-46E6-8A9D-7B4B9DB7B9B8}" name="Column6039" dataCellStyle="Normal 2"/>
    <tableColumn id="6055" xr3:uid="{1867E03E-0042-4FB0-802E-2B9E23EE6829}" name="Column6040" dataCellStyle="Normal 2"/>
    <tableColumn id="6056" xr3:uid="{5AE2F0BC-7B44-42B9-8156-499076B3296A}" name="Column6041" dataCellStyle="Normal 2"/>
    <tableColumn id="6057" xr3:uid="{049E0372-9AD3-4B48-96D0-A4C083F0E1F1}" name="Column6042" dataCellStyle="Normal 2"/>
    <tableColumn id="6058" xr3:uid="{8EE4A89A-4203-4E2E-A41D-7E855097E1E5}" name="Column6043" dataCellStyle="Normal 2"/>
    <tableColumn id="6059" xr3:uid="{5760407C-E61A-435D-8604-BDC3199ADA3D}" name="Column6044" dataCellStyle="Normal 2"/>
    <tableColumn id="6060" xr3:uid="{2B5C8D18-81ED-40FD-AD49-1A95D9F3D7D1}" name="Column6045" dataCellStyle="Normal 2"/>
    <tableColumn id="6061" xr3:uid="{94DF7984-EAE0-4F5D-964C-884BDE16DA39}" name="Column6046" dataCellStyle="Normal 2"/>
    <tableColumn id="6062" xr3:uid="{1251A7D4-5FE9-45EC-BEE6-3C6ADBDFD147}" name="Column6047" dataCellStyle="Normal 2"/>
    <tableColumn id="6063" xr3:uid="{B6D6F9A2-73B2-41C0-9E73-9132C9DD4433}" name="Column6048" dataCellStyle="Normal 2"/>
    <tableColumn id="6064" xr3:uid="{680118D5-B38A-4A47-AA65-B7128927A57D}" name="Column6049" dataCellStyle="Normal 2"/>
    <tableColumn id="6065" xr3:uid="{5D727BF9-2642-44BB-8CFC-1417000B2C63}" name="Column6050" dataCellStyle="Normal 2"/>
    <tableColumn id="6066" xr3:uid="{1F861752-47FF-405F-A9D6-1AEA83570974}" name="Column6051" dataCellStyle="Normal 2"/>
    <tableColumn id="6067" xr3:uid="{7798A59B-67A5-42EF-83B6-6E8395E48DCD}" name="Column6052" dataCellStyle="Normal 2"/>
    <tableColumn id="6068" xr3:uid="{F3536C64-7892-4F0C-9933-D2AA710B13B7}" name="Column6053" dataCellStyle="Normal 2"/>
    <tableColumn id="6069" xr3:uid="{94C57BB2-F88D-4A06-9356-0656B68AF032}" name="Column6054" dataCellStyle="Normal 2"/>
    <tableColumn id="6070" xr3:uid="{C981B927-F86F-4639-A7B0-CDB292BBB98A}" name="Column6055" dataCellStyle="Normal 2"/>
    <tableColumn id="6071" xr3:uid="{AE5974BF-E503-4033-8A02-3E1410AE2369}" name="Column6056" dataCellStyle="Normal 2"/>
    <tableColumn id="6072" xr3:uid="{6CAC94A1-F1D3-4F2C-9E2A-D5A7BF73B5D8}" name="Column6057" dataCellStyle="Normal 2"/>
    <tableColumn id="6073" xr3:uid="{0073F87B-8E0E-4C83-BD3C-B1289DA8931C}" name="Column6058" dataCellStyle="Normal 2"/>
    <tableColumn id="6074" xr3:uid="{171B019D-4790-43DE-9AF6-E2258526585D}" name="Column6059" dataCellStyle="Normal 2"/>
    <tableColumn id="6075" xr3:uid="{CB50674D-F7A2-41FA-BE60-6711CA20F948}" name="Column6060" dataCellStyle="Normal 2"/>
    <tableColumn id="6076" xr3:uid="{FC613291-1728-468B-8C5A-9334EEAD7508}" name="Column6061" dataCellStyle="Normal 2"/>
    <tableColumn id="6077" xr3:uid="{619A707E-8F00-47E4-BFA7-BE59E1066B3C}" name="Column6062" dataCellStyle="Normal 2"/>
    <tableColumn id="6078" xr3:uid="{7AE0498C-77A9-4E21-8C19-6DA1ECD7DF1D}" name="Column6063" dataCellStyle="Normal 2"/>
    <tableColumn id="6079" xr3:uid="{260058C1-1FCB-42E3-8B8C-D5FE71AACF04}" name="Column6064" dataCellStyle="Normal 2"/>
    <tableColumn id="6080" xr3:uid="{F7273F5B-4116-4236-B9B3-442C6E7AA664}" name="Column6065" dataCellStyle="Normal 2"/>
    <tableColumn id="6081" xr3:uid="{5BD26A4C-2C19-4ED3-822D-9DCED4876DCC}" name="Column6066" dataCellStyle="Normal 2"/>
    <tableColumn id="6082" xr3:uid="{3DC4C861-BC64-4878-A5BA-898547B7142E}" name="Column6067" dataCellStyle="Normal 2"/>
    <tableColumn id="6083" xr3:uid="{B7288ED8-7A40-4018-91EC-9432293F2E51}" name="Column6068" dataCellStyle="Normal 2"/>
    <tableColumn id="6084" xr3:uid="{C1929501-6490-4164-887E-F6C60291D0E7}" name="Column6069" dataCellStyle="Normal 2"/>
    <tableColumn id="6085" xr3:uid="{A9E8C088-4370-4A28-8B78-EF3CCF539982}" name="Column6070" dataCellStyle="Normal 2"/>
    <tableColumn id="6086" xr3:uid="{0762F513-592D-4DE8-94EB-8D17A1CC4299}" name="Column6071" dataCellStyle="Normal 2"/>
    <tableColumn id="6087" xr3:uid="{BA6E3BDF-5EF2-46BA-B8C6-9914E60B0FFF}" name="Column6072" dataCellStyle="Normal 2"/>
    <tableColumn id="6088" xr3:uid="{7F86A8B2-2269-4E92-9AB1-CE76E4B7CA14}" name="Column6073" dataCellStyle="Normal 2"/>
    <tableColumn id="6089" xr3:uid="{17A47628-26CA-47E5-A53D-2CCB7247D98B}" name="Column6074" dataCellStyle="Normal 2"/>
    <tableColumn id="6090" xr3:uid="{80F2E7BF-E810-4EDC-BDBB-AB241B84D342}" name="Column6075" dataCellStyle="Normal 2"/>
    <tableColumn id="6091" xr3:uid="{7942D213-321B-43FB-839C-3BCD6C509DE1}" name="Column6076" dataCellStyle="Normal 2"/>
    <tableColumn id="6092" xr3:uid="{A169B41D-A6A4-456F-9CED-E3F95F830FC4}" name="Column6077" dataCellStyle="Normal 2"/>
    <tableColumn id="6093" xr3:uid="{0ECA29AE-7C68-4E94-AC6D-48153AFC5382}" name="Column6078" dataCellStyle="Normal 2"/>
    <tableColumn id="6094" xr3:uid="{CF57BD78-64A8-4AFE-9900-F7A9140C2AC7}" name="Column6079" dataCellStyle="Normal 2"/>
    <tableColumn id="6095" xr3:uid="{F9D1B0B7-3ACF-4C5B-8308-8412F5F27A26}" name="Column6080" dataCellStyle="Normal 2"/>
    <tableColumn id="6096" xr3:uid="{BABEDCEA-5A8B-47F5-AE51-9870E0F8A7A8}" name="Column6081" dataCellStyle="Normal 2"/>
    <tableColumn id="6097" xr3:uid="{AE54F247-1B35-4ECF-9321-DE757CF9BEB4}" name="Column6082" dataCellStyle="Normal 2"/>
    <tableColumn id="6098" xr3:uid="{3B88B409-123B-4633-BB28-F223685AD011}" name="Column6083" dataCellStyle="Normal 2"/>
    <tableColumn id="6099" xr3:uid="{D75250C9-78A6-4828-8B8C-71000B18E0BE}" name="Column6084" dataCellStyle="Normal 2"/>
    <tableColumn id="6100" xr3:uid="{79B6064E-4E9B-4310-ACA0-4B54913A5202}" name="Column6085" dataCellStyle="Normal 2"/>
    <tableColumn id="6101" xr3:uid="{5BE236A4-2F2B-48E2-9668-B8FB346C6DF3}" name="Column6086" dataCellStyle="Normal 2"/>
    <tableColumn id="6102" xr3:uid="{3B5426FC-B2A2-4FCF-B38E-DF8D954C31BD}" name="Column6087" dataCellStyle="Normal 2"/>
    <tableColumn id="6103" xr3:uid="{149250C2-6CDD-4689-9B79-944F7B418F44}" name="Column6088" dataCellStyle="Normal 2"/>
    <tableColumn id="6104" xr3:uid="{224368E9-F891-41E5-83FA-61C8ECE52905}" name="Column6089" dataCellStyle="Normal 2"/>
    <tableColumn id="6105" xr3:uid="{6B27B3C6-555D-4B87-9CB3-9F2C9E722D26}" name="Column6090" dataCellStyle="Normal 2"/>
    <tableColumn id="6106" xr3:uid="{1E372AAC-2472-46DB-98E7-47E7DBF4C174}" name="Column6091" dataCellStyle="Normal 2"/>
    <tableColumn id="6107" xr3:uid="{0BA288D1-4DF1-4DFD-AB9D-5A3FAEE16520}" name="Column6092" dataCellStyle="Normal 2"/>
    <tableColumn id="6108" xr3:uid="{03D0BF07-5231-4875-B730-A17D1EDFF304}" name="Column6093" dataCellStyle="Normal 2"/>
    <tableColumn id="6109" xr3:uid="{2BE620B2-3ED9-4C35-A17C-F56828729F55}" name="Column6094" dataCellStyle="Normal 2"/>
    <tableColumn id="6110" xr3:uid="{710B1C83-F381-4F15-9DE6-2974CBA4BA09}" name="Column6095" dataCellStyle="Normal 2"/>
    <tableColumn id="6111" xr3:uid="{5981CD56-4A9E-4D54-BC3C-ABE502E612ED}" name="Column6096" dataCellStyle="Normal 2"/>
    <tableColumn id="6112" xr3:uid="{1EADF589-07D0-4857-8E43-C8FE07476329}" name="Column6097" dataCellStyle="Normal 2"/>
    <tableColumn id="6113" xr3:uid="{D341B93D-F5CF-4176-B114-6511CC105CF2}" name="Column6098" dataCellStyle="Normal 2"/>
    <tableColumn id="6114" xr3:uid="{9DFDA55F-87F7-4F1C-ADD7-6FFCA1D58B3E}" name="Column6099" dataCellStyle="Normal 2"/>
    <tableColumn id="6115" xr3:uid="{CDA5D976-434E-4319-9B2D-91956091DBF3}" name="Column6100" dataCellStyle="Normal 2"/>
    <tableColumn id="6116" xr3:uid="{C0DCABFE-D47C-4794-8173-E4B336120289}" name="Column6101" dataCellStyle="Normal 2"/>
    <tableColumn id="6117" xr3:uid="{86835B94-098A-4320-BD68-1EA6DC8D64CB}" name="Column6102" dataCellStyle="Normal 2"/>
    <tableColumn id="6118" xr3:uid="{23588B01-C1A3-4FAE-BD37-34E364818C7D}" name="Column6103" dataCellStyle="Normal 2"/>
    <tableColumn id="6119" xr3:uid="{42352995-AFAB-43F7-B8B3-FDAA831DFE1D}" name="Column6104" dataCellStyle="Normal 2"/>
    <tableColumn id="6120" xr3:uid="{10BB8850-9858-406F-803B-6BF647E674EE}" name="Column6105" dataCellStyle="Normal 2"/>
    <tableColumn id="6121" xr3:uid="{EB661757-8465-4546-B774-95AEB0D80463}" name="Column6106" dataCellStyle="Normal 2"/>
    <tableColumn id="6122" xr3:uid="{B404EEA3-CB3F-47A4-A667-873A684CC056}" name="Column6107" dataCellStyle="Normal 2"/>
    <tableColumn id="6123" xr3:uid="{FECBBC36-7C0A-4782-97E1-E5A7E9D83E3B}" name="Column6108" dataCellStyle="Normal 2"/>
    <tableColumn id="6124" xr3:uid="{2EE45C97-46F4-4035-9BF1-3CE4A6FEDF04}" name="Column6109" dataCellStyle="Normal 2"/>
    <tableColumn id="6125" xr3:uid="{2BFFCFF4-94EC-464B-874B-D5B6ADBF0414}" name="Column6110" dataCellStyle="Normal 2"/>
    <tableColumn id="6126" xr3:uid="{68E69D4F-742A-4940-BCDD-D63C0806CAE6}" name="Column6111" dataCellStyle="Normal 2"/>
    <tableColumn id="6127" xr3:uid="{075F7B27-CF25-4814-9BEE-9BED9DC4D3E0}" name="Column6112" dataCellStyle="Normal 2"/>
    <tableColumn id="6128" xr3:uid="{2222778C-8435-473F-A21A-9FEFE04C3CB8}" name="Column6113" dataCellStyle="Normal 2"/>
    <tableColumn id="6129" xr3:uid="{C73BDA51-EC30-416C-A424-C939D499E3BE}" name="Column6114" dataCellStyle="Normal 2"/>
    <tableColumn id="6130" xr3:uid="{DB6B2A04-D294-4270-9B0E-37E4390BA366}" name="Column6115" dataCellStyle="Normal 2"/>
    <tableColumn id="6131" xr3:uid="{5BA3C7D0-D411-4E64-80DD-C7DC092069F7}" name="Column6116" dataCellStyle="Normal 2"/>
    <tableColumn id="6132" xr3:uid="{EEEBA660-2BFC-4196-AED5-5616E4268300}" name="Column6117" dataCellStyle="Normal 2"/>
    <tableColumn id="6133" xr3:uid="{1F91D7BF-43D3-42D0-8793-032E6BD1869A}" name="Column6118" dataCellStyle="Normal 2"/>
    <tableColumn id="6134" xr3:uid="{85337FB0-0072-49A9-B353-C892B2BE1255}" name="Column6119" dataCellStyle="Normal 2"/>
    <tableColumn id="6135" xr3:uid="{F10F0E31-60C2-4216-A13B-A616EA092DA9}" name="Column6120" dataCellStyle="Normal 2"/>
    <tableColumn id="6136" xr3:uid="{BEE7EC61-F5EB-4A79-B0B0-B7F89959E9A6}" name="Column6121" dataCellStyle="Normal 2"/>
    <tableColumn id="6137" xr3:uid="{D2E8F514-B04E-4D4F-8035-F0607536733B}" name="Column6122" dataCellStyle="Normal 2"/>
    <tableColumn id="6138" xr3:uid="{00AA5D29-C750-4FAE-847C-18B957FA6DAD}" name="Column6123" dataCellStyle="Normal 2"/>
    <tableColumn id="6139" xr3:uid="{A79E335C-9B61-43C6-8881-A9EBF0827380}" name="Column6124" dataCellStyle="Normal 2"/>
    <tableColumn id="6140" xr3:uid="{926438E3-F497-4292-B45F-6892C9071148}" name="Column6125" dataCellStyle="Normal 2"/>
    <tableColumn id="6141" xr3:uid="{1022017F-9435-4B80-9B63-AB8DBBB61895}" name="Column6126" dataCellStyle="Normal 2"/>
    <tableColumn id="6142" xr3:uid="{76806F6C-70A9-45DC-BC62-6DA71C582934}" name="Column6127" dataCellStyle="Normal 2"/>
    <tableColumn id="6143" xr3:uid="{8DCF161B-60F8-47DB-A802-9854AB6C4746}" name="Column6128" dataCellStyle="Normal 2"/>
    <tableColumn id="6144" xr3:uid="{2A628864-1F77-47E4-913F-A0EB457E6479}" name="Column6129" dataCellStyle="Normal 2"/>
    <tableColumn id="6145" xr3:uid="{DA69D8E2-E879-4ECF-A5D6-9AA064B1F170}" name="Column6130" dataCellStyle="Normal 2"/>
    <tableColumn id="6146" xr3:uid="{03A3C1F0-91F8-4212-B69F-A736101C3D62}" name="Column6131" dataCellStyle="Normal 2"/>
    <tableColumn id="6147" xr3:uid="{163DAE8B-659A-467F-AFB8-AEDB05BFDDE6}" name="Column6132" dataCellStyle="Normal 2"/>
    <tableColumn id="6148" xr3:uid="{D6EF889D-22F5-4402-990F-CF2C750C0FD8}" name="Column6133" dataCellStyle="Normal 2"/>
    <tableColumn id="6149" xr3:uid="{B111FE03-328A-4212-A544-948350652860}" name="Column6134" dataCellStyle="Normal 2"/>
    <tableColumn id="6150" xr3:uid="{D074A787-86A0-4DE2-829D-5AD61F1740E2}" name="Column6135" dataCellStyle="Normal 2"/>
    <tableColumn id="6151" xr3:uid="{D1CB2B2C-8705-45FE-8971-F5039B53A16D}" name="Column6136" dataCellStyle="Normal 2"/>
    <tableColumn id="6152" xr3:uid="{09AE3376-7A14-44AE-9EA7-F22E2111C2C4}" name="Column6137" dataCellStyle="Normal 2"/>
    <tableColumn id="6153" xr3:uid="{003F0126-72F5-4A3F-B278-6556E9849371}" name="Column6138" dataCellStyle="Normal 2"/>
    <tableColumn id="6154" xr3:uid="{0D5F9C35-5BE5-4E1D-A9CA-621859B56907}" name="Column6139" dataCellStyle="Normal 2"/>
    <tableColumn id="6155" xr3:uid="{7B93447E-99AC-4956-BEDB-06267DD62935}" name="Column6140" dataCellStyle="Normal 2"/>
    <tableColumn id="6156" xr3:uid="{3ADF62E3-D16A-49BB-8E6D-0692D8BBE59B}" name="Column6141" dataCellStyle="Normal 2"/>
    <tableColumn id="6157" xr3:uid="{D75CC4DC-81ED-4854-8BBF-6D6689D34C8B}" name="Column6142" dataCellStyle="Normal 2"/>
    <tableColumn id="6158" xr3:uid="{4AA09F3E-202C-432C-96B2-52F3B92DE405}" name="Column6143" dataCellStyle="Normal 2"/>
    <tableColumn id="6159" xr3:uid="{5FB914AB-7686-4349-9D76-74DA45AC2974}" name="Column6144" dataCellStyle="Normal 2"/>
    <tableColumn id="6160" xr3:uid="{7A93FAAA-1CA0-4427-AA0A-03E6E7213EE7}" name="Column6145" dataCellStyle="Normal 2"/>
    <tableColumn id="6161" xr3:uid="{85AA3F5B-C76A-4CEE-BB09-48355899F4EA}" name="Column6146" dataCellStyle="Normal 2"/>
    <tableColumn id="6162" xr3:uid="{29747DC8-4131-473A-B9EA-0387889BA517}" name="Column6147" dataCellStyle="Normal 2"/>
    <tableColumn id="6163" xr3:uid="{0483A5FB-025D-4E19-B320-81FF4F185D34}" name="Column6148" dataCellStyle="Normal 2"/>
    <tableColumn id="6164" xr3:uid="{55B81922-FA5C-4110-ADE9-798809F118E5}" name="Column6149" dataCellStyle="Normal 2"/>
    <tableColumn id="6165" xr3:uid="{F530F8A8-C273-4158-B9D7-FCC459AD5976}" name="Column6150" dataCellStyle="Normal 2"/>
    <tableColumn id="6166" xr3:uid="{009117F0-3BEE-4214-A50F-841E49033F65}" name="Column6151" dataCellStyle="Normal 2"/>
    <tableColumn id="6167" xr3:uid="{E08FBD78-1F1F-4C96-84ED-8AAAD43FE7C9}" name="Column6152" dataCellStyle="Normal 2"/>
    <tableColumn id="6168" xr3:uid="{87E4B644-E03B-486D-B649-99C04B92BFD6}" name="Column6153" dataCellStyle="Normal 2"/>
    <tableColumn id="6169" xr3:uid="{792ECF7A-EBB8-41D5-B8BA-44627A255A93}" name="Column6154" dataCellStyle="Normal 2"/>
    <tableColumn id="6170" xr3:uid="{06D1AF69-26E8-456E-B4EF-CDB88F5E8797}" name="Column6155" dataCellStyle="Normal 2"/>
    <tableColumn id="6171" xr3:uid="{6DB54DC1-AFF6-4A45-BA3B-16848A5F0A1A}" name="Column6156" dataCellStyle="Normal 2"/>
    <tableColumn id="6172" xr3:uid="{F7ABEF48-E2BB-439C-845A-95496C1E434D}" name="Column6157" dataCellStyle="Normal 2"/>
    <tableColumn id="6173" xr3:uid="{43A4DD51-62BA-4A81-89CA-5972E6DFF34D}" name="Column6158" dataCellStyle="Normal 2"/>
    <tableColumn id="6174" xr3:uid="{5F5E2B60-E3D3-4C24-B896-76D3D2965877}" name="Column6159" dataCellStyle="Normal 2"/>
    <tableColumn id="6175" xr3:uid="{730FA3EA-F32B-4217-BAF0-16506092BBE5}" name="Column6160" dataCellStyle="Normal 2"/>
    <tableColumn id="6176" xr3:uid="{2291A1C1-A1E4-432D-9B69-6E9FD853778F}" name="Column6161" dataCellStyle="Normal 2"/>
    <tableColumn id="6177" xr3:uid="{36D8B455-80EE-48F7-B2A8-C5E92B2BA93C}" name="Column6162" dataCellStyle="Normal 2"/>
    <tableColumn id="6178" xr3:uid="{2F87C827-78FC-4942-ADA3-58D7509C5D85}" name="Column6163" dataCellStyle="Normal 2"/>
    <tableColumn id="6179" xr3:uid="{31F0AA3C-2319-4F06-B936-66B1D9D16AF4}" name="Column6164" dataCellStyle="Normal 2"/>
    <tableColumn id="6180" xr3:uid="{EEFB2EEE-3D36-4A46-B77D-1D63CF4AFC7D}" name="Column6165" dataCellStyle="Normal 2"/>
    <tableColumn id="6181" xr3:uid="{99092E86-EBB7-4164-9629-11BF5F4AE498}" name="Column6166" dataCellStyle="Normal 2"/>
    <tableColumn id="6182" xr3:uid="{DC8E64E3-B585-4010-A9D2-932DAD4EB470}" name="Column6167" dataCellStyle="Normal 2"/>
    <tableColumn id="6183" xr3:uid="{8DEC2EA3-935A-4F3F-8902-D7C5D39051E3}" name="Column6168" dataCellStyle="Normal 2"/>
    <tableColumn id="6184" xr3:uid="{D6779A26-77E3-4DB1-A091-DD11D21123F1}" name="Column6169" dataCellStyle="Normal 2"/>
    <tableColumn id="6185" xr3:uid="{B4A5C363-35D6-42F2-AF9A-1FFBE2841F62}" name="Column6170" dataCellStyle="Normal 2"/>
    <tableColumn id="6186" xr3:uid="{85B4983E-2BD4-4B2F-8394-5CB60F873F82}" name="Column6171" dataCellStyle="Normal 2"/>
    <tableColumn id="6187" xr3:uid="{7538238F-E376-4D69-A2B7-F1CB6D05075A}" name="Column6172" dataCellStyle="Normal 2"/>
    <tableColumn id="6188" xr3:uid="{D3693EC8-6B17-4C50-ABD4-23B836D20508}" name="Column6173" dataCellStyle="Normal 2"/>
    <tableColumn id="6189" xr3:uid="{14661D1D-6796-42E6-BD02-20B408E2304E}" name="Column6174" dataCellStyle="Normal 2"/>
    <tableColumn id="6190" xr3:uid="{90868F1B-6F01-48B2-9773-ACCFD63BB1E6}" name="Column6175" dataCellStyle="Normal 2"/>
    <tableColumn id="6191" xr3:uid="{B0E7234E-3268-412D-9000-5E72445A5A0C}" name="Column6176" dataCellStyle="Normal 2"/>
    <tableColumn id="6192" xr3:uid="{1F6DDE90-719A-4097-A6EC-89539EA4606D}" name="Column6177" dataCellStyle="Normal 2"/>
    <tableColumn id="6193" xr3:uid="{BEB95F32-DFDA-4594-AC48-F8D17709A96C}" name="Column6178" dataCellStyle="Normal 2"/>
    <tableColumn id="6194" xr3:uid="{F06C1E61-06B1-4101-8DFB-AA4599222765}" name="Column6179" dataCellStyle="Normal 2"/>
    <tableColumn id="6195" xr3:uid="{439AC381-DBCD-43F9-A557-3B85B3CEED56}" name="Column6180" dataCellStyle="Normal 2"/>
    <tableColumn id="6196" xr3:uid="{2E570AD7-DE9E-4723-A9C1-52B29F16EDE5}" name="Column6181" dataCellStyle="Normal 2"/>
    <tableColumn id="6197" xr3:uid="{A32C9DC4-5F51-4D1E-96EC-48FA7E42A899}" name="Column6182" dataCellStyle="Normal 2"/>
    <tableColumn id="6198" xr3:uid="{F7D6B044-CDD1-4DE4-B425-FF80C05CA49D}" name="Column6183" dataCellStyle="Normal 2"/>
    <tableColumn id="6199" xr3:uid="{70D5DD5E-1591-490B-BE50-CE685F3E6666}" name="Column6184" dataCellStyle="Normal 2"/>
    <tableColumn id="6200" xr3:uid="{8A825F32-58D4-43F5-AADF-BF7B4E5AF286}" name="Column6185" dataCellStyle="Normal 2"/>
    <tableColumn id="6201" xr3:uid="{88EC07A5-BA80-44B9-8B29-AE65577CA830}" name="Column6186" dataCellStyle="Normal 2"/>
    <tableColumn id="6202" xr3:uid="{C5FB2D6B-5CFE-4EC8-BD9B-8C01ECFDB363}" name="Column6187" dataCellStyle="Normal 2"/>
    <tableColumn id="6203" xr3:uid="{51864826-B6D0-42C5-8B4D-573BD10886EA}" name="Column6188" dataCellStyle="Normal 2"/>
    <tableColumn id="6204" xr3:uid="{C614D986-E10C-461A-88B6-A57546F91F49}" name="Column6189" dataCellStyle="Normal 2"/>
    <tableColumn id="6205" xr3:uid="{8E6618E9-1A3A-47A1-925E-A914F3AD1182}" name="Column6190" dataCellStyle="Normal 2"/>
    <tableColumn id="6206" xr3:uid="{F6EEDC18-5944-4A49-9DB1-1EEB85E1C4A5}" name="Column6191" dataCellStyle="Normal 2"/>
    <tableColumn id="6207" xr3:uid="{FFCE476E-845F-4DCC-A56F-1ADE4E6FF25F}" name="Column6192" dataCellStyle="Normal 2"/>
    <tableColumn id="6208" xr3:uid="{551F3E90-E39C-4DD1-89A9-7220B800E768}" name="Column6193" dataCellStyle="Normal 2"/>
    <tableColumn id="6209" xr3:uid="{C39261CD-44DB-432E-B46E-5E81BE024DC2}" name="Column6194" dataCellStyle="Normal 2"/>
    <tableColumn id="6210" xr3:uid="{E838C32F-6B5D-4757-9802-BC54100D26F0}" name="Column6195" dataCellStyle="Normal 2"/>
    <tableColumn id="6211" xr3:uid="{6603DC0F-BDAF-4DAA-B421-18993775C871}" name="Column6196" dataCellStyle="Normal 2"/>
    <tableColumn id="6212" xr3:uid="{453CAB93-C22B-432A-B5D1-47FE0D7101A7}" name="Column6197" dataCellStyle="Normal 2"/>
    <tableColumn id="6213" xr3:uid="{28E888D0-B349-4431-8580-47F5AE698751}" name="Column6198" dataCellStyle="Normal 2"/>
    <tableColumn id="6214" xr3:uid="{121AD5FC-1D5D-4598-8F71-BC922A0A4507}" name="Column6199" dataCellStyle="Normal 2"/>
    <tableColumn id="6215" xr3:uid="{3B35411B-1594-441F-A1A5-F2669E400655}" name="Column6200" dataCellStyle="Normal 2"/>
    <tableColumn id="6216" xr3:uid="{9B361007-E0E3-49D2-8035-10914A220784}" name="Column6201" dataCellStyle="Normal 2"/>
    <tableColumn id="6217" xr3:uid="{FD7B6305-9F3A-436A-9505-B4E963ED8F5F}" name="Column6202" dataCellStyle="Normal 2"/>
    <tableColumn id="6218" xr3:uid="{CFA17112-EE77-4784-9DC6-0E7483042244}" name="Column6203" dataCellStyle="Normal 2"/>
    <tableColumn id="6219" xr3:uid="{9CBE5CA8-3F0B-4D55-9E41-ACFA3824A3A3}" name="Column6204" dataCellStyle="Normal 2"/>
    <tableColumn id="6220" xr3:uid="{F356568D-57E9-44C3-8FDB-25DF170B88DB}" name="Column6205" dataCellStyle="Normal 2"/>
    <tableColumn id="6221" xr3:uid="{0B1364F5-1F9C-4A48-A7BE-44DCC1FB56BE}" name="Column6206" dataCellStyle="Normal 2"/>
    <tableColumn id="6222" xr3:uid="{EF25D910-E816-4586-B0CF-136270062C47}" name="Column6207" dataCellStyle="Normal 2"/>
    <tableColumn id="6223" xr3:uid="{7B01CDF8-5D80-48CD-8210-A2EA8F2FEADB}" name="Column6208" dataCellStyle="Normal 2"/>
    <tableColumn id="6224" xr3:uid="{80F674C4-D22D-4DC9-AA5D-8ACB2DA57CEC}" name="Column6209" dataCellStyle="Normal 2"/>
    <tableColumn id="6225" xr3:uid="{7796D0FC-25A7-4D31-8877-404A00BABB6F}" name="Column6210" dataCellStyle="Normal 2"/>
    <tableColumn id="6226" xr3:uid="{736F458B-9112-49B7-8039-8D0C1CD9ECA7}" name="Column6211" dataCellStyle="Normal 2"/>
    <tableColumn id="6227" xr3:uid="{8CF650A7-07AA-44A7-9699-56EF3924D8EF}" name="Column6212" dataCellStyle="Normal 2"/>
    <tableColumn id="6228" xr3:uid="{A27B2656-0EE7-45E8-A651-930B7A03353E}" name="Column6213" dataCellStyle="Normal 2"/>
    <tableColumn id="6229" xr3:uid="{0E568CC4-F655-4E78-913C-B7484543E575}" name="Column6214" dataCellStyle="Normal 2"/>
    <tableColumn id="6230" xr3:uid="{C3093B81-ECD8-4C55-A548-0B8568E594B8}" name="Column6215" dataCellStyle="Normal 2"/>
    <tableColumn id="6231" xr3:uid="{1E88172B-8828-4F28-A948-FABAE93BDF40}" name="Column6216" dataCellStyle="Normal 2"/>
    <tableColumn id="6232" xr3:uid="{503B6A27-5010-4D02-ACC7-0AB3371EF909}" name="Column6217" dataCellStyle="Normal 2"/>
    <tableColumn id="6233" xr3:uid="{F0AAF8FB-C588-4DEC-8A5B-D50E16A34A8F}" name="Column6218" dataCellStyle="Normal 2"/>
    <tableColumn id="6234" xr3:uid="{8E4C598E-C54F-43A1-9E9E-DFBFC735E220}" name="Column6219" dataCellStyle="Normal 2"/>
    <tableColumn id="6235" xr3:uid="{B82600B3-B2D2-4217-8B11-84F2A91ADA34}" name="Column6220" dataCellStyle="Normal 2"/>
    <tableColumn id="6236" xr3:uid="{CC994975-1750-4CFF-84A0-8AF5EDE46BE0}" name="Column6221" dataCellStyle="Normal 2"/>
    <tableColumn id="6237" xr3:uid="{940EF3DB-EABB-4E83-992C-9A4CDC80DD9E}" name="Column6222" dataCellStyle="Normal 2"/>
    <tableColumn id="6238" xr3:uid="{A232E019-8B89-4BA7-8DA7-4248B7CE9170}" name="Column6223" dataCellStyle="Normal 2"/>
    <tableColumn id="6239" xr3:uid="{ABC889F3-6762-4C32-B028-C06B0067F07A}" name="Column6224" dataCellStyle="Normal 2"/>
    <tableColumn id="6240" xr3:uid="{6F090F4A-9FAC-4AB8-965D-D4BB3C769D01}" name="Column6225" dataCellStyle="Normal 2"/>
    <tableColumn id="6241" xr3:uid="{E0A59032-E16E-4A80-89FD-902A61AB3A4C}" name="Column6226" dataCellStyle="Normal 2"/>
    <tableColumn id="6242" xr3:uid="{CB929FE2-6A9E-48E0-B883-9D49E881B74A}" name="Column6227" dataCellStyle="Normal 2"/>
    <tableColumn id="6243" xr3:uid="{4BF35E57-273D-4241-AF2B-4F4F3EE3FC36}" name="Column6228" dataCellStyle="Normal 2"/>
    <tableColumn id="6244" xr3:uid="{66701511-FD37-4392-A7F4-923FE8C8E760}" name="Column6229" dataCellStyle="Normal 2"/>
    <tableColumn id="6245" xr3:uid="{5E5BB5A1-6A13-4E19-A199-42245247BDA8}" name="Column6230" dataCellStyle="Normal 2"/>
    <tableColumn id="6246" xr3:uid="{BD23531D-DEA2-4DCE-81D0-C248C54D4254}" name="Column6231" dataCellStyle="Normal 2"/>
    <tableColumn id="6247" xr3:uid="{88773A16-AC17-40CE-A9F6-87C8463E2FC3}" name="Column6232" dataCellStyle="Normal 2"/>
    <tableColumn id="6248" xr3:uid="{E270E340-42EC-4BC4-96BD-25531CBB29B8}" name="Column6233" dataCellStyle="Normal 2"/>
    <tableColumn id="6249" xr3:uid="{93BD32A8-0B5A-4623-B026-9B41C3C1C579}" name="Column6234" dataCellStyle="Normal 2"/>
    <tableColumn id="6250" xr3:uid="{3DF944A2-BF6D-485C-9901-48DE2F3FA147}" name="Column6235" dataCellStyle="Normal 2"/>
    <tableColumn id="6251" xr3:uid="{A91BE51C-7471-4FD0-BCDD-61BAAF1A9C68}" name="Column6236" dataCellStyle="Normal 2"/>
    <tableColumn id="6252" xr3:uid="{65E26A33-39E6-4285-AD74-E827CC8FECFF}" name="Column6237" dataCellStyle="Normal 2"/>
    <tableColumn id="6253" xr3:uid="{D6CE6714-23C9-4884-8426-495BD5254E09}" name="Column6238" dataCellStyle="Normal 2"/>
    <tableColumn id="6254" xr3:uid="{353EEE30-8AC4-4DFF-81D2-320753EB15D4}" name="Column6239" dataCellStyle="Normal 2"/>
    <tableColumn id="6255" xr3:uid="{E0A56AA2-96A4-492F-A989-4B725005657D}" name="Column6240" dataCellStyle="Normal 2"/>
    <tableColumn id="6256" xr3:uid="{68CD5F5A-5DDE-46FC-988A-110772738E14}" name="Column6241" dataCellStyle="Normal 2"/>
    <tableColumn id="6257" xr3:uid="{80EDAFAD-A8BA-4EA5-98DD-A2039A5D4EEA}" name="Column6242" dataCellStyle="Normal 2"/>
    <tableColumn id="6258" xr3:uid="{5C739E4E-6CEE-47F4-931B-59036204D0D5}" name="Column6243" dataCellStyle="Normal 2"/>
    <tableColumn id="6259" xr3:uid="{CF559D50-9891-41F0-A45D-860EA81ABCB0}" name="Column6244" dataCellStyle="Normal 2"/>
    <tableColumn id="6260" xr3:uid="{E9855AE5-5071-4FC8-BEDE-3048172D1832}" name="Column6245" dataCellStyle="Normal 2"/>
    <tableColumn id="6261" xr3:uid="{EBF45313-69F2-4396-8267-45B5B4A654B5}" name="Column6246" dataCellStyle="Normal 2"/>
    <tableColumn id="6262" xr3:uid="{BF94FB80-FD66-45E3-A703-7BB528F3F32B}" name="Column6247" dataCellStyle="Normal 2"/>
    <tableColumn id="6263" xr3:uid="{496737B6-EE02-4A3E-B386-CC697BF7C669}" name="Column6248" dataCellStyle="Normal 2"/>
    <tableColumn id="6264" xr3:uid="{56D61306-D385-4527-809B-B3816DFCA797}" name="Column6249" dataCellStyle="Normal 2"/>
    <tableColumn id="6265" xr3:uid="{0F181CCB-33B5-4A16-AE75-82648441019E}" name="Column6250" dataCellStyle="Normal 2"/>
    <tableColumn id="6266" xr3:uid="{7638DCEE-F510-4953-9E59-6EC1E40ECABA}" name="Column6251" dataCellStyle="Normal 2"/>
    <tableColumn id="6267" xr3:uid="{AF865CDA-F4C8-4BFB-9E0C-13606D675BF6}" name="Column6252" dataCellStyle="Normal 2"/>
    <tableColumn id="6268" xr3:uid="{A90AAB78-D3B8-44E5-B678-E48A17FDCAC7}" name="Column6253" dataCellStyle="Normal 2"/>
    <tableColumn id="6269" xr3:uid="{D1185718-E7AB-4AF7-AEDD-5433E021F952}" name="Column6254" dataCellStyle="Normal 2"/>
    <tableColumn id="6270" xr3:uid="{C211D1DC-C620-47BD-8340-C0DB6EE7BB88}" name="Column6255" dataCellStyle="Normal 2"/>
    <tableColumn id="6271" xr3:uid="{219EEC36-00C7-4396-9989-0660FC9121D4}" name="Column6256" dataCellStyle="Normal 2"/>
    <tableColumn id="6272" xr3:uid="{24F615F8-D2C4-4AC3-9F1A-A84F866E8E25}" name="Column6257" dataCellStyle="Normal 2"/>
    <tableColumn id="6273" xr3:uid="{22A412FC-D5B7-4A61-9041-89E5DC572D02}" name="Column6258" dataCellStyle="Normal 2"/>
    <tableColumn id="6274" xr3:uid="{F866E607-7890-4D7C-9F80-9474096FBF71}" name="Column6259" dataCellStyle="Normal 2"/>
    <tableColumn id="6275" xr3:uid="{4DCC3026-B9E8-4B46-AC59-7CE6A20026B3}" name="Column6260" dataCellStyle="Normal 2"/>
    <tableColumn id="6276" xr3:uid="{7781AD90-065F-4F94-9A28-863EFD1581B6}" name="Column6261" dataCellStyle="Normal 2"/>
    <tableColumn id="6277" xr3:uid="{E9C8C0CA-BDDA-4977-BC65-E72FABE03257}" name="Column6262" dataCellStyle="Normal 2"/>
    <tableColumn id="6278" xr3:uid="{DAF3B3FF-4AF4-44D8-9498-264AD56F44DF}" name="Column6263" dataCellStyle="Normal 2"/>
    <tableColumn id="6279" xr3:uid="{325BEB75-318C-44FF-9A83-367D9CF11876}" name="Column6264" dataCellStyle="Normal 2"/>
    <tableColumn id="6280" xr3:uid="{8636C48B-0C5C-45D7-B78F-F80DE8B03A60}" name="Column6265" dataCellStyle="Normal 2"/>
    <tableColumn id="6281" xr3:uid="{4392D61B-C150-44E8-BCA9-46DA79ACF1F6}" name="Column6266" dataCellStyle="Normal 2"/>
    <tableColumn id="6282" xr3:uid="{57607691-B25B-4F26-8503-7EF02DB95D5A}" name="Column6267" dataCellStyle="Normal 2"/>
    <tableColumn id="6283" xr3:uid="{C66A47A3-873C-43A0-B373-367FD96CC547}" name="Column6268" dataCellStyle="Normal 2"/>
    <tableColumn id="6284" xr3:uid="{5AE21A2B-163A-4A82-8909-4625229E65C0}" name="Column6269" dataCellStyle="Normal 2"/>
    <tableColumn id="6285" xr3:uid="{D8B9BD56-EEAA-48A4-A277-1A7DACE61676}" name="Column6270" dataCellStyle="Normal 2"/>
    <tableColumn id="6286" xr3:uid="{E640C429-6BD9-4368-B502-E57C09C8A6C2}" name="Column6271" dataCellStyle="Normal 2"/>
    <tableColumn id="6287" xr3:uid="{FCE7E71C-E214-4C74-9CA8-95D84EADB240}" name="Column6272" dataCellStyle="Normal 2"/>
    <tableColumn id="6288" xr3:uid="{A95B1FF7-1F98-4AEB-A305-95490AAFCB40}" name="Column6273" dataCellStyle="Normal 2"/>
    <tableColumn id="6289" xr3:uid="{637553C0-C82D-4DB7-A419-33F4640282D2}" name="Column6274" dataCellStyle="Normal 2"/>
    <tableColumn id="6290" xr3:uid="{8DD8FDAB-4269-437F-AAFE-1D3E8D9DC0A4}" name="Column6275" dataCellStyle="Normal 2"/>
    <tableColumn id="6291" xr3:uid="{6C7D0727-5DE8-4B6B-A891-44408047DDD4}" name="Column6276" dataCellStyle="Normal 2"/>
    <tableColumn id="6292" xr3:uid="{CA0B1E58-162B-48B9-A58B-9E6F15F8D504}" name="Column6277" dataCellStyle="Normal 2"/>
    <tableColumn id="6293" xr3:uid="{876D437D-CBFF-429E-BC44-19B2419D38BF}" name="Column6278" dataCellStyle="Normal 2"/>
    <tableColumn id="6294" xr3:uid="{83E67EAA-43C5-496A-B315-685B211127AB}" name="Column6279" dataCellStyle="Normal 2"/>
    <tableColumn id="6295" xr3:uid="{C8BAF2FB-4EFD-4728-B049-0A8FA03A34F0}" name="Column6280" dataCellStyle="Normal 2"/>
    <tableColumn id="6296" xr3:uid="{C577E753-5E03-4FAC-8F71-32ECBF6B3C1D}" name="Column6281" dataCellStyle="Normal 2"/>
    <tableColumn id="6297" xr3:uid="{DE31C64E-C1B4-4CEE-97E2-E83352A630EB}" name="Column6282" dataCellStyle="Normal 2"/>
    <tableColumn id="6298" xr3:uid="{CA86BC30-7421-4A1C-BE43-A68E187C911B}" name="Column6283" dataCellStyle="Normal 2"/>
    <tableColumn id="6299" xr3:uid="{972136B6-9C1F-4328-8417-462E1AB806C7}" name="Column6284" dataCellStyle="Normal 2"/>
    <tableColumn id="6300" xr3:uid="{BDAB0742-0E6E-4D83-81B9-0DB534122D9F}" name="Column6285" dataCellStyle="Normal 2"/>
    <tableColumn id="6301" xr3:uid="{B668841A-DC33-4E7E-96D0-95D18B52F8BC}" name="Column6286" dataCellStyle="Normal 2"/>
    <tableColumn id="6302" xr3:uid="{90318A06-C941-4722-BD79-5CD4D81F8765}" name="Column6287" dataCellStyle="Normal 2"/>
    <tableColumn id="6303" xr3:uid="{83006CBC-C756-451C-87BD-31E50EFC0C46}" name="Column6288" dataCellStyle="Normal 2"/>
    <tableColumn id="6304" xr3:uid="{73ADDAD5-10CF-4CF4-9FF9-13020A66FA70}" name="Column6289" dataCellStyle="Normal 2"/>
    <tableColumn id="6305" xr3:uid="{1131FB64-3B9E-4266-80DA-98A66E708931}" name="Column6290" dataCellStyle="Normal 2"/>
    <tableColumn id="6306" xr3:uid="{2ACC4572-0E9E-4DA4-8DD2-505E89B54F8A}" name="Column6291" dataCellStyle="Normal 2"/>
    <tableColumn id="6307" xr3:uid="{177E8C74-CB68-4562-B2B5-02594FC6932F}" name="Column6292" dataCellStyle="Normal 2"/>
    <tableColumn id="6308" xr3:uid="{246AAA83-C883-4981-BB7C-0FC1A95DC122}" name="Column6293" dataCellStyle="Normal 2"/>
    <tableColumn id="6309" xr3:uid="{08A1FDB5-9BDB-4D57-8F40-29BBA1DB55B4}" name="Column6294" dataCellStyle="Normal 2"/>
    <tableColumn id="6310" xr3:uid="{BB026E8F-ABEA-47C6-B99A-A3C2D70E6AA7}" name="Column6295" dataCellStyle="Normal 2"/>
    <tableColumn id="6311" xr3:uid="{55BA8B25-3C8B-4923-906A-4D11EF5649BE}" name="Column6296" dataCellStyle="Normal 2"/>
    <tableColumn id="6312" xr3:uid="{85FF4EA4-9698-450A-A548-4F13A2C4CA2B}" name="Column6297" dataCellStyle="Normal 2"/>
    <tableColumn id="6313" xr3:uid="{C133BACB-C757-40E4-AE85-006BF3F6E27F}" name="Column6298" dataCellStyle="Normal 2"/>
    <tableColumn id="6314" xr3:uid="{2B0C0C1F-EAA6-4DC3-BE06-186959B2D37F}" name="Column6299" dataCellStyle="Normal 2"/>
    <tableColumn id="6315" xr3:uid="{113EF9D3-86DB-4F53-85FF-9CE25D551F96}" name="Column6300" dataCellStyle="Normal 2"/>
    <tableColumn id="6316" xr3:uid="{CE6637BD-385B-4ABE-AD13-19CE7231607E}" name="Column6301" dataCellStyle="Normal 2"/>
    <tableColumn id="6317" xr3:uid="{32758469-4354-449F-8842-E02F718E874C}" name="Column6302" dataCellStyle="Normal 2"/>
    <tableColumn id="6318" xr3:uid="{A21BB8CC-093B-4A70-8B72-66492CB6D73A}" name="Column6303" dataCellStyle="Normal 2"/>
    <tableColumn id="6319" xr3:uid="{E37BA81F-DFCA-46DB-92B2-CEEAEEDAFCB1}" name="Column6304" dataCellStyle="Normal 2"/>
    <tableColumn id="6320" xr3:uid="{465AB268-3DA7-4CA8-AD79-946637EDFB71}" name="Column6305" dataCellStyle="Normal 2"/>
    <tableColumn id="6321" xr3:uid="{5B21B3C5-C907-4A56-BC62-433F45A6B24C}" name="Column6306" dataCellStyle="Normal 2"/>
    <tableColumn id="6322" xr3:uid="{74511AC6-DB74-4D84-B95A-10DAFDC81143}" name="Column6307" dataCellStyle="Normal 2"/>
    <tableColumn id="6323" xr3:uid="{04A42748-769B-4E5C-AD01-8BF03E74D457}" name="Column6308" dataCellStyle="Normal 2"/>
    <tableColumn id="6324" xr3:uid="{7BB27383-967D-4D90-B9E8-2B41359E3C9D}" name="Column6309" dataCellStyle="Normal 2"/>
    <tableColumn id="6325" xr3:uid="{EFD259E6-B827-458B-9F81-C440686AAFA5}" name="Column6310" dataCellStyle="Normal 2"/>
    <tableColumn id="6326" xr3:uid="{B2D9F43D-CD80-42A5-9CF5-359DAD12C8C5}" name="Column6311" dataCellStyle="Normal 2"/>
    <tableColumn id="6327" xr3:uid="{27B9B0B4-D66F-4A7F-AA36-C2B443FD4653}" name="Column6312" dataCellStyle="Normal 2"/>
    <tableColumn id="6328" xr3:uid="{AD0D3052-87E5-4989-B820-CFD11623856F}" name="Column6313" dataCellStyle="Normal 2"/>
    <tableColumn id="6329" xr3:uid="{F7A3CF85-47DA-4B28-9136-707D3F2F9304}" name="Column6314" dataCellStyle="Normal 2"/>
    <tableColumn id="6330" xr3:uid="{03AEB977-6C10-4477-A980-B5C275376DB2}" name="Column6315" dataCellStyle="Normal 2"/>
    <tableColumn id="6331" xr3:uid="{3B6AD184-F8E7-458C-BFAA-73CE74B74DF2}" name="Column6316" dataCellStyle="Normal 2"/>
    <tableColumn id="6332" xr3:uid="{4F7BCC6A-A259-44BC-BBE0-912F75CB05F6}" name="Column6317" dataCellStyle="Normal 2"/>
    <tableColumn id="6333" xr3:uid="{BDDD96CC-A50B-49E4-95FB-DE4633A37FBB}" name="Column6318" dataCellStyle="Normal 2"/>
    <tableColumn id="6334" xr3:uid="{D677425D-A88C-4E9A-A2F4-A50F2053F355}" name="Column6319" dataCellStyle="Normal 2"/>
    <tableColumn id="6335" xr3:uid="{02C03E41-D679-4F0E-8507-5A8ACAC579BB}" name="Column6320" dataCellStyle="Normal 2"/>
    <tableColumn id="6336" xr3:uid="{3DB37482-2796-47F1-A4AB-0211DD770D9F}" name="Column6321" dataCellStyle="Normal 2"/>
    <tableColumn id="6337" xr3:uid="{99495B0D-4F56-4BAE-B660-953EDB15A03C}" name="Column6322" dataCellStyle="Normal 2"/>
    <tableColumn id="6338" xr3:uid="{21447FD5-408F-49E9-8005-F29351C5970E}" name="Column6323" dataCellStyle="Normal 2"/>
    <tableColumn id="6339" xr3:uid="{50F29999-559C-4A3D-81B7-821769074A47}" name="Column6324" dataCellStyle="Normal 2"/>
    <tableColumn id="6340" xr3:uid="{DF443F15-AE9E-48A7-9174-8C815D63BC04}" name="Column6325" dataCellStyle="Normal 2"/>
    <tableColumn id="6341" xr3:uid="{3D0DC48F-8052-4E78-8DCC-D4044D78F496}" name="Column6326" dataCellStyle="Normal 2"/>
    <tableColumn id="6342" xr3:uid="{ECE65574-C9C3-4E6C-BD45-E8E71430440F}" name="Column6327" dataCellStyle="Normal 2"/>
    <tableColumn id="6343" xr3:uid="{99467E14-3D00-4A8C-896A-6E8C53F498A9}" name="Column6328" dataCellStyle="Normal 2"/>
    <tableColumn id="6344" xr3:uid="{69EA7521-7C00-41BE-AFC4-4FC4022D4772}" name="Column6329" dataCellStyle="Normal 2"/>
    <tableColumn id="6345" xr3:uid="{8C4D64A3-AA89-4395-8484-0493AC8ED874}" name="Column6330" dataCellStyle="Normal 2"/>
    <tableColumn id="6346" xr3:uid="{80A0D190-DC77-49A9-93F7-8ACD9320F0D3}" name="Column6331" dataCellStyle="Normal 2"/>
    <tableColumn id="6347" xr3:uid="{2C4CCEFE-9AB0-434C-B327-640B7AD44C93}" name="Column6332" dataCellStyle="Normal 2"/>
    <tableColumn id="6348" xr3:uid="{902B76FA-077D-4E0F-AFDD-0E0FB2A8AA62}" name="Column6333" dataCellStyle="Normal 2"/>
    <tableColumn id="6349" xr3:uid="{3338F4C3-C8BD-4A81-94AA-C89047A3A5CD}" name="Column6334" dataCellStyle="Normal 2"/>
    <tableColumn id="6350" xr3:uid="{C22E0E5B-24D0-4F57-83F6-6AC275B9ECAC}" name="Column6335" dataCellStyle="Normal 2"/>
    <tableColumn id="6351" xr3:uid="{F87AE542-544B-433C-BDA9-1373F54F2BF4}" name="Column6336" dataCellStyle="Normal 2"/>
    <tableColumn id="6352" xr3:uid="{F32A43A2-E997-4C4D-B939-E0C40DE4E0DD}" name="Column6337" dataCellStyle="Normal 2"/>
    <tableColumn id="6353" xr3:uid="{1CDE1343-32FE-4575-AA61-952AD851BD2F}" name="Column6338" dataCellStyle="Normal 2"/>
    <tableColumn id="6354" xr3:uid="{225FD673-C9FB-4288-989C-0A842F31C2E6}" name="Column6339" dataCellStyle="Normal 2"/>
    <tableColumn id="6355" xr3:uid="{7ABFBC17-DE3C-4712-8FC9-3969212748B1}" name="Column6340" dataCellStyle="Normal 2"/>
    <tableColumn id="6356" xr3:uid="{514907D1-AAEE-44A5-A49E-03E482330BDB}" name="Column6341" dataCellStyle="Normal 2"/>
    <tableColumn id="6357" xr3:uid="{F3024D79-9BFE-41ED-9D8D-D947BCF31D5C}" name="Column6342" dataCellStyle="Normal 2"/>
    <tableColumn id="6358" xr3:uid="{16F2B0FF-D095-4D2E-B186-F70F1A4B0524}" name="Column6343" dataCellStyle="Normal 2"/>
    <tableColumn id="6359" xr3:uid="{C735DB75-4868-4C89-831C-C1FD89FCA04C}" name="Column6344" dataCellStyle="Normal 2"/>
    <tableColumn id="6360" xr3:uid="{0237B4D3-884B-4E2E-8693-7F2782B2B910}" name="Column6345" dataCellStyle="Normal 2"/>
    <tableColumn id="6361" xr3:uid="{58DE0E70-C128-47EA-A384-8FB22126975E}" name="Column6346" dataCellStyle="Normal 2"/>
    <tableColumn id="6362" xr3:uid="{71ABBFF4-76CE-436D-969C-E81293A6CAB2}" name="Column6347" dataCellStyle="Normal 2"/>
    <tableColumn id="6363" xr3:uid="{C9513260-0411-4B20-9817-6BA41D429E8D}" name="Column6348" dataCellStyle="Normal 2"/>
    <tableColumn id="6364" xr3:uid="{2DB3EEE5-F70E-4426-8EE6-BE3B72146225}" name="Column6349" dataCellStyle="Normal 2"/>
    <tableColumn id="6365" xr3:uid="{E9572679-3875-4A30-8394-AC24CC3A908C}" name="Column6350" dataCellStyle="Normal 2"/>
    <tableColumn id="6366" xr3:uid="{C0CE5441-E41F-4C06-BD98-278BC0D4D0F5}" name="Column6351" dataCellStyle="Normal 2"/>
    <tableColumn id="6367" xr3:uid="{8B73778E-D744-4AF1-A0F5-ED9292B107EB}" name="Column6352" dataCellStyle="Normal 2"/>
    <tableColumn id="6368" xr3:uid="{35134E27-5CF8-4CDE-B327-16818E402A17}" name="Column6353" dataCellStyle="Normal 2"/>
    <tableColumn id="6369" xr3:uid="{6AAB609B-0CF7-4AC9-A2D3-63D0267EFD73}" name="Column6354" dataCellStyle="Normal 2"/>
    <tableColumn id="6370" xr3:uid="{8CF3C9B9-71DD-47C1-BC54-7C7B315CB3B1}" name="Column6355" dataCellStyle="Normal 2"/>
    <tableColumn id="6371" xr3:uid="{54FA849A-FAB4-464E-9722-5A411E13FFFB}" name="Column6356" dataCellStyle="Normal 2"/>
    <tableColumn id="6372" xr3:uid="{9D058A75-E6E1-42EC-9A36-D01769012AF3}" name="Column6357" dataCellStyle="Normal 2"/>
    <tableColumn id="6373" xr3:uid="{488BC8FA-D1B4-4358-A692-F4248D88AB9E}" name="Column6358" dataCellStyle="Normal 2"/>
    <tableColumn id="6374" xr3:uid="{21EB0F30-B937-4B92-8EC0-ACF8F6B15490}" name="Column6359" dataCellStyle="Normal 2"/>
    <tableColumn id="6375" xr3:uid="{F2C9EF2C-C06A-4EAF-B8E8-C03C0DA91FFA}" name="Column6360" dataCellStyle="Normal 2"/>
    <tableColumn id="6376" xr3:uid="{C3918D41-D998-4C5A-8C4F-A49CF339DC50}" name="Column6361" dataCellStyle="Normal 2"/>
    <tableColumn id="6377" xr3:uid="{68E2B62E-6B93-4B13-9A5F-CB94F9187167}" name="Column6362" dataCellStyle="Normal 2"/>
    <tableColumn id="6378" xr3:uid="{C1E8EFAB-BC36-4773-9D01-40945D54AC5C}" name="Column6363" dataCellStyle="Normal 2"/>
    <tableColumn id="6379" xr3:uid="{B08EDB47-37AA-401A-8616-F4E2B0FE1163}" name="Column6364" dataCellStyle="Normal 2"/>
    <tableColumn id="6380" xr3:uid="{CF6AB55C-BBB4-439E-ADE0-E8B92A055809}" name="Column6365" dataCellStyle="Normal 2"/>
    <tableColumn id="6381" xr3:uid="{F7D13CA7-6E9D-4961-B7A0-A70B300D998C}" name="Column6366" dataCellStyle="Normal 2"/>
    <tableColumn id="6382" xr3:uid="{EBFDB2FA-E6B8-416B-A3A8-615744A21DE4}" name="Column6367" dataCellStyle="Normal 2"/>
    <tableColumn id="6383" xr3:uid="{997D7E8F-C452-4835-BEFF-64E8B523DE58}" name="Column6368" dataCellStyle="Normal 2"/>
    <tableColumn id="6384" xr3:uid="{DB47FB44-A06F-4419-A4AF-3F3B70C83D64}" name="Column6369" dataCellStyle="Normal 2"/>
    <tableColumn id="6385" xr3:uid="{EAC4F3D9-99D2-4123-AAE6-A2A7560FD0CA}" name="Column6370" dataCellStyle="Normal 2"/>
    <tableColumn id="6386" xr3:uid="{6ED43FDA-CEF2-44B3-9E98-C0AF7C525B2E}" name="Column6371" dataCellStyle="Normal 2"/>
    <tableColumn id="6387" xr3:uid="{F5E3867C-8901-4212-BCA5-44C5B8D50547}" name="Column6372" dataCellStyle="Normal 2"/>
    <tableColumn id="6388" xr3:uid="{808ED73F-F34B-4A38-BE34-EEB5BEA21188}" name="Column6373" dataCellStyle="Normal 2"/>
    <tableColumn id="6389" xr3:uid="{BAF725A4-5AD6-4D86-8063-FBE9158C8B75}" name="Column6374" dataCellStyle="Normal 2"/>
    <tableColumn id="6390" xr3:uid="{C170AF58-5894-448B-968E-626234660364}" name="Column6375" dataCellStyle="Normal 2"/>
    <tableColumn id="6391" xr3:uid="{B95302BE-96C1-4705-8F8B-57B0629B290F}" name="Column6376" dataCellStyle="Normal 2"/>
    <tableColumn id="6392" xr3:uid="{89538F1A-847C-4E45-A110-7D96DA6509EE}" name="Column6377" dataCellStyle="Normal 2"/>
    <tableColumn id="6393" xr3:uid="{5D82D237-A7CC-48F0-A126-6FB5E9635B97}" name="Column6378" dataCellStyle="Normal 2"/>
    <tableColumn id="6394" xr3:uid="{9EEB3DA8-6204-4D7F-BFF7-9709EEF8A999}" name="Column6379" dataCellStyle="Normal 2"/>
    <tableColumn id="6395" xr3:uid="{8AD0CC9B-8074-46FA-BF1C-0BFAB5B7E7AF}" name="Column6380" dataCellStyle="Normal 2"/>
    <tableColumn id="6396" xr3:uid="{ECADFEB7-5C34-4656-85FD-957AFF157D17}" name="Column6381" dataCellStyle="Normal 2"/>
    <tableColumn id="6397" xr3:uid="{955D53F7-0B98-4BFC-AC04-CB32ACA2400E}" name="Column6382" dataCellStyle="Normal 2"/>
    <tableColumn id="6398" xr3:uid="{9E22EB31-9131-4D44-8D0C-27290C1963F0}" name="Column6383" dataCellStyle="Normal 2"/>
    <tableColumn id="6399" xr3:uid="{D9977528-BA9C-460F-96F9-580B11E0C5F1}" name="Column6384" dataCellStyle="Normal 2"/>
    <tableColumn id="6400" xr3:uid="{8CD02D6E-C44B-4B9C-A851-FB5DA3600F4F}" name="Column6385" dataCellStyle="Normal 2"/>
    <tableColumn id="6401" xr3:uid="{8152D8FD-401A-4BAF-96B9-FEBC7AD8DCD2}" name="Column6386" dataCellStyle="Normal 2"/>
    <tableColumn id="6402" xr3:uid="{66985184-830D-4283-874A-E395E3C49CDF}" name="Column6387" dataCellStyle="Normal 2"/>
    <tableColumn id="6403" xr3:uid="{7DF74649-B273-4D0D-9ADF-08E135857079}" name="Column6388" dataCellStyle="Normal 2"/>
    <tableColumn id="6404" xr3:uid="{85AAA375-9943-453F-981E-51DB70B111AF}" name="Column6389" dataCellStyle="Normal 2"/>
    <tableColumn id="6405" xr3:uid="{2FEAEE03-3165-42ED-8EE5-4C879E56669C}" name="Column6390" dataCellStyle="Normal 2"/>
    <tableColumn id="6406" xr3:uid="{675AB520-7ADC-403F-B945-E7576F65DA45}" name="Column6391" dataCellStyle="Normal 2"/>
    <tableColumn id="6407" xr3:uid="{D8322EAC-93A1-4BCD-B40C-13DFEDAB83D0}" name="Column6392" dataCellStyle="Normal 2"/>
    <tableColumn id="6408" xr3:uid="{66F38966-0937-45C8-99EB-1ACE23FAA42C}" name="Column6393" dataCellStyle="Normal 2"/>
    <tableColumn id="6409" xr3:uid="{F977A57C-145A-4F4A-92F4-4A0DA520ED84}" name="Column6394" dataCellStyle="Normal 2"/>
    <tableColumn id="6410" xr3:uid="{093AE01D-C002-4DF5-9E0D-B946A79815B0}" name="Column6395" dataCellStyle="Normal 2"/>
    <tableColumn id="6411" xr3:uid="{35B426CD-5A52-4C25-A263-88E098B11E46}" name="Column6396" dataCellStyle="Normal 2"/>
    <tableColumn id="6412" xr3:uid="{1011E3A5-5372-4E6C-87B1-8E3CDBDBFAC9}" name="Column6397" dataCellStyle="Normal 2"/>
    <tableColumn id="6413" xr3:uid="{17B395D6-971C-452A-A12D-9980D94FE558}" name="Column6398" dataCellStyle="Normal 2"/>
    <tableColumn id="6414" xr3:uid="{E814D641-E5BA-41C8-8981-9DA58FB7101A}" name="Column6399" dataCellStyle="Normal 2"/>
    <tableColumn id="6415" xr3:uid="{91780234-28A3-4171-9AAC-2480F7F133D0}" name="Column6400" dataCellStyle="Normal 2"/>
    <tableColumn id="6416" xr3:uid="{D4A2F2AA-77A0-4707-A8DD-47DC6816EC2F}" name="Column6401" dataCellStyle="Normal 2"/>
    <tableColumn id="6417" xr3:uid="{DFC662AB-BEB1-4C7F-9CDA-38C025262D07}" name="Column6402" dataCellStyle="Normal 2"/>
    <tableColumn id="6418" xr3:uid="{83011760-CDE3-476E-9748-BD0D4DA2907C}" name="Column6403" dataCellStyle="Normal 2"/>
    <tableColumn id="6419" xr3:uid="{D233CEE7-56CC-40C0-9FA2-AC6350464C40}" name="Column6404" dataCellStyle="Normal 2"/>
    <tableColumn id="6420" xr3:uid="{AA69AF15-01FF-49F4-B32C-AED4FFE7845E}" name="Column6405" dataCellStyle="Normal 2"/>
    <tableColumn id="6421" xr3:uid="{FA2D8F54-541D-49E8-B65F-B0467D6BC6C4}" name="Column6406" dataCellStyle="Normal 2"/>
    <tableColumn id="6422" xr3:uid="{1F9893DC-8AE5-414A-8B27-B9DD980FB0E1}" name="Column6407" dataCellStyle="Normal 2"/>
    <tableColumn id="6423" xr3:uid="{3A028CE7-98DE-4EB9-91F1-277571E58B72}" name="Column6408" dataCellStyle="Normal 2"/>
    <tableColumn id="6424" xr3:uid="{DDE7F918-147C-4E1A-9A8E-4B265A8538FF}" name="Column6409" dataCellStyle="Normal 2"/>
    <tableColumn id="6425" xr3:uid="{2378DF67-EEA1-4D74-8564-2E967DAE4441}" name="Column6410" dataCellStyle="Normal 2"/>
    <tableColumn id="6426" xr3:uid="{12402D09-EA72-4555-9F65-EE0B1FEC5ED9}" name="Column6411" dataCellStyle="Normal 2"/>
    <tableColumn id="6427" xr3:uid="{6D3A9DFC-2391-4E25-A0B5-499C2F33860E}" name="Column6412" dataCellStyle="Normal 2"/>
    <tableColumn id="6428" xr3:uid="{1DFC4897-72B6-4696-96E3-2379BDCC04B3}" name="Column6413" dataCellStyle="Normal 2"/>
    <tableColumn id="6429" xr3:uid="{AFDE1B7C-A63B-4E66-A81D-44E65BAD964B}" name="Column6414" dataCellStyle="Normal 2"/>
    <tableColumn id="6430" xr3:uid="{A856C89C-012C-406D-9AA8-45A2CBAE45D7}" name="Column6415" dataCellStyle="Normal 2"/>
    <tableColumn id="6431" xr3:uid="{38937D75-267A-40A6-B872-111CC1D5FA9A}" name="Column6416" dataCellStyle="Normal 2"/>
    <tableColumn id="6432" xr3:uid="{1BD0BCE3-B0D3-4485-8794-4E08858874C6}" name="Column6417" dataCellStyle="Normal 2"/>
    <tableColumn id="6433" xr3:uid="{4BC93FB3-7AD6-47BC-9686-148990D33182}" name="Column6418" dataCellStyle="Normal 2"/>
    <tableColumn id="6434" xr3:uid="{23A38C8D-8905-42EF-B275-62D42B8DC81A}" name="Column6419" dataCellStyle="Normal 2"/>
    <tableColumn id="6435" xr3:uid="{752C31BE-5552-4369-A403-DE813A141E6E}" name="Column6420" dataCellStyle="Normal 2"/>
    <tableColumn id="6436" xr3:uid="{7B02993C-9DCB-4E8E-B10A-7E0CE9B93944}" name="Column6421" dataCellStyle="Normal 2"/>
    <tableColumn id="6437" xr3:uid="{35AC166C-7F73-4EBF-84EE-28725DBA3DA3}" name="Column6422" dataCellStyle="Normal 2"/>
    <tableColumn id="6438" xr3:uid="{88ED25A8-F83D-4E26-B8E4-774C7F828F05}" name="Column6423" dataCellStyle="Normal 2"/>
    <tableColumn id="6439" xr3:uid="{2530DEBD-3958-45A2-AEF0-61ABC896ACEF}" name="Column6424" dataCellStyle="Normal 2"/>
    <tableColumn id="6440" xr3:uid="{77C5EADF-FE23-4FFA-B035-731195580FD3}" name="Column6425" dataCellStyle="Normal 2"/>
    <tableColumn id="6441" xr3:uid="{51082CE4-B810-4C44-8ACE-BF604DC6B173}" name="Column6426" dataCellStyle="Normal 2"/>
    <tableColumn id="6442" xr3:uid="{337F243E-FB77-4DCE-833B-DF868969A1F3}" name="Column6427" dataCellStyle="Normal 2"/>
    <tableColumn id="6443" xr3:uid="{F7989692-AD70-40DF-A3C9-D1FC3E5C8A8F}" name="Column6428" dataCellStyle="Normal 2"/>
    <tableColumn id="6444" xr3:uid="{C3DAA905-E9BB-4A69-96EF-8B93345C6839}" name="Column6429" dataCellStyle="Normal 2"/>
    <tableColumn id="6445" xr3:uid="{503F26F9-22A8-4308-B0A4-A34316A4096F}" name="Column6430" dataCellStyle="Normal 2"/>
    <tableColumn id="6446" xr3:uid="{0DDF5A12-F361-490A-97BD-C256023194A5}" name="Column6431" dataCellStyle="Normal 2"/>
    <tableColumn id="6447" xr3:uid="{05F562D2-0654-4B31-B629-DC2CEFD39540}" name="Column6432" dataCellStyle="Normal 2"/>
    <tableColumn id="6448" xr3:uid="{7B3BDD65-38EE-4439-A8B4-E2B62890BED4}" name="Column6433" dataCellStyle="Normal 2"/>
    <tableColumn id="6449" xr3:uid="{21C6E7E8-271B-44BC-AEB8-623C68E1B2DC}" name="Column6434" dataCellStyle="Normal 2"/>
    <tableColumn id="6450" xr3:uid="{9305596C-D50D-4F95-B712-75838D02EAB5}" name="Column6435" dataCellStyle="Normal 2"/>
    <tableColumn id="6451" xr3:uid="{8075C8A4-0FC0-4D34-89B9-218441913623}" name="Column6436" dataCellStyle="Normal 2"/>
    <tableColumn id="6452" xr3:uid="{12B5BA0E-A8B7-4A88-A12A-EAA02A7167A0}" name="Column6437" dataCellStyle="Normal 2"/>
    <tableColumn id="6453" xr3:uid="{ACB6231D-EB2B-490E-94C6-0AA15CCE5E90}" name="Column6438" dataCellStyle="Normal 2"/>
    <tableColumn id="6454" xr3:uid="{511F566B-87B5-460F-A4A9-DD815A12997E}" name="Column6439" dataCellStyle="Normal 2"/>
    <tableColumn id="6455" xr3:uid="{E2CB2F4B-17D8-4851-AF26-1C4EF1E19B85}" name="Column6440" dataCellStyle="Normal 2"/>
    <tableColumn id="6456" xr3:uid="{70319881-C834-4B12-8E5A-461488F4BEE1}" name="Column6441" dataCellStyle="Normal 2"/>
    <tableColumn id="6457" xr3:uid="{57B984E4-7EC3-4C0F-8448-5CDFD5DA6E0F}" name="Column6442" dataCellStyle="Normal 2"/>
    <tableColumn id="6458" xr3:uid="{FB32D2F2-3E21-4E73-A9CB-35E52DDEF298}" name="Column6443" dataCellStyle="Normal 2"/>
    <tableColumn id="6459" xr3:uid="{23EAF561-587F-424D-AFED-09F9D524E570}" name="Column6444" dataCellStyle="Normal 2"/>
    <tableColumn id="6460" xr3:uid="{E4F4701D-8A3A-4461-9548-09F8AC9367D0}" name="Column6445" dataCellStyle="Normal 2"/>
    <tableColumn id="6461" xr3:uid="{DA91321F-AA1E-4461-A812-9F20A73DB4BC}" name="Column6446" dataCellStyle="Normal 2"/>
    <tableColumn id="6462" xr3:uid="{120A626E-B6B9-47CE-9855-9C5D4D42534B}" name="Column6447" dataCellStyle="Normal 2"/>
    <tableColumn id="6463" xr3:uid="{2038AAC4-DE1A-4BD5-86EE-AB23EF2D2AEA}" name="Column6448" dataCellStyle="Normal 2"/>
    <tableColumn id="6464" xr3:uid="{6402C5C3-31EC-463F-9BE0-6CAB9B3FEEEC}" name="Column6449" dataCellStyle="Normal 2"/>
    <tableColumn id="6465" xr3:uid="{C57AB364-6BB5-4AD3-9B14-B20BEA07E457}" name="Column6450" dataCellStyle="Normal 2"/>
    <tableColumn id="6466" xr3:uid="{E90CE2CA-C802-4AEB-9AE6-228CB4DCA080}" name="Column6451" dataCellStyle="Normal 2"/>
    <tableColumn id="6467" xr3:uid="{AD94CFCC-0A27-426A-99D4-BAF90CB744C0}" name="Column6452" dataCellStyle="Normal 2"/>
    <tableColumn id="6468" xr3:uid="{B5CFE976-86E7-439C-A054-A2E446A3ADD2}" name="Column6453" dataCellStyle="Normal 2"/>
    <tableColumn id="6469" xr3:uid="{9CDA4377-AF9D-4F30-B3FB-943867661404}" name="Column6454" dataCellStyle="Normal 2"/>
    <tableColumn id="6470" xr3:uid="{EA2CD03C-1868-4785-9DA4-2B4925BC0768}" name="Column6455" dataCellStyle="Normal 2"/>
    <tableColumn id="6471" xr3:uid="{9ED6CA9B-6520-4459-960C-3C074CB4648C}" name="Column6456" dataCellStyle="Normal 2"/>
    <tableColumn id="6472" xr3:uid="{8A384449-027E-443A-9431-294852D708FD}" name="Column6457" dataCellStyle="Normal 2"/>
    <tableColumn id="6473" xr3:uid="{44E8B8DB-C57C-4D95-B097-6D0848F22119}" name="Column6458" dataCellStyle="Normal 2"/>
    <tableColumn id="6474" xr3:uid="{2802A48E-C719-488F-95F4-80B28D41111D}" name="Column6459" dataCellStyle="Normal 2"/>
    <tableColumn id="6475" xr3:uid="{76C5DCCF-7370-4237-AA38-1CBADC1B63AC}" name="Column6460" dataCellStyle="Normal 2"/>
    <tableColumn id="6476" xr3:uid="{9F081755-9462-418F-97A5-839A57EEE63C}" name="Column6461" dataCellStyle="Normal 2"/>
    <tableColumn id="6477" xr3:uid="{CB8784BF-CA3C-4D00-8C63-64DEF104EC83}" name="Column6462" dataCellStyle="Normal 2"/>
    <tableColumn id="6478" xr3:uid="{A984C284-B82C-4EA2-9145-E94836986BC4}" name="Column6463" dataCellStyle="Normal 2"/>
    <tableColumn id="6479" xr3:uid="{0F695D05-A48A-4C84-BB60-BBB022B6AECB}" name="Column6464" dataCellStyle="Normal 2"/>
    <tableColumn id="6480" xr3:uid="{BDBDD0FE-953D-4EBC-9A34-C96BABA7F066}" name="Column6465" dataCellStyle="Normal 2"/>
    <tableColumn id="6481" xr3:uid="{2EA93372-6A24-408C-B1D3-CA12AEAAE565}" name="Column6466" dataCellStyle="Normal 2"/>
    <tableColumn id="6482" xr3:uid="{8B94AC0D-FDCC-413D-B740-80B44FF7DEAF}" name="Column6467" dataCellStyle="Normal 2"/>
    <tableColumn id="6483" xr3:uid="{63C1921B-7713-4C5F-9ECD-86BEA3D4EB19}" name="Column6468" dataCellStyle="Normal 2"/>
    <tableColumn id="6484" xr3:uid="{BD65D5C8-8B11-4584-BBD3-874A97BF7833}" name="Column6469" dataCellStyle="Normal 2"/>
    <tableColumn id="6485" xr3:uid="{1F4EC392-DDE6-43DF-B0A9-9B6B331344C8}" name="Column6470" dataCellStyle="Normal 2"/>
    <tableColumn id="6486" xr3:uid="{EDECACBC-BD1B-44F7-88DF-60D3CD06C202}" name="Column6471" dataCellStyle="Normal 2"/>
    <tableColumn id="6487" xr3:uid="{273E0A52-4028-4573-85F8-9003A3296EC6}" name="Column6472" dataCellStyle="Normal 2"/>
    <tableColumn id="6488" xr3:uid="{585EC1BF-49BC-4444-B128-607913981E84}" name="Column6473" dataCellStyle="Normal 2"/>
    <tableColumn id="6489" xr3:uid="{DB79EEEC-7D4D-4365-8C26-AEF196727CFF}" name="Column6474" dataCellStyle="Normal 2"/>
    <tableColumn id="6490" xr3:uid="{D3C106DE-A9DC-4F17-A0B9-523C24A0F976}" name="Column6475" dataCellStyle="Normal 2"/>
    <tableColumn id="6491" xr3:uid="{DBF29F85-1F56-492C-8AE1-1551B2CFF129}" name="Column6476" dataCellStyle="Normal 2"/>
    <tableColumn id="6492" xr3:uid="{7523D567-EE63-489E-A8EF-9AEFBD4B7170}" name="Column6477" dataCellStyle="Normal 2"/>
    <tableColumn id="6493" xr3:uid="{4EBC2AE2-BDA9-41B1-B786-71DF73939E75}" name="Column6478" dataCellStyle="Normal 2"/>
    <tableColumn id="6494" xr3:uid="{7D0660B9-136B-4004-8460-42EB2F65AAA1}" name="Column6479" dataCellStyle="Normal 2"/>
    <tableColumn id="6495" xr3:uid="{AE9F2374-1B34-4120-B6D4-31F5FFED5779}" name="Column6480" dataCellStyle="Normal 2"/>
    <tableColumn id="6496" xr3:uid="{77190CCD-1FF3-4E0D-B085-D7AB7B5C2631}" name="Column6481" dataCellStyle="Normal 2"/>
    <tableColumn id="6497" xr3:uid="{EA03E889-6C21-4756-B7F3-3CBB0B83139A}" name="Column6482" dataCellStyle="Normal 2"/>
    <tableColumn id="6498" xr3:uid="{063DDA00-6DED-4625-BAEC-D6F87E4FF350}" name="Column6483" dataCellStyle="Normal 2"/>
    <tableColumn id="6499" xr3:uid="{73C8EEAD-4F0A-4EBE-B172-91E4E98DF5A5}" name="Column6484" dataCellStyle="Normal 2"/>
    <tableColumn id="6500" xr3:uid="{625720DB-FE2D-4EA1-83A5-21BC2F94528E}" name="Column6485" dataCellStyle="Normal 2"/>
    <tableColumn id="6501" xr3:uid="{EFA79119-B7CE-47B1-91C8-449976C29868}" name="Column6486" dataCellStyle="Normal 2"/>
    <tableColumn id="6502" xr3:uid="{96D8EE08-3A34-444C-BB1C-FE1EFB630B88}" name="Column6487" dataCellStyle="Normal 2"/>
    <tableColumn id="6503" xr3:uid="{5D0622DF-2755-49EA-A72C-47A9DFCBF6DB}" name="Column6488" dataCellStyle="Normal 2"/>
    <tableColumn id="6504" xr3:uid="{D949CBD2-AA0B-45FC-B36A-9E2CD0E56D0A}" name="Column6489" dataCellStyle="Normal 2"/>
    <tableColumn id="6505" xr3:uid="{FCDA774E-6948-4ACE-B1EF-A2263F8C05E1}" name="Column6490" dataCellStyle="Normal 2"/>
    <tableColumn id="6506" xr3:uid="{833E88E3-6594-49B1-819E-58976D3DDB34}" name="Column6491" dataCellStyle="Normal 2"/>
    <tableColumn id="6507" xr3:uid="{025A419E-77B8-48CF-8D24-37052C6A49FC}" name="Column6492" dataCellStyle="Normal 2"/>
    <tableColumn id="6508" xr3:uid="{3B043249-AEAE-4D6C-848C-F651CE7B2170}" name="Column6493" dataCellStyle="Normal 2"/>
    <tableColumn id="6509" xr3:uid="{1A6BDE05-DF03-4AE1-8835-BD74263A8230}" name="Column6494" dataCellStyle="Normal 2"/>
    <tableColumn id="6510" xr3:uid="{BF84E70F-03A9-4B68-B9C0-0EC8CC56AD33}" name="Column6495" dataCellStyle="Normal 2"/>
    <tableColumn id="6511" xr3:uid="{771DA954-A927-4346-BC46-67B1AB68A344}" name="Column6496" dataCellStyle="Normal 2"/>
    <tableColumn id="6512" xr3:uid="{E81E0A8A-82E6-42E7-B329-DBFF09D58876}" name="Column6497" dataCellStyle="Normal 2"/>
    <tableColumn id="6513" xr3:uid="{080F5450-8660-403E-ABF0-1805802C4D7E}" name="Column6498" dataCellStyle="Normal 2"/>
    <tableColumn id="6514" xr3:uid="{A541B92B-F217-4B9F-A0FB-7AD815513FBC}" name="Column6499" dataCellStyle="Normal 2"/>
    <tableColumn id="6515" xr3:uid="{2D3E145E-00A5-4958-B419-A6689405A854}" name="Column6500" dataCellStyle="Normal 2"/>
    <tableColumn id="6516" xr3:uid="{7376D297-7CB0-41C9-A6FE-3DBB7F155EBC}" name="Column6501" dataCellStyle="Normal 2"/>
    <tableColumn id="6517" xr3:uid="{AC327F88-564C-4EB2-9A36-86558174501E}" name="Column6502" dataCellStyle="Normal 2"/>
    <tableColumn id="6518" xr3:uid="{258652EA-D765-43EC-ACC4-F948F7DDB414}" name="Column6503" dataCellStyle="Normal 2"/>
    <tableColumn id="6519" xr3:uid="{AF9BFA65-6891-4436-BFA1-655AECEFF125}" name="Column6504" dataCellStyle="Normal 2"/>
    <tableColumn id="6520" xr3:uid="{27187884-E8DB-41F7-AB6B-DEEFBD08149B}" name="Column6505" dataCellStyle="Normal 2"/>
    <tableColumn id="6521" xr3:uid="{482F38FA-B9EB-44C4-A196-075A6C0D5D2E}" name="Column6506" dataCellStyle="Normal 2"/>
    <tableColumn id="6522" xr3:uid="{E14679FB-EC54-4006-A0D3-8EFB92A8C01E}" name="Column6507" dataCellStyle="Normal 2"/>
    <tableColumn id="6523" xr3:uid="{68343215-3ED4-4D5B-913A-1F28BA641877}" name="Column6508" dataCellStyle="Normal 2"/>
    <tableColumn id="6524" xr3:uid="{D6223D5B-8781-4F2A-843B-7E6900AC9E6E}" name="Column6509" dataCellStyle="Normal 2"/>
    <tableColumn id="6525" xr3:uid="{5C03188B-D7B2-451D-9985-2EFEED09C919}" name="Column6510" dataCellStyle="Normal 2"/>
    <tableColumn id="6526" xr3:uid="{9CEF2A49-7DF8-4907-B5DB-DFECD39A2484}" name="Column6511" dataCellStyle="Normal 2"/>
    <tableColumn id="6527" xr3:uid="{2FFF43BB-227E-4796-8B5B-C5036701B9C3}" name="Column6512" dataCellStyle="Normal 2"/>
    <tableColumn id="6528" xr3:uid="{37AB5ED0-6059-4053-A445-6DDFFD892CEA}" name="Column6513" dataCellStyle="Normal 2"/>
    <tableColumn id="6529" xr3:uid="{3424C372-3C2F-4ACC-B99D-C1002EC8C238}" name="Column6514" dataCellStyle="Normal 2"/>
    <tableColumn id="6530" xr3:uid="{F0296FBC-8993-497A-9D8F-962026638AC4}" name="Column6515" dataCellStyle="Normal 2"/>
    <tableColumn id="6531" xr3:uid="{460BD5EB-70EC-487E-BE74-6DFD37BE06A9}" name="Column6516" dataCellStyle="Normal 2"/>
    <tableColumn id="6532" xr3:uid="{95D2B9E8-3A73-4B5E-9B4B-36676837349D}" name="Column6517" dataCellStyle="Normal 2"/>
    <tableColumn id="6533" xr3:uid="{B50B035E-A1F6-4D22-93A4-739BE9444863}" name="Column6518" dataCellStyle="Normal 2"/>
    <tableColumn id="6534" xr3:uid="{B6447771-9A0B-4DD9-9392-B6011B8F87B3}" name="Column6519" dataCellStyle="Normal 2"/>
    <tableColumn id="6535" xr3:uid="{3138BF10-7A53-45B8-89FF-490057F9F093}" name="Column6520" dataCellStyle="Normal 2"/>
    <tableColumn id="6536" xr3:uid="{3675E80E-F6D6-422A-A508-2B050A114E0F}" name="Column6521" dataCellStyle="Normal 2"/>
    <tableColumn id="6537" xr3:uid="{EA22A018-35F9-4A0C-8AA6-F3DE3FDEB474}" name="Column6522" dataCellStyle="Normal 2"/>
    <tableColumn id="6538" xr3:uid="{1FA2AF0B-0749-4F15-8882-6E4A5D213C50}" name="Column6523" dataCellStyle="Normal 2"/>
    <tableColumn id="6539" xr3:uid="{3FAE863D-B805-4CC6-90D8-0306E2D5C1C3}" name="Column6524" dataCellStyle="Normal 2"/>
    <tableColumn id="6540" xr3:uid="{2E38C4B3-CA82-47E7-AC1C-DC7518EB4518}" name="Column6525" dataCellStyle="Normal 2"/>
    <tableColumn id="6541" xr3:uid="{BAEA9BAA-8055-4866-91D7-239D5A946B9B}" name="Column6526" dataCellStyle="Normal 2"/>
    <tableColumn id="6542" xr3:uid="{4E0AF78E-5627-4F64-8789-2474253A03F5}" name="Column6527" dataCellStyle="Normal 2"/>
    <tableColumn id="6543" xr3:uid="{9CE0F1D8-7CD4-4C10-8B0D-CEF561009326}" name="Column6528" dataCellStyle="Normal 2"/>
    <tableColumn id="6544" xr3:uid="{461464A7-27CF-4E70-ABC5-EB0CCF1392EC}" name="Column6529" dataCellStyle="Normal 2"/>
    <tableColumn id="6545" xr3:uid="{18DC1FF6-1B97-429F-9916-3746DF13EB18}" name="Column6530" dataCellStyle="Normal 2"/>
    <tableColumn id="6546" xr3:uid="{CB950741-8F30-4855-B560-0F620BC939CA}" name="Column6531" dataCellStyle="Normal 2"/>
    <tableColumn id="6547" xr3:uid="{E5E4D9AE-FB9F-499B-BE36-7988273117D1}" name="Column6532" dataCellStyle="Normal 2"/>
    <tableColumn id="6548" xr3:uid="{3AF7A0A6-84FE-4A05-8AE2-0FA8F8E4EF3B}" name="Column6533" dataCellStyle="Normal 2"/>
    <tableColumn id="6549" xr3:uid="{A1BCBF0A-7002-43C0-A76A-1415D3182805}" name="Column6534" dataCellStyle="Normal 2"/>
    <tableColumn id="6550" xr3:uid="{3CFF592D-44E0-4238-B00B-F85240BC1E1A}" name="Column6535" dataCellStyle="Normal 2"/>
    <tableColumn id="6551" xr3:uid="{A8086E94-2DCC-4972-8FD8-1B0126E176CB}" name="Column6536" dataCellStyle="Normal 2"/>
    <tableColumn id="6552" xr3:uid="{D499E0CE-B7FF-4D4B-A2D4-B7F4CB542465}" name="Column6537" dataCellStyle="Normal 2"/>
    <tableColumn id="6553" xr3:uid="{4F91486A-A945-4235-9370-F34E239F5222}" name="Column6538" dataCellStyle="Normal 2"/>
    <tableColumn id="6554" xr3:uid="{DED87DB3-ED86-491F-97FE-7D76AFE9AD8E}" name="Column6539" dataCellStyle="Normal 2"/>
    <tableColumn id="6555" xr3:uid="{9CF114EF-89D8-421F-A579-F11FEF9AC868}" name="Column6540" dataCellStyle="Normal 2"/>
    <tableColumn id="6556" xr3:uid="{0C4B1EE7-4946-4C7F-93E6-9236473E8829}" name="Column6541" dataCellStyle="Normal 2"/>
    <tableColumn id="6557" xr3:uid="{DC0D779F-A7A8-4D44-BC10-E6C1E45ACD79}" name="Column6542" dataCellStyle="Normal 2"/>
    <tableColumn id="6558" xr3:uid="{5986707D-B34A-410E-9902-D3A472D2BF27}" name="Column6543" dataCellStyle="Normal 2"/>
    <tableColumn id="6559" xr3:uid="{6EE81EA4-6EB7-4F4B-AF06-FE605C44DB81}" name="Column6544" dataCellStyle="Normal 2"/>
    <tableColumn id="6560" xr3:uid="{D8C3F943-600D-4DDC-8A1C-927084BB704E}" name="Column6545" dataCellStyle="Normal 2"/>
    <tableColumn id="6561" xr3:uid="{4432BCB5-04B3-46E9-B3EF-A9EBA2DB685C}" name="Column6546" dataCellStyle="Normal 2"/>
    <tableColumn id="6562" xr3:uid="{666CB7E0-E946-48F5-BCB3-C117F0E43020}" name="Column6547" dataCellStyle="Normal 2"/>
    <tableColumn id="6563" xr3:uid="{C56A0C11-5A8A-46DC-A0D5-36CAB6D9EFC3}" name="Column6548" dataCellStyle="Normal 2"/>
    <tableColumn id="6564" xr3:uid="{2945B77B-0667-4926-B574-4756007765A3}" name="Column6549" dataCellStyle="Normal 2"/>
    <tableColumn id="6565" xr3:uid="{1B3B98FF-BB97-426A-8E0F-195BED914C67}" name="Column6550" dataCellStyle="Normal 2"/>
    <tableColumn id="6566" xr3:uid="{AE81E13A-EFDB-4DF7-83BC-135F25EBA780}" name="Column6551" dataCellStyle="Normal 2"/>
    <tableColumn id="6567" xr3:uid="{F50F705D-7F52-4743-8C7D-DAC9A0392F2E}" name="Column6552" dataCellStyle="Normal 2"/>
    <tableColumn id="6568" xr3:uid="{2D7C13DE-BC16-4417-86CF-A036896EE374}" name="Column6553" dataCellStyle="Normal 2"/>
    <tableColumn id="6569" xr3:uid="{5A7834EC-1ABE-4991-8148-53EBAE0986B7}" name="Column6554" dataCellStyle="Normal 2"/>
    <tableColumn id="6570" xr3:uid="{2787EDAB-A239-4FE8-9C82-6AA58E2ABA04}" name="Column6555" dataCellStyle="Normal 2"/>
    <tableColumn id="6571" xr3:uid="{2BA49FC2-8784-4A93-965D-0BB980C041C8}" name="Column6556" dataCellStyle="Normal 2"/>
    <tableColumn id="6572" xr3:uid="{2190E9E8-1603-4576-A8B7-3AF62FA87DCE}" name="Column6557" dataCellStyle="Normal 2"/>
    <tableColumn id="6573" xr3:uid="{3FC58C61-76F9-4D86-9005-A92F5B2E64AD}" name="Column6558" dataCellStyle="Normal 2"/>
    <tableColumn id="6574" xr3:uid="{2F1EA03D-A304-46AD-AC70-3E935BD946D0}" name="Column6559" dataCellStyle="Normal 2"/>
    <tableColumn id="6575" xr3:uid="{8A8847D3-4A97-4CF5-8AA2-AB3FB3BF5732}" name="Column6560" dataCellStyle="Normal 2"/>
    <tableColumn id="6576" xr3:uid="{9819E330-BADF-45BF-A461-66F789ACE7C9}" name="Column6561" dataCellStyle="Normal 2"/>
    <tableColumn id="6577" xr3:uid="{3BEE6F29-0101-4E75-9D03-E8AE72D843BA}" name="Column6562" dataCellStyle="Normal 2"/>
    <tableColumn id="6578" xr3:uid="{DF4D63C4-C3F2-4AA1-B33A-31105018711E}" name="Column6563" dataCellStyle="Normal 2"/>
    <tableColumn id="6579" xr3:uid="{7B28CB84-EC9D-493D-93A3-4C1506B06F7B}" name="Column6564" dataCellStyle="Normal 2"/>
    <tableColumn id="6580" xr3:uid="{B307276A-5AD6-4BC0-9981-49C575BD5500}" name="Column6565" dataCellStyle="Normal 2"/>
    <tableColumn id="6581" xr3:uid="{CE58A1B0-50FC-4AFE-A3EF-1BF6E6D3FDBC}" name="Column6566" dataCellStyle="Normal 2"/>
    <tableColumn id="6582" xr3:uid="{29388592-D84B-4ECA-9AC1-0215621F391C}" name="Column6567" dataCellStyle="Normal 2"/>
    <tableColumn id="6583" xr3:uid="{02056BD2-FCF6-437E-BB90-03539B4F0E15}" name="Column6568" dataCellStyle="Normal 2"/>
    <tableColumn id="6584" xr3:uid="{031F76EF-5B95-41BD-AFBE-DAD01DF15760}" name="Column6569" dataCellStyle="Normal 2"/>
    <tableColumn id="6585" xr3:uid="{9AED8D81-83E7-4A62-AD78-FC25F715A98A}" name="Column6570" dataCellStyle="Normal 2"/>
    <tableColumn id="6586" xr3:uid="{7F9CC449-7938-4CC8-9C02-713143AA4594}" name="Column6571" dataCellStyle="Normal 2"/>
    <tableColumn id="6587" xr3:uid="{109B9321-5759-4ED9-BA35-16508BF17457}" name="Column6572" dataCellStyle="Normal 2"/>
    <tableColumn id="6588" xr3:uid="{F423C3E7-44AD-4934-996E-2F21A9073036}" name="Column6573" dataCellStyle="Normal 2"/>
    <tableColumn id="6589" xr3:uid="{8243181C-1C4D-4AEF-954E-5431435A8C47}" name="Column6574" dataCellStyle="Normal 2"/>
    <tableColumn id="6590" xr3:uid="{012A9C06-C5C5-4709-A290-01257C7AD30A}" name="Column6575" dataCellStyle="Normal 2"/>
    <tableColumn id="6591" xr3:uid="{27EB504C-932B-4FFC-B409-97431C5B8815}" name="Column6576" dataCellStyle="Normal 2"/>
    <tableColumn id="6592" xr3:uid="{9A79716A-EE5A-4E23-B818-2A2A70C0C43A}" name="Column6577" dataCellStyle="Normal 2"/>
    <tableColumn id="6593" xr3:uid="{306884C2-A732-4E81-87B2-15D053C5F570}" name="Column6578" dataCellStyle="Normal 2"/>
    <tableColumn id="6594" xr3:uid="{19A99684-E1FA-4E48-B432-70F86FE088D2}" name="Column6579" dataCellStyle="Normal 2"/>
    <tableColumn id="6595" xr3:uid="{C4BFD144-73F4-4D55-8C7E-C58E5A644A7A}" name="Column6580" dataCellStyle="Normal 2"/>
    <tableColumn id="6596" xr3:uid="{FB88DC15-1217-4BDE-BD11-CB0EC38E6431}" name="Column6581" dataCellStyle="Normal 2"/>
    <tableColumn id="6597" xr3:uid="{7D277FB0-4652-44D1-B060-0E7F7F520A68}" name="Column6582" dataCellStyle="Normal 2"/>
    <tableColumn id="6598" xr3:uid="{F56318B4-9A65-488E-B8E7-75EAD8937AB3}" name="Column6583" dataCellStyle="Normal 2"/>
    <tableColumn id="6599" xr3:uid="{4A0E10C1-1D51-47E7-9212-D88024607842}" name="Column6584" dataCellStyle="Normal 2"/>
    <tableColumn id="6600" xr3:uid="{187A0B00-CEDD-4A11-837B-3C77699FE2FA}" name="Column6585" dataCellStyle="Normal 2"/>
    <tableColumn id="6601" xr3:uid="{D6C7CD90-DB32-4DF3-BF1A-531869A940BE}" name="Column6586" dataCellStyle="Normal 2"/>
    <tableColumn id="6602" xr3:uid="{70230CE4-6C36-4C76-B0DE-C106907ECCE0}" name="Column6587" dataCellStyle="Normal 2"/>
    <tableColumn id="6603" xr3:uid="{E9FFCBFF-3497-4896-9A92-0398417AEBE1}" name="Column6588" dataCellStyle="Normal 2"/>
    <tableColumn id="6604" xr3:uid="{758D7252-F9F6-4149-90ED-E2547A86631A}" name="Column6589" dataCellStyle="Normal 2"/>
    <tableColumn id="6605" xr3:uid="{E532B0E3-A9CE-4AC8-9E9B-ACF270C54492}" name="Column6590" dataCellStyle="Normal 2"/>
    <tableColumn id="6606" xr3:uid="{8CF3719E-6011-4EA5-80D3-E1629C94156B}" name="Column6591" dataCellStyle="Normal 2"/>
    <tableColumn id="6607" xr3:uid="{B33D6418-5BFA-48F7-A44E-76132D69B378}" name="Column6592" dataCellStyle="Normal 2"/>
    <tableColumn id="6608" xr3:uid="{9670C1B2-74AB-4F72-8F75-8E1EB2B2F256}" name="Column6593" dataCellStyle="Normal 2"/>
    <tableColumn id="6609" xr3:uid="{3EF378B7-C44A-4D13-9DCE-6307212AB39B}" name="Column6594" dataCellStyle="Normal 2"/>
    <tableColumn id="6610" xr3:uid="{8EA6B2BC-83EE-4553-954B-92FDF74EBC46}" name="Column6595" dataCellStyle="Normal 2"/>
    <tableColumn id="6611" xr3:uid="{060D2C80-8C94-4686-BD70-E4AFD375C7E3}" name="Column6596" dataCellStyle="Normal 2"/>
    <tableColumn id="6612" xr3:uid="{BEB990A9-D4DE-48DC-9467-C8326C3E2E1F}" name="Column6597" dataCellStyle="Normal 2"/>
    <tableColumn id="6613" xr3:uid="{804340DB-FAA0-4C18-84C4-A343C0468584}" name="Column6598" dataCellStyle="Normal 2"/>
    <tableColumn id="6614" xr3:uid="{7593CB7E-0636-4CA2-A7A5-29E60AA49AE2}" name="Column6599" dataCellStyle="Normal 2"/>
    <tableColumn id="6615" xr3:uid="{F6A1CCA4-A150-4B53-8C4F-A90A86B39DFB}" name="Column6600" dataCellStyle="Normal 2"/>
    <tableColumn id="6616" xr3:uid="{D522A00A-DC7A-4D2A-8D0C-8B8FE349463D}" name="Column6601" dataCellStyle="Normal 2"/>
    <tableColumn id="6617" xr3:uid="{096B1CCB-27B4-482F-8A37-4F6848BB628B}" name="Column6602" dataCellStyle="Normal 2"/>
    <tableColumn id="6618" xr3:uid="{1EC03D30-E9C8-49D3-A29C-90E8002BD741}" name="Column6603" dataCellStyle="Normal 2"/>
    <tableColumn id="6619" xr3:uid="{D327CBFA-3E62-4B2A-9BFC-612956C4EE5C}" name="Column6604" dataCellStyle="Normal 2"/>
    <tableColumn id="6620" xr3:uid="{F9BA7775-5A4B-4BC6-8568-25C3502AF1B6}" name="Column6605" dataCellStyle="Normal 2"/>
    <tableColumn id="6621" xr3:uid="{BB740AD7-FA8C-4A5E-9A33-5C2022FB3898}" name="Column6606" dataCellStyle="Normal 2"/>
    <tableColumn id="6622" xr3:uid="{7D4202EF-A0C8-4562-8385-10F0433ED2CE}" name="Column6607" dataCellStyle="Normal 2"/>
    <tableColumn id="6623" xr3:uid="{02CA3FA3-E923-40DC-BC12-E2B2C930C9FD}" name="Column6608" dataCellStyle="Normal 2"/>
    <tableColumn id="6624" xr3:uid="{8F68A95F-A48A-4C40-95EC-B4D7F0AA6228}" name="Column6609" dataCellStyle="Normal 2"/>
    <tableColumn id="6625" xr3:uid="{4B883FB9-3751-434C-B1CB-2B0A54D06296}" name="Column6610" dataCellStyle="Normal 2"/>
    <tableColumn id="6626" xr3:uid="{4A86BADF-DEAD-4E5B-AB27-60DD108EFC49}" name="Column6611" dataCellStyle="Normal 2"/>
    <tableColumn id="6627" xr3:uid="{A2F2E087-2EE9-47E1-BB43-6F8598B88540}" name="Column6612" dataCellStyle="Normal 2"/>
    <tableColumn id="6628" xr3:uid="{7595D958-6285-4AC8-B26D-12BB8CAA8170}" name="Column6613" dataCellStyle="Normal 2"/>
    <tableColumn id="6629" xr3:uid="{CF47BFDE-5047-4231-971C-C2234F684474}" name="Column6614" dataCellStyle="Normal 2"/>
    <tableColumn id="6630" xr3:uid="{9B1E6C30-FD95-4086-88D6-5D858154728A}" name="Column6615" dataCellStyle="Normal 2"/>
    <tableColumn id="6631" xr3:uid="{A011B2CB-E2E9-4029-8CA6-BA6EF7E81349}" name="Column6616" dataCellStyle="Normal 2"/>
    <tableColumn id="6632" xr3:uid="{048005BD-6173-4BD4-8851-C9EC61BB3AAC}" name="Column6617" dataCellStyle="Normal 2"/>
    <tableColumn id="6633" xr3:uid="{7E9A1291-B2D3-4914-B4BB-DBF7680E8CAE}" name="Column6618" dataCellStyle="Normal 2"/>
    <tableColumn id="6634" xr3:uid="{B327603F-7E90-4DFF-95F5-73762FED1ADC}" name="Column6619" dataCellStyle="Normal 2"/>
    <tableColumn id="6635" xr3:uid="{0E0D6401-6C74-43D9-8C3C-FC471C7CC9E8}" name="Column6620" dataCellStyle="Normal 2"/>
    <tableColumn id="6636" xr3:uid="{F8C48C82-D4CF-45FF-B19F-1A33AA74A582}" name="Column6621" dataCellStyle="Normal 2"/>
    <tableColumn id="6637" xr3:uid="{582795EB-B684-4A24-A5D1-C390A9EEF039}" name="Column6622" dataCellStyle="Normal 2"/>
    <tableColumn id="6638" xr3:uid="{09C426A4-E3EE-4451-A185-9644935651F2}" name="Column6623" dataCellStyle="Normal 2"/>
    <tableColumn id="6639" xr3:uid="{8328B8B8-3F6B-470F-9097-BE4569641524}" name="Column6624" dataCellStyle="Normal 2"/>
    <tableColumn id="6640" xr3:uid="{89AC3C9A-F969-4B4C-884E-B49E7E70CB18}" name="Column6625" dataCellStyle="Normal 2"/>
    <tableColumn id="6641" xr3:uid="{511ACCA2-7A22-409C-9744-CC134B104307}" name="Column6626" dataCellStyle="Normal 2"/>
    <tableColumn id="6642" xr3:uid="{C4B9D7FB-A109-47AD-B06D-56C0C8134408}" name="Column6627" dataCellStyle="Normal 2"/>
    <tableColumn id="6643" xr3:uid="{E6217241-4130-4860-8B26-AE1FB73F475F}" name="Column6628" dataCellStyle="Normal 2"/>
    <tableColumn id="6644" xr3:uid="{8BE853C2-8D06-4DEF-BD90-9B9CF270BDD3}" name="Column6629" dataCellStyle="Normal 2"/>
    <tableColumn id="6645" xr3:uid="{93C2A605-1F8A-4530-93C9-5D2463AAFDD1}" name="Column6630" dataCellStyle="Normal 2"/>
    <tableColumn id="6646" xr3:uid="{822FB276-E98E-40D4-ACC8-401F73DEB4CE}" name="Column6631" dataCellStyle="Normal 2"/>
    <tableColumn id="6647" xr3:uid="{8164AA94-BE42-44A1-8788-B4AA06EB1BD5}" name="Column6632" dataCellStyle="Normal 2"/>
    <tableColumn id="6648" xr3:uid="{A2E9C6D6-ED42-48BB-BC37-F6F0E18281A5}" name="Column6633" dataCellStyle="Normal 2"/>
    <tableColumn id="6649" xr3:uid="{321A2011-0B02-4540-82FA-4B256B1A91F6}" name="Column6634" dataCellStyle="Normal 2"/>
    <tableColumn id="6650" xr3:uid="{EFD0DA39-8AB3-483D-B49B-E9D452052653}" name="Column6635" dataCellStyle="Normal 2"/>
    <tableColumn id="6651" xr3:uid="{DCF68A59-4AE5-41C1-95C7-EA83D9620505}" name="Column6636" dataCellStyle="Normal 2"/>
    <tableColumn id="6652" xr3:uid="{1535767F-F026-402A-9DC9-C81866119E7F}" name="Column6637" dataCellStyle="Normal 2"/>
    <tableColumn id="6653" xr3:uid="{979542F5-A287-42A9-A1E4-FB35AE76FBCF}" name="Column6638" dataCellStyle="Normal 2"/>
    <tableColumn id="6654" xr3:uid="{66DB58E9-4EA6-4E66-AF6D-35B8DA9C4775}" name="Column6639" dataCellStyle="Normal 2"/>
    <tableColumn id="6655" xr3:uid="{E9877C1B-823F-405B-805E-B0C165F18B49}" name="Column6640" dataCellStyle="Normal 2"/>
    <tableColumn id="6656" xr3:uid="{0F2ECCC5-1A6B-409F-A4BB-51F061F07410}" name="Column6641" dataCellStyle="Normal 2"/>
    <tableColumn id="6657" xr3:uid="{DBFDF77C-9919-448C-ABCD-6DFDE873BCBC}" name="Column6642" dataCellStyle="Normal 2"/>
    <tableColumn id="6658" xr3:uid="{E3504C8B-D4E8-45C2-8D91-083346558751}" name="Column6643" dataCellStyle="Normal 2"/>
    <tableColumn id="6659" xr3:uid="{834F7753-5306-4EA9-B4FB-B98174BFF3DE}" name="Column6644" dataCellStyle="Normal 2"/>
    <tableColumn id="6660" xr3:uid="{344E5748-28C2-4D0B-9F3A-F23E97F53B25}" name="Column6645" dataCellStyle="Normal 2"/>
    <tableColumn id="6661" xr3:uid="{473F0C49-C18F-43C9-9167-179950814267}" name="Column6646" dataCellStyle="Normal 2"/>
    <tableColumn id="6662" xr3:uid="{0CE81761-872A-4CBD-982C-6F3E98711B20}" name="Column6647" dataCellStyle="Normal 2"/>
    <tableColumn id="6663" xr3:uid="{F34D50F3-4E92-44D7-8B3D-70CFACE70B8D}" name="Column6648" dataCellStyle="Normal 2"/>
    <tableColumn id="6664" xr3:uid="{C0981194-60D8-4816-8DAE-2EDAD4963271}" name="Column6649" dataCellStyle="Normal 2"/>
    <tableColumn id="6665" xr3:uid="{1CAA23DE-3433-4989-9E98-00046528BF43}" name="Column6650" dataCellStyle="Normal 2"/>
    <tableColumn id="6666" xr3:uid="{B0B64799-4E26-4CAC-BD61-7E1ECF91AFDF}" name="Column6651" dataCellStyle="Normal 2"/>
    <tableColumn id="6667" xr3:uid="{BEE74909-2093-4699-B257-0CF00DBB65C4}" name="Column6652" dataCellStyle="Normal 2"/>
    <tableColumn id="6668" xr3:uid="{DD21ACBA-2F15-440D-9DB5-521535B41AB2}" name="Column6653" dataCellStyle="Normal 2"/>
    <tableColumn id="6669" xr3:uid="{9D541131-F735-4C09-8B13-BF8D6C1BD71E}" name="Column6654" dataCellStyle="Normal 2"/>
    <tableColumn id="6670" xr3:uid="{E7C36AAC-EA04-48C0-9DCB-988CA72261F4}" name="Column6655" dataCellStyle="Normal 2"/>
    <tableColumn id="6671" xr3:uid="{7FC4F4DC-58B5-4AE5-B176-8FE139DFBD0C}" name="Column6656" dataCellStyle="Normal 2"/>
    <tableColumn id="6672" xr3:uid="{DF891E27-5B12-4CFA-B36B-F3408B395C54}" name="Column6657" dataCellStyle="Normal 2"/>
    <tableColumn id="6673" xr3:uid="{961E0229-FF4D-4216-A784-74B276EA603F}" name="Column6658" dataCellStyle="Normal 2"/>
    <tableColumn id="6674" xr3:uid="{30648FDE-AA3D-4C23-A722-03A67F1D3BA9}" name="Column6659" dataCellStyle="Normal 2"/>
    <tableColumn id="6675" xr3:uid="{D83AB726-1387-4715-A1D0-1AC4C73F82DC}" name="Column6660" dataCellStyle="Normal 2"/>
    <tableColumn id="6676" xr3:uid="{43490DEF-2EA2-4294-BE2A-AB19FCB2AD2B}" name="Column6661" dataCellStyle="Normal 2"/>
    <tableColumn id="6677" xr3:uid="{B88347A1-548E-4B1C-AAB6-279B873B6D0A}" name="Column6662" dataCellStyle="Normal 2"/>
    <tableColumn id="6678" xr3:uid="{A412AAF2-411D-4399-B8C0-8BD502E7B4EA}" name="Column6663" dataCellStyle="Normal 2"/>
    <tableColumn id="6679" xr3:uid="{3F8F9207-BAF9-40D5-94DF-4E9554450D50}" name="Column6664" dataCellStyle="Normal 2"/>
    <tableColumn id="6680" xr3:uid="{C189F4D5-62F1-4200-9AAA-10D591312869}" name="Column6665" dataCellStyle="Normal 2"/>
    <tableColumn id="6681" xr3:uid="{C879F4E2-3F00-4BEB-8554-A3CDB2508311}" name="Column6666" dataCellStyle="Normal 2"/>
    <tableColumn id="6682" xr3:uid="{9140D299-E040-49AF-A23E-562627F5B698}" name="Column6667" dataCellStyle="Normal 2"/>
    <tableColumn id="6683" xr3:uid="{19CB1EFD-2C33-47F3-AF4D-A510A5E615AE}" name="Column6668" dataCellStyle="Normal 2"/>
    <tableColumn id="6684" xr3:uid="{050E7D83-AAE0-4580-9F01-1D1C1E1A8492}" name="Column6669" dataCellStyle="Normal 2"/>
    <tableColumn id="6685" xr3:uid="{068BE72F-1A20-4CA6-B1E3-A0E621C9EB41}" name="Column6670" dataCellStyle="Normal 2"/>
    <tableColumn id="6686" xr3:uid="{FBE12A86-232F-49DB-B791-38375EA13A7E}" name="Column6671" dataCellStyle="Normal 2"/>
    <tableColumn id="6687" xr3:uid="{95208BBF-9196-4CD6-8FD4-BBF87A3386BA}" name="Column6672" dataCellStyle="Normal 2"/>
    <tableColumn id="6688" xr3:uid="{8A67D3D4-8B03-4322-AFC2-3DD0350F3F9A}" name="Column6673" dataCellStyle="Normal 2"/>
    <tableColumn id="6689" xr3:uid="{ABF99EF1-2361-4AEE-9F4C-FD7E04E703EC}" name="Column6674" dataCellStyle="Normal 2"/>
    <tableColumn id="6690" xr3:uid="{2A5C58C4-48A2-41E6-A935-458D07A09732}" name="Column6675" dataCellStyle="Normal 2"/>
    <tableColumn id="6691" xr3:uid="{8927355D-45EC-4599-88C7-7134BEBAF143}" name="Column6676" dataCellStyle="Normal 2"/>
    <tableColumn id="6692" xr3:uid="{63044395-F251-4AF6-8828-208332FC3A77}" name="Column6677" dataCellStyle="Normal 2"/>
    <tableColumn id="6693" xr3:uid="{9809B8C0-CAE5-4B74-96AB-AB32202CB639}" name="Column6678" dataCellStyle="Normal 2"/>
    <tableColumn id="6694" xr3:uid="{2A598194-8E1A-433D-B29C-8AAC2D219707}" name="Column6679" dataCellStyle="Normal 2"/>
    <tableColumn id="6695" xr3:uid="{E6B0449A-6D03-485E-A0CF-87104DFDAE2E}" name="Column6680" dataCellStyle="Normal 2"/>
    <tableColumn id="6696" xr3:uid="{A72FC9F9-A81E-4887-AD1A-1740879BDE55}" name="Column6681" dataCellStyle="Normal 2"/>
    <tableColumn id="6697" xr3:uid="{4BF2815A-43A5-4CB6-8EA8-05FDDA6CE63E}" name="Column6682" dataCellStyle="Normal 2"/>
    <tableColumn id="6698" xr3:uid="{6F47950D-CBDE-4758-BE13-64EA52E776A2}" name="Column6683" dataCellStyle="Normal 2"/>
    <tableColumn id="6699" xr3:uid="{9BBF6377-36F8-41CF-917A-1D97BFB4B75C}" name="Column6684" dataCellStyle="Normal 2"/>
    <tableColumn id="6700" xr3:uid="{DB6C2EA9-9EC0-4CCD-AA0F-05B400A4068E}" name="Column6685" dataCellStyle="Normal 2"/>
    <tableColumn id="6701" xr3:uid="{075BD4A7-1E61-432B-82DF-DA519E3AF11A}" name="Column6686" dataCellStyle="Normal 2"/>
    <tableColumn id="6702" xr3:uid="{FFB91E5D-0AD1-4DE3-B462-25C4945418F3}" name="Column6687" dataCellStyle="Normal 2"/>
    <tableColumn id="6703" xr3:uid="{6F58B00B-A9DC-4DE9-941F-D563E8B1FC38}" name="Column6688" dataCellStyle="Normal 2"/>
    <tableColumn id="6704" xr3:uid="{5D41EB5B-2466-459A-95F8-151E94A45A18}" name="Column6689" dataCellStyle="Normal 2"/>
    <tableColumn id="6705" xr3:uid="{DC4BE9A6-8F24-44B6-BC49-D360DB1CA631}" name="Column6690" dataCellStyle="Normal 2"/>
    <tableColumn id="6706" xr3:uid="{2F97F79C-F24B-446F-ACE6-4059D619F481}" name="Column6691" dataCellStyle="Normal 2"/>
    <tableColumn id="6707" xr3:uid="{E0D8152E-8A3A-4161-B324-25B49DDBB0D7}" name="Column6692" dataCellStyle="Normal 2"/>
    <tableColumn id="6708" xr3:uid="{949ECEFB-C338-47B7-B949-25CE891CE0C3}" name="Column6693" dataCellStyle="Normal 2"/>
    <tableColumn id="6709" xr3:uid="{4B2CF004-6440-4A19-B60D-0B030EC41B38}" name="Column6694" dataCellStyle="Normal 2"/>
    <tableColumn id="6710" xr3:uid="{8DC6E62F-CAB1-406A-AFB9-DA43EBA40E77}" name="Column6695" dataCellStyle="Normal 2"/>
    <tableColumn id="6711" xr3:uid="{B308D371-719B-4776-8655-BCA2E2CD2129}" name="Column6696" dataCellStyle="Normal 2"/>
    <tableColumn id="6712" xr3:uid="{A10030BD-4461-4217-8A19-30BC7377CCA8}" name="Column6697" dataCellStyle="Normal 2"/>
    <tableColumn id="6713" xr3:uid="{5B5BD5BD-817B-483D-BA11-D2E5CAAF9EE4}" name="Column6698" dataCellStyle="Normal 2"/>
    <tableColumn id="6714" xr3:uid="{B1553E68-D348-4FEC-8C2C-1D051DA42FCC}" name="Column6699" dataCellStyle="Normal 2"/>
    <tableColumn id="6715" xr3:uid="{551F2F87-CCBE-4C0D-87BD-A746C6FD2C6D}" name="Column6700" dataCellStyle="Normal 2"/>
    <tableColumn id="6716" xr3:uid="{FFF1FA53-BA91-4E7E-ACBE-EE0B88F24683}" name="Column6701" dataCellStyle="Normal 2"/>
    <tableColumn id="6717" xr3:uid="{CB9AA01F-9689-4712-99CD-271866AA89C1}" name="Column6702" dataCellStyle="Normal 2"/>
    <tableColumn id="6718" xr3:uid="{0BB007DB-D075-4FB2-8C34-7F46E665BF50}" name="Column6703" dataCellStyle="Normal 2"/>
    <tableColumn id="6719" xr3:uid="{C7FA9477-D39A-4D9E-B804-D44265479404}" name="Column6704" dataCellStyle="Normal 2"/>
    <tableColumn id="6720" xr3:uid="{BE6DF07E-8E3D-48C5-879A-7F6831A7E539}" name="Column6705" dataCellStyle="Normal 2"/>
    <tableColumn id="6721" xr3:uid="{3CB0F05C-4F0E-4542-B3FB-D014C629892F}" name="Column6706" dataCellStyle="Normal 2"/>
    <tableColumn id="6722" xr3:uid="{22B08989-4E57-4BD1-83B6-9ECD5098283B}" name="Column6707" dataCellStyle="Normal 2"/>
    <tableColumn id="6723" xr3:uid="{C98E7EF4-6AF5-4EA4-A520-69E9F9FD94CC}" name="Column6708" dataCellStyle="Normal 2"/>
    <tableColumn id="6724" xr3:uid="{CAF53D77-42DA-4B11-8CA6-8CAFC52D3938}" name="Column6709" dataCellStyle="Normal 2"/>
    <tableColumn id="6725" xr3:uid="{0EC95AD8-0966-48E8-AFE0-A539E12B7BA8}" name="Column6710" dataCellStyle="Normal 2"/>
    <tableColumn id="6726" xr3:uid="{0356AE1A-1BB9-48B3-9093-2269CC341BE1}" name="Column6711" dataCellStyle="Normal 2"/>
    <tableColumn id="6727" xr3:uid="{4FC1AFDC-113B-4652-BCFD-5633681042E9}" name="Column6712" dataCellStyle="Normal 2"/>
    <tableColumn id="6728" xr3:uid="{2DE34806-E7D2-4F49-877D-6461B5B9652B}" name="Column6713" dataCellStyle="Normal 2"/>
    <tableColumn id="6729" xr3:uid="{3236E332-A8DB-48E4-A454-3E58B66CCB33}" name="Column6714" dataCellStyle="Normal 2"/>
    <tableColumn id="6730" xr3:uid="{8D0D9008-56E6-425A-B7F2-CD665478C692}" name="Column6715" dataCellStyle="Normal 2"/>
    <tableColumn id="6731" xr3:uid="{A966F487-CA9E-48C7-91C6-493B41F943A4}" name="Column6716" dataCellStyle="Normal 2"/>
    <tableColumn id="6732" xr3:uid="{D2F1EEF4-F56A-445D-BDC7-8163EB2D2F3B}" name="Column6717" dataCellStyle="Normal 2"/>
    <tableColumn id="6733" xr3:uid="{8DD7CB76-9DD2-47DD-A317-A2584F814E82}" name="Column6718" dataCellStyle="Normal 2"/>
    <tableColumn id="6734" xr3:uid="{E321EF84-8E71-44B2-83C3-BE0841146DE0}" name="Column6719" dataCellStyle="Normal 2"/>
    <tableColumn id="6735" xr3:uid="{CAB9F8A0-691C-4818-90D8-59B0E2B5FB43}" name="Column6720" dataCellStyle="Normal 2"/>
    <tableColumn id="6736" xr3:uid="{3BE90395-853F-46BE-B036-019E83BE3165}" name="Column6721" dataCellStyle="Normal 2"/>
    <tableColumn id="6737" xr3:uid="{AEA12EFF-3E67-416F-8979-74225E5AFCDF}" name="Column6722" dataCellStyle="Normal 2"/>
    <tableColumn id="6738" xr3:uid="{ABAFBE85-8365-43EA-ABC6-0C529FD374EA}" name="Column6723" dataCellStyle="Normal 2"/>
    <tableColumn id="6739" xr3:uid="{1116F60C-323C-4681-A768-545E93234320}" name="Column6724" dataCellStyle="Normal 2"/>
    <tableColumn id="6740" xr3:uid="{6F0BC309-64C8-45B0-A050-10FCA690CF83}" name="Column6725" dataCellStyle="Normal 2"/>
    <tableColumn id="6741" xr3:uid="{A65EBDA8-722E-4232-8A81-BD7277A8305E}" name="Column6726" dataCellStyle="Normal 2"/>
    <tableColumn id="6742" xr3:uid="{6AA4F393-827A-4C63-8CEF-C31494315152}" name="Column6727" dataCellStyle="Normal 2"/>
    <tableColumn id="6743" xr3:uid="{AD06737B-B863-4C7A-AB8C-9971FEAA0962}" name="Column6728" dataCellStyle="Normal 2"/>
    <tableColumn id="6744" xr3:uid="{96B4C290-6319-420B-8F11-18868F9A5981}" name="Column6729" dataCellStyle="Normal 2"/>
    <tableColumn id="6745" xr3:uid="{7C65DAAF-59F5-4406-A7B0-76D66CB06C12}" name="Column6730" dataCellStyle="Normal 2"/>
    <tableColumn id="6746" xr3:uid="{9F00067E-2025-4867-AF5A-B0B02C997070}" name="Column6731" dataCellStyle="Normal 2"/>
    <tableColumn id="6747" xr3:uid="{680E11AA-BD2C-4293-AD48-1C099B8943D6}" name="Column6732" dataCellStyle="Normal 2"/>
    <tableColumn id="6748" xr3:uid="{0AAE3886-ECF7-43D8-81BE-97CC61F580E5}" name="Column6733" dataCellStyle="Normal 2"/>
    <tableColumn id="6749" xr3:uid="{E11C33C5-8C3E-4125-A260-81134AEDEA16}" name="Column6734" dataCellStyle="Normal 2"/>
    <tableColumn id="6750" xr3:uid="{74257260-4B68-42B7-A426-16CD4BB5D8D2}" name="Column6735" dataCellStyle="Normal 2"/>
    <tableColumn id="6751" xr3:uid="{F92A1C73-D307-4935-818B-F9EE613B7D9F}" name="Column6736" dataCellStyle="Normal 2"/>
    <tableColumn id="6752" xr3:uid="{D3BAA5E3-627F-4BE8-99CD-1EA5811C89D8}" name="Column6737" dataCellStyle="Normal 2"/>
    <tableColumn id="6753" xr3:uid="{4A72EF78-E654-46A1-AAD3-3CB7913B9EBC}" name="Column6738" dataCellStyle="Normal 2"/>
    <tableColumn id="6754" xr3:uid="{D74C004B-F807-4F3C-AA64-4788388A4882}" name="Column6739" dataCellStyle="Normal 2"/>
    <tableColumn id="6755" xr3:uid="{9E4072E5-6077-47E5-BDCB-6BDA79A40396}" name="Column6740" dataCellStyle="Normal 2"/>
    <tableColumn id="6756" xr3:uid="{F0DE157D-C9C6-4F3C-873C-CE15CB53080F}" name="Column6741" dataCellStyle="Normal 2"/>
    <tableColumn id="6757" xr3:uid="{B1A833AD-436B-435D-AF80-4E24EB0CF81E}" name="Column6742" dataCellStyle="Normal 2"/>
    <tableColumn id="6758" xr3:uid="{86599025-504E-407D-96D6-331A6228FE54}" name="Column6743" dataCellStyle="Normal 2"/>
    <tableColumn id="6759" xr3:uid="{D885CDF6-2CCC-4F2A-AEF6-98FFD67DEC38}" name="Column6744" dataCellStyle="Normal 2"/>
    <tableColumn id="6760" xr3:uid="{584C3551-601F-4596-87EF-15CAA7CCB970}" name="Column6745" dataCellStyle="Normal 2"/>
    <tableColumn id="6761" xr3:uid="{CAD0FAA3-95A4-4B11-9791-18412B371B32}" name="Column6746" dataCellStyle="Normal 2"/>
    <tableColumn id="6762" xr3:uid="{24F19BAF-1E21-4BC3-905D-9D46C64C608A}" name="Column6747" dataCellStyle="Normal 2"/>
    <tableColumn id="6763" xr3:uid="{8044BFEF-8BB6-42D5-9A75-98082AFB3A56}" name="Column6748" dataCellStyle="Normal 2"/>
    <tableColumn id="6764" xr3:uid="{B6C3521E-11D2-4F32-A965-8BCEE596C441}" name="Column6749" dataCellStyle="Normal 2"/>
    <tableColumn id="6765" xr3:uid="{E1F9B9E6-0305-4936-AB63-F29600EEE4A5}" name="Column6750" dataCellStyle="Normal 2"/>
    <tableColumn id="6766" xr3:uid="{BE256884-6372-425B-81A0-C130D36FA40A}" name="Column6751" dataCellStyle="Normal 2"/>
    <tableColumn id="6767" xr3:uid="{79D86FD9-2D5F-4020-92E1-A4767EACDDE6}" name="Column6752" dataCellStyle="Normal 2"/>
    <tableColumn id="6768" xr3:uid="{6BDA7E49-983A-4B05-8780-2FFC8202EE53}" name="Column6753" dataCellStyle="Normal 2"/>
    <tableColumn id="6769" xr3:uid="{AD33FEB9-61C4-4F3C-AAA9-F80057FD5C3E}" name="Column6754" dataCellStyle="Normal 2"/>
    <tableColumn id="6770" xr3:uid="{FBC952F2-2216-4CFA-A7A4-B8CF91B35F71}" name="Column6755" dataCellStyle="Normal 2"/>
    <tableColumn id="6771" xr3:uid="{20AB49B3-6A81-4CB6-8BAD-D6B12EAE349B}" name="Column6756" dataCellStyle="Normal 2"/>
    <tableColumn id="6772" xr3:uid="{B3DD465B-D971-4A80-8C43-D9D7FAEBFBE0}" name="Column6757" dataCellStyle="Normal 2"/>
    <tableColumn id="6773" xr3:uid="{F64AAD9C-F4AC-49A4-A76E-43D3AB0F7212}" name="Column6758" dataCellStyle="Normal 2"/>
    <tableColumn id="6774" xr3:uid="{8769ECB2-7C6D-4B80-92EC-22E8B27CFFE2}" name="Column6759" dataCellStyle="Normal 2"/>
    <tableColumn id="6775" xr3:uid="{3ED7AA9B-1CE0-4861-8FB2-8AE4E68A50D2}" name="Column6760" dataCellStyle="Normal 2"/>
    <tableColumn id="6776" xr3:uid="{314D56CA-A2C8-449C-A3E0-B96E0C1BE352}" name="Column6761" dataCellStyle="Normal 2"/>
    <tableColumn id="6777" xr3:uid="{13973863-48D7-4A13-B45D-4204FB09682D}" name="Column6762" dataCellStyle="Normal 2"/>
    <tableColumn id="6778" xr3:uid="{D963BBDA-4DEA-4B67-B9BB-715A71814320}" name="Column6763" dataCellStyle="Normal 2"/>
    <tableColumn id="6779" xr3:uid="{D760127A-4545-48FC-A9CC-06E835F2E33E}" name="Column6764" dataCellStyle="Normal 2"/>
    <tableColumn id="6780" xr3:uid="{0316BFB1-13DD-4D63-A928-B1362FF6B763}" name="Column6765" dataCellStyle="Normal 2"/>
    <tableColumn id="6781" xr3:uid="{E191875A-F75D-41FB-A934-CA9804D3AAA6}" name="Column6766" dataCellStyle="Normal 2"/>
    <tableColumn id="6782" xr3:uid="{6FABE949-82A5-4292-81A3-145DCF5D72AB}" name="Column6767" dataCellStyle="Normal 2"/>
    <tableColumn id="6783" xr3:uid="{194DF323-B006-446D-A7F4-1CF36046E369}" name="Column6768" dataCellStyle="Normal 2"/>
    <tableColumn id="6784" xr3:uid="{DD2FA483-EE4E-43A9-A35C-78F680CA52C1}" name="Column6769" dataCellStyle="Normal 2"/>
    <tableColumn id="6785" xr3:uid="{E5626AFD-1653-4C1F-805F-AECA4F7302D0}" name="Column6770" dataCellStyle="Normal 2"/>
    <tableColumn id="6786" xr3:uid="{005C3B14-CC07-442A-A277-B6A5D996D22E}" name="Column6771" dataCellStyle="Normal 2"/>
    <tableColumn id="6787" xr3:uid="{C8790D96-DD54-40D4-A929-0951DC0BBEA3}" name="Column6772" dataCellStyle="Normal 2"/>
    <tableColumn id="6788" xr3:uid="{CED23D07-A5C8-498F-B51B-5EBD54DA1D12}" name="Column6773" dataCellStyle="Normal 2"/>
    <tableColumn id="6789" xr3:uid="{2F8C8923-81A8-4456-9F6D-06882906B383}" name="Column6774" dataCellStyle="Normal 2"/>
    <tableColumn id="6790" xr3:uid="{98DC7511-649B-4C81-A287-95281C79F071}" name="Column6775" dataCellStyle="Normal 2"/>
    <tableColumn id="6791" xr3:uid="{5CF75B1A-C6F4-4FD5-B554-8EFC770DBA0C}" name="Column6776" dataCellStyle="Normal 2"/>
    <tableColumn id="6792" xr3:uid="{8D3E22F3-DD19-4636-9EA6-67D257BC0365}" name="Column6777" dataCellStyle="Normal 2"/>
    <tableColumn id="6793" xr3:uid="{DB0F1AC3-E3FE-405B-9708-11919C295490}" name="Column6778" dataCellStyle="Normal 2"/>
    <tableColumn id="6794" xr3:uid="{C31D9CFB-CE9C-4984-AE72-E37A17B94444}" name="Column6779" dataCellStyle="Normal 2"/>
    <tableColumn id="6795" xr3:uid="{2E2CFCA8-2CC7-4FA0-8C94-1A5F3D488B05}" name="Column6780" dataCellStyle="Normal 2"/>
    <tableColumn id="6796" xr3:uid="{BAA33E75-28A0-45E9-9130-A2391E6AC2EA}" name="Column6781" dataCellStyle="Normal 2"/>
    <tableColumn id="6797" xr3:uid="{08AE1FB7-1AEA-4D8B-BDFB-AC7202C0E7E7}" name="Column6782" dataCellStyle="Normal 2"/>
    <tableColumn id="6798" xr3:uid="{4EC74183-2A3D-4228-9CEE-71D9269B6983}" name="Column6783" dataCellStyle="Normal 2"/>
    <tableColumn id="6799" xr3:uid="{5A0FD0A9-F27C-4B4B-B973-AF39F66E0387}" name="Column6784" dataCellStyle="Normal 2"/>
    <tableColumn id="6800" xr3:uid="{54652AF5-F8F7-414A-B22C-A91A85B63E30}" name="Column6785" dataCellStyle="Normal 2"/>
    <tableColumn id="6801" xr3:uid="{0947ECB2-7F9E-49CD-8F1A-6996CFD59071}" name="Column6786" dataCellStyle="Normal 2"/>
    <tableColumn id="6802" xr3:uid="{11662361-63AF-4A22-A9E4-2FF3DE6A0B67}" name="Column6787" dataCellStyle="Normal 2"/>
    <tableColumn id="6803" xr3:uid="{51BDC60A-960F-431D-8C71-882645875002}" name="Column6788" dataCellStyle="Normal 2"/>
    <tableColumn id="6804" xr3:uid="{FD77E759-BE16-4850-8A0F-379E55B3DB8F}" name="Column6789" dataCellStyle="Normal 2"/>
    <tableColumn id="6805" xr3:uid="{063AEC6F-5C63-486E-BA36-F8EFEF98EAF8}" name="Column6790" dataCellStyle="Normal 2"/>
    <tableColumn id="6806" xr3:uid="{42D1AD9B-B6A8-4E8B-B0C7-E34F0B8F3E63}" name="Column6791" dataCellStyle="Normal 2"/>
    <tableColumn id="6807" xr3:uid="{4181CCDD-C854-48BB-B697-50C33232ACBD}" name="Column6792" dataCellStyle="Normal 2"/>
    <tableColumn id="6808" xr3:uid="{C3D95402-3FE9-4B5E-9153-B415AA24AE51}" name="Column6793" dataCellStyle="Normal 2"/>
    <tableColumn id="6809" xr3:uid="{BD09F98A-F0A1-4E56-A31D-89A273019F4F}" name="Column6794" dataCellStyle="Normal 2"/>
    <tableColumn id="6810" xr3:uid="{36EE860E-9E8B-450F-869A-8D466E5B3A31}" name="Column6795" dataCellStyle="Normal 2"/>
    <tableColumn id="6811" xr3:uid="{AC1515CC-AE21-4E44-B81A-CF49F4BA26FE}" name="Column6796" dataCellStyle="Normal 2"/>
    <tableColumn id="6812" xr3:uid="{47DE72B5-F46F-4BE8-A56B-878B952DA066}" name="Column6797" dataCellStyle="Normal 2"/>
    <tableColumn id="6813" xr3:uid="{0E2ECB72-F95A-44A5-AB87-606E9D6BA754}" name="Column6798" dataCellStyle="Normal 2"/>
    <tableColumn id="6814" xr3:uid="{3A68A4A1-B500-46E2-804E-1AFA268F2491}" name="Column6799" dataCellStyle="Normal 2"/>
    <tableColumn id="6815" xr3:uid="{1661DA9A-2F04-427B-915B-428F195DE84F}" name="Column6800" dataCellStyle="Normal 2"/>
    <tableColumn id="6816" xr3:uid="{4A8B9011-B219-4F3B-8DDC-4373CA6A49EC}" name="Column6801" dataCellStyle="Normal 2"/>
    <tableColumn id="6817" xr3:uid="{6389E8AD-F25B-4AF6-AB87-68F116BAD165}" name="Column6802" dataCellStyle="Normal 2"/>
    <tableColumn id="6818" xr3:uid="{37DEB48F-9F6B-4CAE-934C-E6FF24ACEE24}" name="Column6803" dataCellStyle="Normal 2"/>
    <tableColumn id="6819" xr3:uid="{277B527A-AC48-4458-AE20-D7BCD2B69C63}" name="Column6804" dataCellStyle="Normal 2"/>
    <tableColumn id="6820" xr3:uid="{188B6453-79A8-481A-8D2D-4B0A89FE12DF}" name="Column6805" dataCellStyle="Normal 2"/>
    <tableColumn id="6821" xr3:uid="{C30D7C92-BFCA-4E56-82E4-4A8A45B670D6}" name="Column6806" dataCellStyle="Normal 2"/>
    <tableColumn id="6822" xr3:uid="{AAA83B46-C842-4EEF-BC3B-F609DE96EB70}" name="Column6807" dataCellStyle="Normal 2"/>
    <tableColumn id="6823" xr3:uid="{2732CEB0-F15C-41E6-83B6-848D2B4D635A}" name="Column6808" dataCellStyle="Normal 2"/>
    <tableColumn id="6824" xr3:uid="{9B752920-AA47-4DD2-83CC-D7F1FDC88F97}" name="Column6809" dataCellStyle="Normal 2"/>
    <tableColumn id="6825" xr3:uid="{D3F3513B-5A4E-42DD-BCBB-19D0B70F05FB}" name="Column6810" dataCellStyle="Normal 2"/>
    <tableColumn id="6826" xr3:uid="{905C01AB-F176-4E0A-B68B-10585C224D1A}" name="Column6811" dataCellStyle="Normal 2"/>
    <tableColumn id="6827" xr3:uid="{BAF43E9B-FA58-4D26-914E-9960FE86AF81}" name="Column6812" dataCellStyle="Normal 2"/>
    <tableColumn id="6828" xr3:uid="{A2021E86-5351-4C22-BFDF-4624E2B5D3A4}" name="Column6813" dataCellStyle="Normal 2"/>
    <tableColumn id="6829" xr3:uid="{CD213D6C-00D6-42B4-9E0F-38A21228C72C}" name="Column6814" dataCellStyle="Normal 2"/>
    <tableColumn id="6830" xr3:uid="{49A13C9B-1043-49D6-A949-68A02C1F45EB}" name="Column6815" dataCellStyle="Normal 2"/>
    <tableColumn id="6831" xr3:uid="{1B0057C6-CFBB-4CA5-A0F4-CFCB5DF22D45}" name="Column6816" dataCellStyle="Normal 2"/>
    <tableColumn id="6832" xr3:uid="{0481D35F-FCED-4501-AF35-82B82104BF3A}" name="Column6817" dataCellStyle="Normal 2"/>
    <tableColumn id="6833" xr3:uid="{9045B371-C961-46FF-8876-3296A464A805}" name="Column6818" dataCellStyle="Normal 2"/>
    <tableColumn id="6834" xr3:uid="{BD4856DD-0574-4379-8A1D-D153B8FBE325}" name="Column6819" dataCellStyle="Normal 2"/>
    <tableColumn id="6835" xr3:uid="{7D4AA5CB-ED79-4CE8-8ECE-56C8833C1E4D}" name="Column6820" dataCellStyle="Normal 2"/>
    <tableColumn id="6836" xr3:uid="{32C13052-748A-4678-943D-C0F8809DE9ED}" name="Column6821" dataCellStyle="Normal 2"/>
    <tableColumn id="6837" xr3:uid="{7809C20D-D972-42EF-8C3C-C523E545AA8F}" name="Column6822" dataCellStyle="Normal 2"/>
    <tableColumn id="6838" xr3:uid="{830E4AAE-C379-4CA9-A617-3573D1E8B65B}" name="Column6823" dataCellStyle="Normal 2"/>
    <tableColumn id="6839" xr3:uid="{BC10D0DA-946E-47D8-BE3B-123DDA08DE7E}" name="Column6824" dataCellStyle="Normal 2"/>
    <tableColumn id="6840" xr3:uid="{763A48C0-34D2-4F9D-87F6-0892D7C6530B}" name="Column6825" dataCellStyle="Normal 2"/>
    <tableColumn id="6841" xr3:uid="{B3E6372F-1619-4079-A3B2-B8D9AB804FDC}" name="Column6826" dataCellStyle="Normal 2"/>
    <tableColumn id="6842" xr3:uid="{82CA874B-B149-438B-B5B7-38E00E171DC0}" name="Column6827" dataCellStyle="Normal 2"/>
    <tableColumn id="6843" xr3:uid="{C1EAA662-9DF7-46CD-9AD3-174D70A2FE37}" name="Column6828" dataCellStyle="Normal 2"/>
    <tableColumn id="6844" xr3:uid="{A2F1A852-7653-461E-B632-87B45DFEAD75}" name="Column6829" dataCellStyle="Normal 2"/>
    <tableColumn id="6845" xr3:uid="{7123A7C4-4937-42A4-AD6F-B224DA4768EF}" name="Column6830" dataCellStyle="Normal 2"/>
    <tableColumn id="6846" xr3:uid="{092AB0DB-955B-4533-9213-038E2A90014F}" name="Column6831" dataCellStyle="Normal 2"/>
    <tableColumn id="6847" xr3:uid="{A04D37EF-1C85-40B3-8ACA-F2F93C03356E}" name="Column6832" dataCellStyle="Normal 2"/>
    <tableColumn id="6848" xr3:uid="{2A2DE802-37A7-4F06-A75F-13C54C2F22D2}" name="Column6833" dataCellStyle="Normal 2"/>
    <tableColumn id="6849" xr3:uid="{151BB37C-EA7C-4799-8F70-621474ACBEE8}" name="Column6834" dataCellStyle="Normal 2"/>
    <tableColumn id="6850" xr3:uid="{FEEF45CB-D5FD-412C-ACA6-088897B43089}" name="Column6835" dataCellStyle="Normal 2"/>
    <tableColumn id="6851" xr3:uid="{54C194A9-B2BC-4F92-BE7C-3AA7F6A9D659}" name="Column6836" dataCellStyle="Normal 2"/>
    <tableColumn id="6852" xr3:uid="{FB8E8876-E4CE-4EDF-9FC8-18153D405A92}" name="Column6837" dataCellStyle="Normal 2"/>
    <tableColumn id="6853" xr3:uid="{C363C6A6-EA99-440D-BD8F-D520897106B8}" name="Column6838" dataCellStyle="Normal 2"/>
    <tableColumn id="6854" xr3:uid="{893978D2-89D9-4442-B377-FEE0FD53B4A7}" name="Column6839" dataCellStyle="Normal 2"/>
    <tableColumn id="6855" xr3:uid="{EEE7CE07-0232-4C02-B54F-F3126154A55D}" name="Column6840" dataCellStyle="Normal 2"/>
    <tableColumn id="6856" xr3:uid="{8FC4F4EB-8C3A-442D-94B8-19ACD4F7F0B0}" name="Column6841" dataCellStyle="Normal 2"/>
    <tableColumn id="6857" xr3:uid="{DBCDAA6B-0DDE-4CB0-8CC2-E3E1A4C017B1}" name="Column6842" dataCellStyle="Normal 2"/>
    <tableColumn id="6858" xr3:uid="{5C66F6B7-F5A2-46B9-993E-FBC100EBC21C}" name="Column6843" dataCellStyle="Normal 2"/>
    <tableColumn id="6859" xr3:uid="{DF1E391E-B344-44E6-9415-B74CAC75658D}" name="Column6844" dataCellStyle="Normal 2"/>
    <tableColumn id="6860" xr3:uid="{C24F1D52-0DDE-4A5E-AC5B-6BDA22C84D51}" name="Column6845" dataCellStyle="Normal 2"/>
    <tableColumn id="6861" xr3:uid="{9DF319D9-A4EE-45D0-9FE3-FF30A4374EC4}" name="Column6846" dataCellStyle="Normal 2"/>
    <tableColumn id="6862" xr3:uid="{15266A99-A651-4767-9CA8-34CC1D1AEB68}" name="Column6847" dataCellStyle="Normal 2"/>
    <tableColumn id="6863" xr3:uid="{F786394E-C6C7-4BDF-8B78-1B04C58FFCE5}" name="Column6848" dataCellStyle="Normal 2"/>
    <tableColumn id="6864" xr3:uid="{3BD7D650-8D0F-47C1-A9FE-30CA5101477D}" name="Column6849" dataCellStyle="Normal 2"/>
    <tableColumn id="6865" xr3:uid="{0664E54A-E37B-4540-AC0B-0202DCBBC9EA}" name="Column6850" dataCellStyle="Normal 2"/>
    <tableColumn id="6866" xr3:uid="{EB41BE23-2C88-4479-B252-F0318FD15575}" name="Column6851" dataCellStyle="Normal 2"/>
    <tableColumn id="6867" xr3:uid="{1002D9C1-5C08-4981-943D-4A2EEA3985D4}" name="Column6852" dataCellStyle="Normal 2"/>
    <tableColumn id="6868" xr3:uid="{3E9588D4-2C21-4F09-B00E-53B83C48F6C1}" name="Column6853" dataCellStyle="Normal 2"/>
    <tableColumn id="6869" xr3:uid="{F198F51F-65E2-4884-A94F-CC56A8306599}" name="Column6854" dataCellStyle="Normal 2"/>
    <tableColumn id="6870" xr3:uid="{EDD81254-FBD1-4453-9E86-E05C18876AC2}" name="Column6855" dataCellStyle="Normal 2"/>
    <tableColumn id="6871" xr3:uid="{71CDD2B8-B1EE-4A13-BF2A-D73B24D329AE}" name="Column6856" dataCellStyle="Normal 2"/>
    <tableColumn id="6872" xr3:uid="{05B1CF8B-0C66-4E83-A4A1-ED5927AAFE3B}" name="Column6857" dataCellStyle="Normal 2"/>
    <tableColumn id="6873" xr3:uid="{81339562-5B15-45A5-9231-0B676148762C}" name="Column6858" dataCellStyle="Normal 2"/>
    <tableColumn id="6874" xr3:uid="{9D8A50C8-1951-46B1-8629-AA3AD70AE8F1}" name="Column6859" dataCellStyle="Normal 2"/>
    <tableColumn id="6875" xr3:uid="{88A5C60E-CC69-45F7-922D-29F063E049A0}" name="Column6860" dataCellStyle="Normal 2"/>
    <tableColumn id="6876" xr3:uid="{D5E2688A-9B36-4D0A-B1D3-560866908AF0}" name="Column6861" dataCellStyle="Normal 2"/>
    <tableColumn id="6877" xr3:uid="{B8F36CC9-D14E-43C5-A3FC-6F552EC765B2}" name="Column6862" dataCellStyle="Normal 2"/>
    <tableColumn id="6878" xr3:uid="{BE5C345B-3AB7-42F2-9053-95CB5CDB2395}" name="Column6863" dataCellStyle="Normal 2"/>
    <tableColumn id="6879" xr3:uid="{CFEA0117-D06A-41DF-93BF-EB5C124DC594}" name="Column6864" dataCellStyle="Normal 2"/>
    <tableColumn id="6880" xr3:uid="{B6317597-FC43-44E9-9C58-5872048E25AB}" name="Column6865" dataCellStyle="Normal 2"/>
    <tableColumn id="6881" xr3:uid="{4FFF3E8E-F08A-4B15-8783-19534010A506}" name="Column6866" dataCellStyle="Normal 2"/>
    <tableColumn id="6882" xr3:uid="{83D843D6-3510-4025-8DF3-268E73805BD1}" name="Column6867" dataCellStyle="Normal 2"/>
    <tableColumn id="6883" xr3:uid="{E3E34FDF-4633-40A5-A820-4E541B44B1F1}" name="Column6868" dataCellStyle="Normal 2"/>
    <tableColumn id="6884" xr3:uid="{ED0EC630-012B-4090-9AF1-74D8C066082D}" name="Column6869" dataCellStyle="Normal 2"/>
    <tableColumn id="6885" xr3:uid="{1A836B72-8E54-4A24-B4F6-1C75DFC85287}" name="Column6870" dataCellStyle="Normal 2"/>
    <tableColumn id="6886" xr3:uid="{1483A145-2319-4B58-9C07-AA180053E723}" name="Column6871" dataCellStyle="Normal 2"/>
    <tableColumn id="6887" xr3:uid="{E201EC36-CF7F-4EDE-BD42-550DEB8D363B}" name="Column6872" dataCellStyle="Normal 2"/>
    <tableColumn id="6888" xr3:uid="{78D273F7-178E-45C5-A3FF-4FB905BA7010}" name="Column6873" dataCellStyle="Normal 2"/>
    <tableColumn id="6889" xr3:uid="{636ECCF5-C304-4344-979B-11C096B25A6A}" name="Column6874" dataCellStyle="Normal 2"/>
    <tableColumn id="6890" xr3:uid="{1BDD5885-D12F-47D9-85B1-192395E83AC9}" name="Column6875" dataCellStyle="Normal 2"/>
    <tableColumn id="6891" xr3:uid="{554B15F0-2803-4AD8-8161-CA7D824960F5}" name="Column6876" dataCellStyle="Normal 2"/>
    <tableColumn id="6892" xr3:uid="{C537F9C6-5822-4AA1-9B73-AD5C63D6F0BC}" name="Column6877" dataCellStyle="Normal 2"/>
    <tableColumn id="6893" xr3:uid="{6F64535B-F396-44D4-973B-670B92F3398A}" name="Column6878" dataCellStyle="Normal 2"/>
    <tableColumn id="6894" xr3:uid="{DDBB7108-9416-4D4F-AFD6-06CB9DDCCD65}" name="Column6879" dataCellStyle="Normal 2"/>
    <tableColumn id="6895" xr3:uid="{252A73D3-A513-4FCD-9115-952AB5B7CC13}" name="Column6880" dataCellStyle="Normal 2"/>
    <tableColumn id="6896" xr3:uid="{3E322A3E-58AD-4665-8C77-C3F0115D7A25}" name="Column6881" dataCellStyle="Normal 2"/>
    <tableColumn id="6897" xr3:uid="{ED970E9D-9407-494B-8420-ED9B8B80A7A5}" name="Column6882" dataCellStyle="Normal 2"/>
    <tableColumn id="6898" xr3:uid="{2F836549-C50A-495E-A630-7F79364FAE86}" name="Column6883" dataCellStyle="Normal 2"/>
    <tableColumn id="6899" xr3:uid="{B4A1591F-8513-4A7E-B2ED-EFC31EB3B0CD}" name="Column6884" dataCellStyle="Normal 2"/>
    <tableColumn id="6900" xr3:uid="{63560C5C-3A58-4A82-BFDE-A811D2A61E50}" name="Column6885" dataCellStyle="Normal 2"/>
    <tableColumn id="6901" xr3:uid="{BC4CC17D-0CD5-43A8-AF86-79F80A62E896}" name="Column6886" dataCellStyle="Normal 2"/>
    <tableColumn id="6902" xr3:uid="{36E64CE5-F705-4F36-B0B1-9C417EB38FBB}" name="Column6887" dataCellStyle="Normal 2"/>
    <tableColumn id="6903" xr3:uid="{027B2BC5-F2F6-4880-B2E7-59AE35E04B89}" name="Column6888" dataCellStyle="Normal 2"/>
    <tableColumn id="6904" xr3:uid="{7B2ED1AD-CB06-4277-8E7F-2260FEEC76A1}" name="Column6889" dataCellStyle="Normal 2"/>
    <tableColumn id="6905" xr3:uid="{CC9BD175-F401-4551-A12D-F0D39237820C}" name="Column6890" dataCellStyle="Normal 2"/>
    <tableColumn id="6906" xr3:uid="{A7A2DDDA-3F28-41D5-89EC-E21E93BAD36D}" name="Column6891" dataCellStyle="Normal 2"/>
    <tableColumn id="6907" xr3:uid="{87C04177-FEEE-42C9-8A18-EEEBB69E5155}" name="Column6892" dataCellStyle="Normal 2"/>
    <tableColumn id="6908" xr3:uid="{E429B507-70D8-4233-AFBD-415B5E896298}" name="Column6893" dataCellStyle="Normal 2"/>
    <tableColumn id="6909" xr3:uid="{BE37732E-D2A9-45DD-9116-19B2126AD46C}" name="Column6894" dataCellStyle="Normal 2"/>
    <tableColumn id="6910" xr3:uid="{0A8E9EAB-EAFC-45EA-8E5B-EE357D0BDEFF}" name="Column6895" dataCellStyle="Normal 2"/>
    <tableColumn id="6911" xr3:uid="{164B13BC-F33B-4D88-BCAA-726ED6C9A225}" name="Column6896" dataCellStyle="Normal 2"/>
    <tableColumn id="6912" xr3:uid="{DD9F8925-16DA-4378-B6F3-9B6ABEE8AC68}" name="Column6897" dataCellStyle="Normal 2"/>
    <tableColumn id="6913" xr3:uid="{5CBE6004-A828-4DD4-8B5B-E8569EFBE43C}" name="Column6898" dataCellStyle="Normal 2"/>
    <tableColumn id="6914" xr3:uid="{A546DF2A-E21F-41E1-84E2-C1A8BE1EFA1E}" name="Column6899" dataCellStyle="Normal 2"/>
    <tableColumn id="6915" xr3:uid="{4AE93C81-5B85-4C13-ABE5-536635AC3C3F}" name="Column6900" dataCellStyle="Normal 2"/>
    <tableColumn id="6916" xr3:uid="{8FBF1AA9-C34B-443B-AD99-A14B73CE00B0}" name="Column6901" dataCellStyle="Normal 2"/>
    <tableColumn id="6917" xr3:uid="{DE309466-79DD-4619-839A-BCD8579216C3}" name="Column6902" dataCellStyle="Normal 2"/>
    <tableColumn id="6918" xr3:uid="{53F69D12-3BB4-4FBE-9C26-64B11DF4D0A5}" name="Column6903" dataCellStyle="Normal 2"/>
    <tableColumn id="6919" xr3:uid="{8973B8D0-FDA9-4565-932F-638F66422D27}" name="Column6904" dataCellStyle="Normal 2"/>
    <tableColumn id="6920" xr3:uid="{0C07A400-545C-472E-AB41-1C2884173F39}" name="Column6905" dataCellStyle="Normal 2"/>
    <tableColumn id="6921" xr3:uid="{94A74AE9-BBCE-42A8-B607-6D33254391A0}" name="Column6906" dataCellStyle="Normal 2"/>
    <tableColumn id="6922" xr3:uid="{FCD8263C-62B6-44BB-B8C7-18A0BE748143}" name="Column6907" dataCellStyle="Normal 2"/>
    <tableColumn id="6923" xr3:uid="{940F1381-0F36-4FC9-9F80-ECBF814FCF2E}" name="Column6908" dataCellStyle="Normal 2"/>
    <tableColumn id="6924" xr3:uid="{750A3A07-E978-4C18-B974-A69EF325879A}" name="Column6909" dataCellStyle="Normal 2"/>
    <tableColumn id="6925" xr3:uid="{9524B2C1-D236-4F5B-8D9E-93031967FCB3}" name="Column6910" dataCellStyle="Normal 2"/>
    <tableColumn id="6926" xr3:uid="{73945735-EC95-4F69-9526-620122B81B4F}" name="Column6911" dataCellStyle="Normal 2"/>
    <tableColumn id="6927" xr3:uid="{6C150C4C-5626-4052-8261-D7BB3BF4B953}" name="Column6912" dataCellStyle="Normal 2"/>
    <tableColumn id="6928" xr3:uid="{4A7C59BF-422D-49EA-9524-3CCA4FC60D26}" name="Column6913" dataCellStyle="Normal 2"/>
    <tableColumn id="6929" xr3:uid="{6A67C94E-223C-49F7-A2BA-2E41E09B48B5}" name="Column6914" dataCellStyle="Normal 2"/>
    <tableColumn id="6930" xr3:uid="{A8B51998-0DEA-4A0F-A4C7-EB9E8993AC08}" name="Column6915" dataCellStyle="Normal 2"/>
    <tableColumn id="6931" xr3:uid="{526A85F5-9AC7-4560-BA71-24FB7C53FD82}" name="Column6916" dataCellStyle="Normal 2"/>
    <tableColumn id="6932" xr3:uid="{7E40E261-2FE2-4986-8844-BC0B80EE9398}" name="Column6917" dataCellStyle="Normal 2"/>
    <tableColumn id="6933" xr3:uid="{50394AEC-C330-45A8-A300-580DB1E14194}" name="Column6918" dataCellStyle="Normal 2"/>
    <tableColumn id="6934" xr3:uid="{6A5AFDCE-99D2-48FC-A41C-6A96D4D6A549}" name="Column6919" dataCellStyle="Normal 2"/>
    <tableColumn id="6935" xr3:uid="{01B59A67-6CF8-4A03-9AAC-5FF5BED83388}" name="Column6920" dataCellStyle="Normal 2"/>
    <tableColumn id="6936" xr3:uid="{8DFF2F24-6D4C-4532-9C44-317656874791}" name="Column6921" dataCellStyle="Normal 2"/>
    <tableColumn id="6937" xr3:uid="{1FBD490A-17B0-49F1-ABA8-AD44C25D17D3}" name="Column6922" dataCellStyle="Normal 2"/>
    <tableColumn id="6938" xr3:uid="{25DFDD23-D62B-4F6C-B585-A98C5FD09469}" name="Column6923" dataCellStyle="Normal 2"/>
    <tableColumn id="6939" xr3:uid="{4BB4F7C1-DB36-4F7E-8A48-4F4B63F1B5D6}" name="Column6924" dataCellStyle="Normal 2"/>
    <tableColumn id="6940" xr3:uid="{D777A777-B258-4E57-A8AE-ED4B5D3B6289}" name="Column6925" dataCellStyle="Normal 2"/>
    <tableColumn id="6941" xr3:uid="{93BF484F-7F6F-4155-A882-37BAB019EB36}" name="Column6926" dataCellStyle="Normal 2"/>
    <tableColumn id="6942" xr3:uid="{36B582CB-AE1B-4920-83F9-D6A46B44A57B}" name="Column6927" dataCellStyle="Normal 2"/>
    <tableColumn id="6943" xr3:uid="{DC2AF03F-7B1E-4BF5-B1D2-53872F164295}" name="Column6928" dataCellStyle="Normal 2"/>
    <tableColumn id="6944" xr3:uid="{E9600A3B-E53D-4EB6-8D93-67690D3AAF8F}" name="Column6929" dataCellStyle="Normal 2"/>
    <tableColumn id="6945" xr3:uid="{1285A09B-40F3-4753-B975-B77FC884081B}" name="Column6930" dataCellStyle="Normal 2"/>
    <tableColumn id="6946" xr3:uid="{9069B223-7EBB-4EFC-B8AA-8756995CF1B9}" name="Column6931" dataCellStyle="Normal 2"/>
    <tableColumn id="6947" xr3:uid="{D654E2E3-CA19-49CE-A45B-7590480C5F5C}" name="Column6932" dataCellStyle="Normal 2"/>
    <tableColumn id="6948" xr3:uid="{D80A5160-59B3-45BA-B5BC-0BF9770088CD}" name="Column6933" dataCellStyle="Normal 2"/>
    <tableColumn id="6949" xr3:uid="{E725DA1B-5E73-4CD3-B8BB-B2E9FBBB025F}" name="Column6934" dataCellStyle="Normal 2"/>
    <tableColumn id="6950" xr3:uid="{A0F6D303-7843-4B2A-8960-045B551B6AEE}" name="Column6935" dataCellStyle="Normal 2"/>
    <tableColumn id="6951" xr3:uid="{4521F52A-9D66-4A25-A91E-343CB788B6B9}" name="Column6936" dataCellStyle="Normal 2"/>
    <tableColumn id="6952" xr3:uid="{89BD0E2C-A0B6-4A8F-8803-94840F99C0E7}" name="Column6937" dataCellStyle="Normal 2"/>
    <tableColumn id="6953" xr3:uid="{C5B8325A-0390-4A60-84E2-990D30E838AE}" name="Column6938" dataCellStyle="Normal 2"/>
    <tableColumn id="6954" xr3:uid="{CF29391D-187E-4720-894E-5852B1326ADF}" name="Column6939" dataCellStyle="Normal 2"/>
    <tableColumn id="6955" xr3:uid="{4C008D5C-A489-4D2C-A00F-3232070E56DC}" name="Column6940" dataCellStyle="Normal 2"/>
    <tableColumn id="6956" xr3:uid="{361F2FE5-5C8D-4A40-BCF1-189B045A253A}" name="Column6941" dataCellStyle="Normal 2"/>
    <tableColumn id="6957" xr3:uid="{452B2B23-3785-4332-899C-A8F38C49C8DC}" name="Column6942" dataCellStyle="Normal 2"/>
    <tableColumn id="6958" xr3:uid="{4229ADEB-3B46-4FBC-BCBA-CBB6CC37724A}" name="Column6943" dataCellStyle="Normal 2"/>
    <tableColumn id="6959" xr3:uid="{20F59AC7-600A-4137-869F-7DB91C1C6F1F}" name="Column6944" dataCellStyle="Normal 2"/>
    <tableColumn id="6960" xr3:uid="{DB21AFE8-B5B2-4FFB-B3C0-8A9A211E6B61}" name="Column6945" dataCellStyle="Normal 2"/>
    <tableColumn id="6961" xr3:uid="{1935F8AC-514E-43DE-8195-96F8BC9C4B3D}" name="Column6946" dataCellStyle="Normal 2"/>
    <tableColumn id="6962" xr3:uid="{85DCE366-26E8-409C-B25F-0787CFEC9276}" name="Column6947" dataCellStyle="Normal 2"/>
    <tableColumn id="6963" xr3:uid="{AF6D793F-634E-4F46-BAC6-6328CAA99D8E}" name="Column6948" dataCellStyle="Normal 2"/>
    <tableColumn id="6964" xr3:uid="{062E86E6-F291-43FA-94F5-607F8DB32130}" name="Column6949" dataCellStyle="Normal 2"/>
    <tableColumn id="6965" xr3:uid="{5140B3F3-33D4-4F0C-83B3-272DE67E68A3}" name="Column6950" dataCellStyle="Normal 2"/>
    <tableColumn id="6966" xr3:uid="{486AC840-551F-44B1-B62F-B4F642BE226D}" name="Column6951" dataCellStyle="Normal 2"/>
    <tableColumn id="6967" xr3:uid="{9F9FF44A-6F03-4EC6-9370-74B6A42E2069}" name="Column6952" dataCellStyle="Normal 2"/>
    <tableColumn id="6968" xr3:uid="{C945AD4A-9F80-4AEF-AD02-3D9065B5E797}" name="Column6953" dataCellStyle="Normal 2"/>
    <tableColumn id="6969" xr3:uid="{489D8247-8C57-410B-984B-9445D44805E5}" name="Column6954" dataCellStyle="Normal 2"/>
    <tableColumn id="6970" xr3:uid="{E961F926-588C-4515-ACAE-345C28D1B96F}" name="Column6955" dataCellStyle="Normal 2"/>
    <tableColumn id="6971" xr3:uid="{2906ECCD-2A6B-4433-B692-953167DE762B}" name="Column6956" dataCellStyle="Normal 2"/>
    <tableColumn id="6972" xr3:uid="{5E6A800E-7C6A-4AF9-A8E4-D18D5E9E2BFB}" name="Column6957" dataCellStyle="Normal 2"/>
    <tableColumn id="6973" xr3:uid="{A28D4D30-6426-4509-BDC3-5F809A1C23C0}" name="Column6958" dataCellStyle="Normal 2"/>
    <tableColumn id="6974" xr3:uid="{B7C6452E-A1D6-479A-992F-F1EF9B4EC08E}" name="Column6959" dataCellStyle="Normal 2"/>
    <tableColumn id="6975" xr3:uid="{6917D672-8091-4917-9EB6-CB9A236CB50E}" name="Column6960" dataCellStyle="Normal 2"/>
    <tableColumn id="6976" xr3:uid="{D6E42073-0DB4-4C98-802A-02ED30862D6F}" name="Column6961" dataCellStyle="Normal 2"/>
    <tableColumn id="6977" xr3:uid="{B305B73C-8302-4F49-9278-AE7569BE08A9}" name="Column6962" dataCellStyle="Normal 2"/>
    <tableColumn id="6978" xr3:uid="{9E07DFDC-0E18-4199-ABC1-DE48636FDD2F}" name="Column6963" dataCellStyle="Normal 2"/>
    <tableColumn id="6979" xr3:uid="{FCFAE6A9-3BB7-4168-9D32-9A73BB94FD85}" name="Column6964" dataCellStyle="Normal 2"/>
    <tableColumn id="6980" xr3:uid="{4ADA0D27-4515-4AD0-82B2-334E3DD16A1D}" name="Column6965" dataCellStyle="Normal 2"/>
    <tableColumn id="6981" xr3:uid="{202DDED3-53B6-43F8-B158-C3DD7CF72914}" name="Column6966" dataCellStyle="Normal 2"/>
    <tableColumn id="6982" xr3:uid="{E720058D-491C-43E0-9A27-5FB3D29B81EA}" name="Column6967" dataCellStyle="Normal 2"/>
    <tableColumn id="6983" xr3:uid="{57C67EC4-EAB6-412A-B361-2CF300B7187B}" name="Column6968" dataCellStyle="Normal 2"/>
    <tableColumn id="6984" xr3:uid="{633F2872-86CA-4A91-A49B-5550D06FD043}" name="Column6969" dataCellStyle="Normal 2"/>
    <tableColumn id="6985" xr3:uid="{F89CACAD-0612-43B1-ACAA-E1BD103D559F}" name="Column6970" dataCellStyle="Normal 2"/>
    <tableColumn id="6986" xr3:uid="{D9BDF782-3E24-492C-B778-8C45637A482E}" name="Column6971" dataCellStyle="Normal 2"/>
    <tableColumn id="6987" xr3:uid="{3862281C-31A3-4067-8290-009BD9076C93}" name="Column6972" dataCellStyle="Normal 2"/>
    <tableColumn id="6988" xr3:uid="{0F38A276-2031-4958-92AD-A5B96699B139}" name="Column6973" dataCellStyle="Normal 2"/>
    <tableColumn id="6989" xr3:uid="{2554AF58-329B-4504-805B-C0657616A431}" name="Column6974" dataCellStyle="Normal 2"/>
    <tableColumn id="6990" xr3:uid="{CCB30755-5428-44E2-8150-070984799156}" name="Column6975" dataCellStyle="Normal 2"/>
    <tableColumn id="6991" xr3:uid="{17828D77-DF80-44B2-97EB-723A8198BE69}" name="Column6976" dataCellStyle="Normal 2"/>
    <tableColumn id="6992" xr3:uid="{96E05BF4-C097-4690-83E2-C305D22827D5}" name="Column6977" dataCellStyle="Normal 2"/>
    <tableColumn id="6993" xr3:uid="{DD7DB781-EA76-47B1-B6B9-CE6A7952E56F}" name="Column6978" dataCellStyle="Normal 2"/>
    <tableColumn id="6994" xr3:uid="{2D158A62-A651-4195-B7CD-0D5BCAC0BE8F}" name="Column6979" dataCellStyle="Normal 2"/>
    <tableColumn id="6995" xr3:uid="{8E5FAA3D-1D42-4ECD-997B-77B717A6076B}" name="Column6980" dataCellStyle="Normal 2"/>
    <tableColumn id="6996" xr3:uid="{6701DF62-1F07-4A88-9BBB-BCEAFF8C9F28}" name="Column6981" dataCellStyle="Normal 2"/>
    <tableColumn id="6997" xr3:uid="{33E253FD-33CE-4BA9-B525-EB65A75A2040}" name="Column6982" dataCellStyle="Normal 2"/>
    <tableColumn id="6998" xr3:uid="{8F207C20-8600-40FF-9971-F6BB49B5FD81}" name="Column6983" dataCellStyle="Normal 2"/>
    <tableColumn id="6999" xr3:uid="{84FFACA5-6E60-4CC9-A813-44D39707880D}" name="Column6984" dataCellStyle="Normal 2"/>
    <tableColumn id="7000" xr3:uid="{8F8211B0-5AB5-4FF3-81BC-BDA8E2170BDB}" name="Column6985" dataCellStyle="Normal 2"/>
    <tableColumn id="7001" xr3:uid="{5A2F1A17-9A26-4692-B97A-A0CE37BDAACE}" name="Column6986" dataCellStyle="Normal 2"/>
    <tableColumn id="7002" xr3:uid="{E1DD3C00-3C9F-4032-BBC6-4A6402FE7281}" name="Column6987" dataCellStyle="Normal 2"/>
    <tableColumn id="7003" xr3:uid="{46B7D7C3-91B1-4F88-9A1B-AC9BEDE7BB0A}" name="Column6988" dataCellStyle="Normal 2"/>
    <tableColumn id="7004" xr3:uid="{FEEC58AB-94D6-4ECA-AA7E-347E532AF40A}" name="Column6989" dataCellStyle="Normal 2"/>
    <tableColumn id="7005" xr3:uid="{7A8DDA30-1169-4DFC-B762-F3ACABAB85BE}" name="Column6990" dataCellStyle="Normal 2"/>
    <tableColumn id="7006" xr3:uid="{87A7463F-4FC1-45ED-93C2-1CD483A3782D}" name="Column6991" dataCellStyle="Normal 2"/>
    <tableColumn id="7007" xr3:uid="{0729B3DF-024B-4BE9-AC94-0D9864A4677A}" name="Column6992" dataCellStyle="Normal 2"/>
    <tableColumn id="7008" xr3:uid="{7DBCE1ED-7BCE-4478-983C-B10FF00DAE5A}" name="Column6993" dataCellStyle="Normal 2"/>
    <tableColumn id="7009" xr3:uid="{7489C63D-D64E-4E7E-8A07-0972C640275A}" name="Column6994" dataCellStyle="Normal 2"/>
    <tableColumn id="7010" xr3:uid="{32279047-7602-47F5-A8CE-84CA4005271B}" name="Column6995" dataCellStyle="Normal 2"/>
    <tableColumn id="7011" xr3:uid="{4B89F535-6834-4E63-90A5-7B56531B19E5}" name="Column6996" dataCellStyle="Normal 2"/>
    <tableColumn id="7012" xr3:uid="{3AC97607-A714-4614-BC71-798F61BE5FA2}" name="Column6997" dataCellStyle="Normal 2"/>
    <tableColumn id="7013" xr3:uid="{6D4E0373-D3FC-40E0-8E0C-CB202C4F47F8}" name="Column6998" dataCellStyle="Normal 2"/>
    <tableColumn id="7014" xr3:uid="{2525ADDE-88B7-4A5C-8575-909AA6180324}" name="Column6999" dataCellStyle="Normal 2"/>
    <tableColumn id="7015" xr3:uid="{8E5DC817-536F-457E-A431-3B49BA4F554E}" name="Column7000" dataCellStyle="Normal 2"/>
    <tableColumn id="7016" xr3:uid="{41B2D1E0-7C5E-43D7-A079-DF090571220B}" name="Column7001" dataCellStyle="Normal 2"/>
    <tableColumn id="7017" xr3:uid="{74A9E408-06F9-4D8E-AD75-2BDBB4340C7E}" name="Column7002" dataCellStyle="Normal 2"/>
    <tableColumn id="7018" xr3:uid="{7E651CE5-DFDC-43A0-8C6C-5CE81CB3124E}" name="Column7003" dataCellStyle="Normal 2"/>
    <tableColumn id="7019" xr3:uid="{16883338-88CD-4C31-8DD6-F5166959BBA1}" name="Column7004" dataCellStyle="Normal 2"/>
    <tableColumn id="7020" xr3:uid="{B4BA9F23-B125-4452-9305-5C69E5382787}" name="Column7005" dataCellStyle="Normal 2"/>
    <tableColumn id="7021" xr3:uid="{2422BC99-9A5A-49F2-946B-3448ACB0FA5D}" name="Column7006" dataCellStyle="Normal 2"/>
    <tableColumn id="7022" xr3:uid="{6C5E0751-5816-4F66-9B46-3883B6D5669C}" name="Column7007" dataCellStyle="Normal 2"/>
    <tableColumn id="7023" xr3:uid="{3A563E9B-AA2E-4BC1-A2E9-1EE2F2C790F5}" name="Column7008" dataCellStyle="Normal 2"/>
    <tableColumn id="7024" xr3:uid="{E790D600-64BF-446C-BC92-E7D421A5AF75}" name="Column7009" dataCellStyle="Normal 2"/>
    <tableColumn id="7025" xr3:uid="{B9AD0DD1-F1D8-46AE-8293-12C948635C29}" name="Column7010" dataCellStyle="Normal 2"/>
    <tableColumn id="7026" xr3:uid="{AEBFD94F-A88F-4AD7-B958-3ECB043F0042}" name="Column7011" dataCellStyle="Normal 2"/>
    <tableColumn id="7027" xr3:uid="{F939EEA3-D242-49F9-8AA9-C40B8270DB07}" name="Column7012" dataCellStyle="Normal 2"/>
    <tableColumn id="7028" xr3:uid="{9304FD5D-19AB-4F38-81BD-19076BF5E9CE}" name="Column7013" dataCellStyle="Normal 2"/>
    <tableColumn id="7029" xr3:uid="{6831AC2F-7040-457B-8760-8BD02AA8A3DD}" name="Column7014" dataCellStyle="Normal 2"/>
    <tableColumn id="7030" xr3:uid="{26EC594C-3678-4AFD-9C77-0099D591C72E}" name="Column7015" dataCellStyle="Normal 2"/>
    <tableColumn id="7031" xr3:uid="{5C40EC6C-13C0-4611-A52F-8FFFF5B7A3AA}" name="Column7016" dataCellStyle="Normal 2"/>
    <tableColumn id="7032" xr3:uid="{360F8609-EE72-407B-A971-89EA58ECA422}" name="Column7017" dataCellStyle="Normal 2"/>
    <tableColumn id="7033" xr3:uid="{812F5FA4-8147-4E1A-9A00-585E2FA2179C}" name="Column7018" dataCellStyle="Normal 2"/>
    <tableColumn id="7034" xr3:uid="{F3176D08-C78C-481E-B9A4-3734F0E32B87}" name="Column7019" dataCellStyle="Normal 2"/>
    <tableColumn id="7035" xr3:uid="{EFF8A48D-0810-4114-AF3F-92B49192E4C9}" name="Column7020" dataCellStyle="Normal 2"/>
    <tableColumn id="7036" xr3:uid="{02DCE6C9-FCC4-49C6-ADAB-EBD5E717E8FE}" name="Column7021" dataCellStyle="Normal 2"/>
    <tableColumn id="7037" xr3:uid="{F31ED5D8-DE30-49B4-9DF9-63F9E4E9EC40}" name="Column7022" dataCellStyle="Normal 2"/>
    <tableColumn id="7038" xr3:uid="{159B82FB-A5EC-4706-A3CD-E870C605D5E7}" name="Column7023" dataCellStyle="Normal 2"/>
    <tableColumn id="7039" xr3:uid="{73A9C002-53D0-4274-8CA2-01C2D34D6BFD}" name="Column7024" dataCellStyle="Normal 2"/>
    <tableColumn id="7040" xr3:uid="{D021E99F-7587-4632-8F3C-44189CC91700}" name="Column7025" dataCellStyle="Normal 2"/>
    <tableColumn id="7041" xr3:uid="{F8F55A47-4A5A-4AAB-863F-3117EAB328FA}" name="Column7026" dataCellStyle="Normal 2"/>
    <tableColumn id="7042" xr3:uid="{FA056BE9-1F2F-4B37-B4CF-AB4A68D733D3}" name="Column7027" dataCellStyle="Normal 2"/>
    <tableColumn id="7043" xr3:uid="{3E905D08-F9CF-4F82-8386-AC696075A560}" name="Column7028" dataCellStyle="Normal 2"/>
    <tableColumn id="7044" xr3:uid="{8FB907AB-258D-4A03-B4CD-9A88F8FE6AA5}" name="Column7029" dataCellStyle="Normal 2"/>
    <tableColumn id="7045" xr3:uid="{408DC87D-627E-4A72-9DD2-EC9D91DEDCB8}" name="Column7030" dataCellStyle="Normal 2"/>
    <tableColumn id="7046" xr3:uid="{28D941A1-B31A-43E4-93E5-25FBD05D7B94}" name="Column7031" dataCellStyle="Normal 2"/>
    <tableColumn id="7047" xr3:uid="{8C847FEE-A52F-4AB1-B43B-6572A1FC7074}" name="Column7032" dataCellStyle="Normal 2"/>
    <tableColumn id="7048" xr3:uid="{B104AD5A-EE1B-4CE5-9428-C238742A230F}" name="Column7033" dataCellStyle="Normal 2"/>
    <tableColumn id="7049" xr3:uid="{65179D40-4831-4A50-9D11-96B11C3F41C1}" name="Column7034" dataCellStyle="Normal 2"/>
    <tableColumn id="7050" xr3:uid="{C193BB22-16B4-4E8B-B0A9-DF2F987D651A}" name="Column7035" dataCellStyle="Normal 2"/>
    <tableColumn id="7051" xr3:uid="{4E0779F9-2465-4457-8163-8228D3A6B0D4}" name="Column7036" dataCellStyle="Normal 2"/>
    <tableColumn id="7052" xr3:uid="{73F5F96D-7957-4BCC-8DBD-4EC3007453A2}" name="Column7037" dataCellStyle="Normal 2"/>
    <tableColumn id="7053" xr3:uid="{7359D7E6-489B-4A2E-B239-EF6914777F8D}" name="Column7038" dataCellStyle="Normal 2"/>
    <tableColumn id="7054" xr3:uid="{7843FC1B-0F2D-42E4-BA0C-9305E0D449B8}" name="Column7039" dataCellStyle="Normal 2"/>
    <tableColumn id="7055" xr3:uid="{312B594D-9ADA-4702-90EB-0BCA225F4B81}" name="Column7040" dataCellStyle="Normal 2"/>
    <tableColumn id="7056" xr3:uid="{3E5DA14C-6FB3-4A27-8D29-5C24CFA6D88C}" name="Column7041" dataCellStyle="Normal 2"/>
    <tableColumn id="7057" xr3:uid="{438C7DFE-0C7B-4F29-82C3-7724FE2199A6}" name="Column7042" dataCellStyle="Normal 2"/>
    <tableColumn id="7058" xr3:uid="{C6EF1402-6100-429A-A492-4ADC211AB211}" name="Column7043" dataCellStyle="Normal 2"/>
    <tableColumn id="7059" xr3:uid="{84A0A5C9-AF72-4847-81EF-2A4703ABB31B}" name="Column7044" dataCellStyle="Normal 2"/>
    <tableColumn id="7060" xr3:uid="{4D775CD1-E9EF-4669-BEA9-679B8FD2FF35}" name="Column7045" dataCellStyle="Normal 2"/>
    <tableColumn id="7061" xr3:uid="{D31D77A8-C4F8-4E29-82F6-09E3B9B5A4F0}" name="Column7046" dataCellStyle="Normal 2"/>
    <tableColumn id="7062" xr3:uid="{DF2B654D-55C4-4DA3-9808-6334B628FCF2}" name="Column7047" dataCellStyle="Normal 2"/>
    <tableColumn id="7063" xr3:uid="{95E8A4D8-83BF-4507-B8EC-E2E06B881C9E}" name="Column7048" dataCellStyle="Normal 2"/>
    <tableColumn id="7064" xr3:uid="{41F670BD-07C2-4BF8-808C-4434F32DF4AD}" name="Column7049" dataCellStyle="Normal 2"/>
    <tableColumn id="7065" xr3:uid="{C9031DB5-F742-404F-BA70-10929A62138D}" name="Column7050" dataCellStyle="Normal 2"/>
    <tableColumn id="7066" xr3:uid="{8DC5E750-37B8-480C-ADF5-79D1F8BA9B8A}" name="Column7051" dataCellStyle="Normal 2"/>
    <tableColumn id="7067" xr3:uid="{45FCF78D-12F9-491E-91EE-A4CC30875A08}" name="Column7052" dataCellStyle="Normal 2"/>
    <tableColumn id="7068" xr3:uid="{9DE50678-1569-44F9-B019-311BCC19D839}" name="Column7053" dataCellStyle="Normal 2"/>
    <tableColumn id="7069" xr3:uid="{A9269BE6-0F21-4F01-909C-3E60A59B23F9}" name="Column7054" dataCellStyle="Normal 2"/>
    <tableColumn id="7070" xr3:uid="{0C5962E9-68C3-4A40-AA34-88F8CA4667B3}" name="Column7055" dataCellStyle="Normal 2"/>
    <tableColumn id="7071" xr3:uid="{13DC44A7-705D-49B4-B1AC-FA1A76394B89}" name="Column7056" dataCellStyle="Normal 2"/>
    <tableColumn id="7072" xr3:uid="{874E801E-BF6C-4CA7-9520-4FBC68FB2D4C}" name="Column7057" dataCellStyle="Normal 2"/>
    <tableColumn id="7073" xr3:uid="{CD98472D-C9F6-481E-84B9-1E71C6B6C65D}" name="Column7058" dataCellStyle="Normal 2"/>
    <tableColumn id="7074" xr3:uid="{85AA608C-1A2D-47CA-9AA9-8FAD408B6578}" name="Column7059" dataCellStyle="Normal 2"/>
    <tableColumn id="7075" xr3:uid="{F1C5B77C-2E0A-41E2-A266-588024DF0F9F}" name="Column7060" dataCellStyle="Normal 2"/>
    <tableColumn id="7076" xr3:uid="{48C87F43-62C8-4EEA-A564-240915F54548}" name="Column7061" dataCellStyle="Normal 2"/>
    <tableColumn id="7077" xr3:uid="{E47815D5-3078-4A0F-8237-564D0CEB3735}" name="Column7062" dataCellStyle="Normal 2"/>
    <tableColumn id="7078" xr3:uid="{ED4F7661-54FF-426C-AE96-F28E3CD8FCB3}" name="Column7063" dataCellStyle="Normal 2"/>
    <tableColumn id="7079" xr3:uid="{6D3CA6B3-9143-4262-AC1A-37D7355FB249}" name="Column7064" dataCellStyle="Normal 2"/>
    <tableColumn id="7080" xr3:uid="{1AF171B9-415B-43F4-8926-D1F0B5BFF1C9}" name="Column7065" dataCellStyle="Normal 2"/>
    <tableColumn id="7081" xr3:uid="{F77D8C60-48DA-4861-A46B-8B867DDEC048}" name="Column7066" dataCellStyle="Normal 2"/>
    <tableColumn id="7082" xr3:uid="{49761B94-A183-4747-B275-B7E032BE32DF}" name="Column7067" dataCellStyle="Normal 2"/>
    <tableColumn id="7083" xr3:uid="{D093BCCB-C70C-4873-83AD-4FD7DE53A42F}" name="Column7068" dataCellStyle="Normal 2"/>
    <tableColumn id="7084" xr3:uid="{A6D11720-DFC4-4CB7-9B7F-0820F017A730}" name="Column7069" dataCellStyle="Normal 2"/>
    <tableColumn id="7085" xr3:uid="{A742FFB9-3831-4B9E-85C8-703861C12E7F}" name="Column7070" dataCellStyle="Normal 2"/>
    <tableColumn id="7086" xr3:uid="{0271E107-EF16-45D9-BD1F-0826ED0943C5}" name="Column7071" dataCellStyle="Normal 2"/>
    <tableColumn id="7087" xr3:uid="{51525A53-85E9-4057-AE6F-FBB6AD344818}" name="Column7072" dataCellStyle="Normal 2"/>
    <tableColumn id="7088" xr3:uid="{789B5434-9311-4EC9-8F06-BA33B0F8D88B}" name="Column7073" dataCellStyle="Normal 2"/>
    <tableColumn id="7089" xr3:uid="{3BC5CCF8-4B86-4990-9684-5897D9EF9DF5}" name="Column7074" dataCellStyle="Normal 2"/>
    <tableColumn id="7090" xr3:uid="{D0B3CD8C-74E9-4C81-91AF-157F2F5F9BC9}" name="Column7075" dataCellStyle="Normal 2"/>
    <tableColumn id="7091" xr3:uid="{2C17B8FD-900B-4AA7-B72F-1E7621FD733A}" name="Column7076" dataCellStyle="Normal 2"/>
    <tableColumn id="7092" xr3:uid="{541AA712-32D3-47E2-BE99-891B324B32E9}" name="Column7077" dataCellStyle="Normal 2"/>
    <tableColumn id="7093" xr3:uid="{B81FF94D-9EBB-4C4D-A99E-AA13A7DF98F1}" name="Column7078" dataCellStyle="Normal 2"/>
    <tableColumn id="7094" xr3:uid="{844D25AF-B568-44A9-B7E2-43F6374FA71E}" name="Column7079" dataCellStyle="Normal 2"/>
    <tableColumn id="7095" xr3:uid="{2D0F5CDB-F48C-4E07-8B16-2EBE381AD25D}" name="Column7080" dataCellStyle="Normal 2"/>
    <tableColumn id="7096" xr3:uid="{EC9D1885-D850-400C-9B70-36145ACEC538}" name="Column7081" dataCellStyle="Normal 2"/>
    <tableColumn id="7097" xr3:uid="{FBA1C02E-8BCD-426E-9B38-86D8D8F75C99}" name="Column7082" dataCellStyle="Normal 2"/>
    <tableColumn id="7098" xr3:uid="{6E052C8E-0953-4186-9EB9-BB11D4D97EE2}" name="Column7083" dataCellStyle="Normal 2"/>
    <tableColumn id="7099" xr3:uid="{ED1EE08B-7C87-4CCF-AC08-12E1C9936FF2}" name="Column7084" dataCellStyle="Normal 2"/>
    <tableColumn id="7100" xr3:uid="{598CF777-CAEA-486A-AFE8-99FD3709AF9F}" name="Column7085" dataCellStyle="Normal 2"/>
    <tableColumn id="7101" xr3:uid="{BB818CF2-5E28-4935-B836-DB34B6F5CD62}" name="Column7086" dataCellStyle="Normal 2"/>
    <tableColumn id="7102" xr3:uid="{574A4E95-02ED-4D7E-B14C-D3D7B39BF0D9}" name="Column7087" dataCellStyle="Normal 2"/>
    <tableColumn id="7103" xr3:uid="{08CE3787-4817-4F52-84DB-85D1CBFF521D}" name="Column7088" dataCellStyle="Normal 2"/>
    <tableColumn id="7104" xr3:uid="{536E7568-5482-4A94-861A-C4C825BC2D45}" name="Column7089" dataCellStyle="Normal 2"/>
    <tableColumn id="7105" xr3:uid="{4F35CFD6-1615-4F0B-A028-CE5C3D99E381}" name="Column7090" dataCellStyle="Normal 2"/>
    <tableColumn id="7106" xr3:uid="{F00E50D6-2A8C-47C7-9966-AAEE040E2A5E}" name="Column7091" dataCellStyle="Normal 2"/>
    <tableColumn id="7107" xr3:uid="{63CF83F2-C9CF-465A-A7E0-C1A58F35FE59}" name="Column7092" dataCellStyle="Normal 2"/>
    <tableColumn id="7108" xr3:uid="{90C70DB7-002F-40C7-BA2D-831B634A433B}" name="Column7093" dataCellStyle="Normal 2"/>
    <tableColumn id="7109" xr3:uid="{AE522209-9EBF-4666-A67F-F6F9DDC28113}" name="Column7094" dataCellStyle="Normal 2"/>
    <tableColumn id="7110" xr3:uid="{3D341FD8-8F47-4549-A3E1-58F855FBD576}" name="Column7095" dataCellStyle="Normal 2"/>
    <tableColumn id="7111" xr3:uid="{401FA76F-2FAE-4526-96E6-47B497D74084}" name="Column7096" dataCellStyle="Normal 2"/>
    <tableColumn id="7112" xr3:uid="{87632DF0-D430-44B1-B7C4-3E3D120DE71D}" name="Column7097" dataCellStyle="Normal 2"/>
    <tableColumn id="7113" xr3:uid="{F324CA9B-3460-448E-BB14-DDDD2FFD7887}" name="Column7098" dataCellStyle="Normal 2"/>
    <tableColumn id="7114" xr3:uid="{A74EDA82-F46D-4008-818C-93680EEB349D}" name="Column7099" dataCellStyle="Normal 2"/>
    <tableColumn id="7115" xr3:uid="{5BE90537-084E-4E7E-ADE3-A873E62B5191}" name="Column7100" dataCellStyle="Normal 2"/>
    <tableColumn id="7116" xr3:uid="{9C408C20-9B68-41A4-B208-90E661415182}" name="Column7101" dataCellStyle="Normal 2"/>
    <tableColumn id="7117" xr3:uid="{63CF51D4-4EB9-4031-A18A-226B31561E76}" name="Column7102" dataCellStyle="Normal 2"/>
    <tableColumn id="7118" xr3:uid="{DA00F032-0AD0-4B15-BF32-F644D386BA18}" name="Column7103" dataCellStyle="Normal 2"/>
    <tableColumn id="7119" xr3:uid="{42972ADD-7059-4E06-9936-97CF28FB685A}" name="Column7104" dataCellStyle="Normal 2"/>
    <tableColumn id="7120" xr3:uid="{2E855ABD-6AAF-4930-813A-98D9618827FC}" name="Column7105" dataCellStyle="Normal 2"/>
    <tableColumn id="7121" xr3:uid="{C9318CFD-ECBA-4118-8D25-7929D4137682}" name="Column7106" dataCellStyle="Normal 2"/>
    <tableColumn id="7122" xr3:uid="{70C782BA-65DB-4B7E-9B06-A183AFE1C1D8}" name="Column7107" dataCellStyle="Normal 2"/>
    <tableColumn id="7123" xr3:uid="{CC1FC6D8-BC91-4ECF-B5D9-A036718944DF}" name="Column7108" dataCellStyle="Normal 2"/>
    <tableColumn id="7124" xr3:uid="{F830B6C0-3D96-479E-A48C-890E8EC17AE2}" name="Column7109" dataCellStyle="Normal 2"/>
    <tableColumn id="7125" xr3:uid="{DBB5EED8-9419-4EAE-9DAF-6E29B2A728D3}" name="Column7110" dataCellStyle="Normal 2"/>
    <tableColumn id="7126" xr3:uid="{DC97AC03-CEA4-4A1A-B5B9-001FDE1422CC}" name="Column7111" dataCellStyle="Normal 2"/>
    <tableColumn id="7127" xr3:uid="{95DACED2-CD15-47A2-AAA4-BBCE8ABC1733}" name="Column7112" dataCellStyle="Normal 2"/>
    <tableColumn id="7128" xr3:uid="{31590033-8D4B-47D6-B693-84753EE1FC9A}" name="Column7113" dataCellStyle="Normal 2"/>
    <tableColumn id="7129" xr3:uid="{B2B8B123-5346-430B-9131-39F2143C33F5}" name="Column7114" dataCellStyle="Normal 2"/>
    <tableColumn id="7130" xr3:uid="{C4031783-A847-4666-8DCD-8D9390EDB9E0}" name="Column7115" dataCellStyle="Normal 2"/>
    <tableColumn id="7131" xr3:uid="{C6A81CC1-4A95-48AF-AD75-31DF3C1306BC}" name="Column7116" dataCellStyle="Normal 2"/>
    <tableColumn id="7132" xr3:uid="{FF2EDF93-6414-4461-A9AF-A8C6853B16DE}" name="Column7117" dataCellStyle="Normal 2"/>
    <tableColumn id="7133" xr3:uid="{025E6510-3E4E-471F-BBB7-F00CE0B86E50}" name="Column7118" dataCellStyle="Normal 2"/>
    <tableColumn id="7134" xr3:uid="{96C42D3B-AD98-4C55-ADE2-7E468DC7C17B}" name="Column7119" dataCellStyle="Normal 2"/>
    <tableColumn id="7135" xr3:uid="{684C10C2-496C-40D6-B507-5C91C8986847}" name="Column7120" dataCellStyle="Normal 2"/>
    <tableColumn id="7136" xr3:uid="{9CA0BA3F-DE05-4122-A9A9-C02A32A0C9DA}" name="Column7121" dataCellStyle="Normal 2"/>
    <tableColumn id="7137" xr3:uid="{8BC2198A-2A93-49FA-AE3D-4A1A9C13A01B}" name="Column7122" dataCellStyle="Normal 2"/>
    <tableColumn id="7138" xr3:uid="{B2CC7866-3F6C-4571-873B-B5DF863CE298}" name="Column7123" dataCellStyle="Normal 2"/>
    <tableColumn id="7139" xr3:uid="{EA594EB8-40F0-4834-B30F-19222C17E757}" name="Column7124" dataCellStyle="Normal 2"/>
    <tableColumn id="7140" xr3:uid="{9F52D55A-F451-4F3F-81D2-EFFD36243A5C}" name="Column7125" dataCellStyle="Normal 2"/>
    <tableColumn id="7141" xr3:uid="{7AD348C0-8D0E-4BCF-89BC-86C598A7DEB6}" name="Column7126" dataCellStyle="Normal 2"/>
    <tableColumn id="7142" xr3:uid="{54B6D3A4-1CC9-4D29-9ED2-E3B840E98F9E}" name="Column7127" dataCellStyle="Normal 2"/>
    <tableColumn id="7143" xr3:uid="{7A8E6FF7-2900-4241-856F-2D6B37270991}" name="Column7128" dataCellStyle="Normal 2"/>
    <tableColumn id="7144" xr3:uid="{17BA4797-3D0A-464E-A71C-382B3B782F91}" name="Column7129" dataCellStyle="Normal 2"/>
    <tableColumn id="7145" xr3:uid="{B7BE25B5-8E10-4D0C-B2C9-38C6145B5EBE}" name="Column7130" dataCellStyle="Normal 2"/>
    <tableColumn id="7146" xr3:uid="{AC343A52-C6B3-460B-B178-CC05300881D8}" name="Column7131" dataCellStyle="Normal 2"/>
    <tableColumn id="7147" xr3:uid="{6075A8A4-CAFC-43E6-AEEC-BB6E3C47667F}" name="Column7132" dataCellStyle="Normal 2"/>
    <tableColumn id="7148" xr3:uid="{64F45095-7F45-43B0-897A-05F4C0BD0A60}" name="Column7133" dataCellStyle="Normal 2"/>
    <tableColumn id="7149" xr3:uid="{DBB7DB1F-253F-4C3F-BF53-5AFA194A6E43}" name="Column7134" dataCellStyle="Normal 2"/>
    <tableColumn id="7150" xr3:uid="{EAAA9BE9-CA08-4AB8-B504-2059BCB66EB6}" name="Column7135" dataCellStyle="Normal 2"/>
    <tableColumn id="7151" xr3:uid="{98A5364C-4848-4C9D-A186-8AAAC1C18772}" name="Column7136" dataCellStyle="Normal 2"/>
    <tableColumn id="7152" xr3:uid="{A3E299DD-E531-4A88-B750-F5F02BB6C760}" name="Column7137" dataCellStyle="Normal 2"/>
    <tableColumn id="7153" xr3:uid="{F8D420D5-FB9E-4D95-BB3A-93E10A42015A}" name="Column7138" dataCellStyle="Normal 2"/>
    <tableColumn id="7154" xr3:uid="{03D05EAA-75B9-449E-B85F-DB61E95ED47F}" name="Column7139" dataCellStyle="Normal 2"/>
    <tableColumn id="7155" xr3:uid="{3A62A549-CE73-4D05-A425-498E3E302F1C}" name="Column7140" dataCellStyle="Normal 2"/>
    <tableColumn id="7156" xr3:uid="{F86D172D-C75B-4F81-ABCB-2407A1702630}" name="Column7141" dataCellStyle="Normal 2"/>
    <tableColumn id="7157" xr3:uid="{D14840A8-7B25-4EA4-8299-4A8F5DF63455}" name="Column7142" dataCellStyle="Normal 2"/>
    <tableColumn id="7158" xr3:uid="{95C7A67D-B133-47F7-88BC-B0C6FB9478CE}" name="Column7143" dataCellStyle="Normal 2"/>
    <tableColumn id="7159" xr3:uid="{2A4E41A9-C0A6-4886-AFFB-75E67E2F2400}" name="Column7144" dataCellStyle="Normal 2"/>
    <tableColumn id="7160" xr3:uid="{134ACEA1-BBA1-4C11-A9A3-D736920CC5DB}" name="Column7145" dataCellStyle="Normal 2"/>
    <tableColumn id="7161" xr3:uid="{74E24E5F-99EE-43B6-B98C-8E815FCBD4D6}" name="Column7146" dataCellStyle="Normal 2"/>
    <tableColumn id="7162" xr3:uid="{33D342AD-15B2-4FD3-861E-A6D0528AAFEA}" name="Column7147" dataCellStyle="Normal 2"/>
    <tableColumn id="7163" xr3:uid="{BD2EBBF1-A312-41AE-B337-D696097E1489}" name="Column7148" dataCellStyle="Normal 2"/>
    <tableColumn id="7164" xr3:uid="{46A3368D-8081-4A9E-A2C3-1FB252F74EAF}" name="Column7149" dataCellStyle="Normal 2"/>
    <tableColumn id="7165" xr3:uid="{EA4BAF70-F8C8-46ED-AD61-85F666CDDA5E}" name="Column7150" dataCellStyle="Normal 2"/>
    <tableColumn id="7166" xr3:uid="{A7DA0716-882C-446B-A848-570A00857DA5}" name="Column7151" dataCellStyle="Normal 2"/>
    <tableColumn id="7167" xr3:uid="{A4F91F17-9926-463F-935C-94FDC55AC1D6}" name="Column7152" dataCellStyle="Normal 2"/>
    <tableColumn id="7168" xr3:uid="{7CCF367A-0984-4074-85A1-4B85135F5548}" name="Column7153" dataCellStyle="Normal 2"/>
    <tableColumn id="7169" xr3:uid="{FB5208A6-AB63-4839-B1E7-200062C653D2}" name="Column7154" dataCellStyle="Normal 2"/>
    <tableColumn id="7170" xr3:uid="{ACD7F50C-B365-478C-A377-CA68349996C7}" name="Column7155" dataCellStyle="Normal 2"/>
    <tableColumn id="7171" xr3:uid="{E038F761-4919-4625-AF1D-4431B67999AA}" name="Column7156" dataCellStyle="Normal 2"/>
    <tableColumn id="7172" xr3:uid="{0ABEE07D-9A23-498E-B51F-CE2B1E43579C}" name="Column7157" dataCellStyle="Normal 2"/>
    <tableColumn id="7173" xr3:uid="{7FBFCE74-E122-455E-BDFE-59B99F28044E}" name="Column7158" dataCellStyle="Normal 2"/>
    <tableColumn id="7174" xr3:uid="{B8A2409C-A7F2-4216-8B63-8E212EFB1DD3}" name="Column7159" dataCellStyle="Normal 2"/>
    <tableColumn id="7175" xr3:uid="{977AE758-B432-4BA8-84D3-13A25A7E8753}" name="Column7160" dataCellStyle="Normal 2"/>
    <tableColumn id="7176" xr3:uid="{F9336FEA-A33E-4DC7-A216-D63BA40163E1}" name="Column7161" dataCellStyle="Normal 2"/>
    <tableColumn id="7177" xr3:uid="{16A7A4A5-EA1D-4268-ABEE-4A6200934C84}" name="Column7162" dataCellStyle="Normal 2"/>
    <tableColumn id="7178" xr3:uid="{7D7E1595-B1D7-4B86-B767-3EEBD2813FD3}" name="Column7163" dataCellStyle="Normal 2"/>
    <tableColumn id="7179" xr3:uid="{F2C84B40-421A-49DD-81C5-B55F55A1DCFE}" name="Column7164" dataCellStyle="Normal 2"/>
    <tableColumn id="7180" xr3:uid="{066DEF82-EF83-4104-B229-60DDA9598208}" name="Column7165" dataCellStyle="Normal 2"/>
    <tableColumn id="7181" xr3:uid="{E122BA77-A750-41D8-8E79-D899F4A9BF7C}" name="Column7166" dataCellStyle="Normal 2"/>
    <tableColumn id="7182" xr3:uid="{E10CEAD3-DC38-4B7D-92CD-4B039B5ACC1C}" name="Column7167" dataCellStyle="Normal 2"/>
    <tableColumn id="7183" xr3:uid="{F4A206B5-B6FC-4ED2-B5EF-0B367409B4AF}" name="Column7168" dataCellStyle="Normal 2"/>
    <tableColumn id="7184" xr3:uid="{55447F82-62A8-4972-98D7-F04F6E03866B}" name="Column7169" dataCellStyle="Normal 2"/>
    <tableColumn id="7185" xr3:uid="{13F21C76-FC86-4F4A-8DB1-3C57F900D15C}" name="Column7170" dataCellStyle="Normal 2"/>
    <tableColumn id="7186" xr3:uid="{22F807E2-848E-4336-A993-D780C2F87749}" name="Column7171" dataCellStyle="Normal 2"/>
    <tableColumn id="7187" xr3:uid="{132429D2-5B06-48CD-9285-8F6BD18A1711}" name="Column7172" dataCellStyle="Normal 2"/>
    <tableColumn id="7188" xr3:uid="{4D087273-631E-4EB2-9C82-42C15703FC53}" name="Column7173" dataCellStyle="Normal 2"/>
    <tableColumn id="7189" xr3:uid="{A819FC64-371F-4111-8D80-58DFF9F59C35}" name="Column7174" dataCellStyle="Normal 2"/>
    <tableColumn id="7190" xr3:uid="{4BDCB207-4C1B-4528-B1E2-D92EB4051F81}" name="Column7175" dataCellStyle="Normal 2"/>
    <tableColumn id="7191" xr3:uid="{F22427FF-16C3-4949-8185-CF39C228F524}" name="Column7176" dataCellStyle="Normal 2"/>
    <tableColumn id="7192" xr3:uid="{7D95325B-5737-481E-A5DC-C47970CD538D}" name="Column7177" dataCellStyle="Normal 2"/>
    <tableColumn id="7193" xr3:uid="{2EB249E6-05BA-4C6A-99F1-98278227D2E0}" name="Column7178" dataCellStyle="Normal 2"/>
    <tableColumn id="7194" xr3:uid="{533A5059-4C3B-44CE-B866-2E5FCAED8E8C}" name="Column7179" dataCellStyle="Normal 2"/>
    <tableColumn id="7195" xr3:uid="{A288BABC-E8E2-4445-9F93-98E1632B41C8}" name="Column7180" dataCellStyle="Normal 2"/>
    <tableColumn id="7196" xr3:uid="{D7B99033-7E9B-4F3D-A5B7-77756A034645}" name="Column7181" dataCellStyle="Normal 2"/>
    <tableColumn id="7197" xr3:uid="{0D8CC303-0CE3-45CF-9070-7BB5F1AD8AE7}" name="Column7182" dataCellStyle="Normal 2"/>
    <tableColumn id="7198" xr3:uid="{91E7BCF4-668E-4CEB-93B3-FB7D9E5DFD47}" name="Column7183" dataCellStyle="Normal 2"/>
    <tableColumn id="7199" xr3:uid="{3A80687B-3066-4E11-9BE5-C3F11C28B5CB}" name="Column7184" dataCellStyle="Normal 2"/>
    <tableColumn id="7200" xr3:uid="{2DF5CBF5-5278-4EF2-B949-DC45415143C4}" name="Column7185" dataCellStyle="Normal 2"/>
    <tableColumn id="7201" xr3:uid="{B46ADA91-6A4B-44C5-B7FE-2A7C0B044E03}" name="Column7186" dataCellStyle="Normal 2"/>
    <tableColumn id="7202" xr3:uid="{8E7A52ED-BF5F-4CF7-886E-57EB8ADBB0EF}" name="Column7187" dataCellStyle="Normal 2"/>
    <tableColumn id="7203" xr3:uid="{7BEF4686-E0D3-4847-BD4F-EE976E1D3A8C}" name="Column7188" dataCellStyle="Normal 2"/>
    <tableColumn id="7204" xr3:uid="{953C48E1-4289-4FB6-9EE5-95392A8D3EA1}" name="Column7189" dataCellStyle="Normal 2"/>
    <tableColumn id="7205" xr3:uid="{A6DCB147-1F09-4BF2-961D-7855BA0489BF}" name="Column7190" dataCellStyle="Normal 2"/>
    <tableColumn id="7206" xr3:uid="{CF46AA22-ECFC-48F7-98E3-03AC8A9903E3}" name="Column7191" dataCellStyle="Normal 2"/>
    <tableColumn id="7207" xr3:uid="{E1D402A2-AFD6-48EB-8EB4-174C151E7AA7}" name="Column7192" dataCellStyle="Normal 2"/>
    <tableColumn id="7208" xr3:uid="{377D7233-ED23-44C5-A58E-507FF14A800A}" name="Column7193" dataCellStyle="Normal 2"/>
    <tableColumn id="7209" xr3:uid="{F64F60CE-B64B-480E-B84C-B507247E5BE4}" name="Column7194" dataCellStyle="Normal 2"/>
    <tableColumn id="7210" xr3:uid="{6BC31ED7-EB1F-4E6C-AA1D-17DC12C96BFE}" name="Column7195" dataCellStyle="Normal 2"/>
    <tableColumn id="7211" xr3:uid="{6350B0A3-B25F-4D51-9F0D-9B9D90F6C443}" name="Column7196" dataCellStyle="Normal 2"/>
    <tableColumn id="7212" xr3:uid="{781F9E20-6245-4943-81EF-026A70CBE1FD}" name="Column7197" dataCellStyle="Normal 2"/>
    <tableColumn id="7213" xr3:uid="{E355F010-C976-4156-BE63-26F733F3FEB7}" name="Column7198" dataCellStyle="Normal 2"/>
    <tableColumn id="7214" xr3:uid="{E671A477-7FF4-4611-B2E9-B92A7D63B0D3}" name="Column7199" dataCellStyle="Normal 2"/>
    <tableColumn id="7215" xr3:uid="{916D14C5-19E4-4F92-A7F3-B0953956C92C}" name="Column7200" dataCellStyle="Normal 2"/>
    <tableColumn id="7216" xr3:uid="{C60F5F94-615C-40B8-AF7E-16C175FA8372}" name="Column7201" dataCellStyle="Normal 2"/>
    <tableColumn id="7217" xr3:uid="{7D706CA4-5A7C-410E-9F92-067DF44CB18A}" name="Column7202" dataCellStyle="Normal 2"/>
    <tableColumn id="7218" xr3:uid="{13EECA02-8CCB-4A20-959A-86BA6EFD8AE7}" name="Column7203" dataCellStyle="Normal 2"/>
    <tableColumn id="7219" xr3:uid="{5A24A00F-7D8F-4163-8D2A-9C5E5E17745F}" name="Column7204" dataCellStyle="Normal 2"/>
    <tableColumn id="7220" xr3:uid="{C292211F-2ACF-47BD-968D-79A52A64AAA8}" name="Column7205" dataCellStyle="Normal 2"/>
    <tableColumn id="7221" xr3:uid="{88B7D5F0-C7FC-401C-9788-5C6B4B37E496}" name="Column7206" dataCellStyle="Normal 2"/>
    <tableColumn id="7222" xr3:uid="{CE19A5CC-9AB8-43F6-AB49-66BF1A7B4A0F}" name="Column7207" dataCellStyle="Normal 2"/>
    <tableColumn id="7223" xr3:uid="{41573852-7D05-4BB8-83CC-E8DDDF598B44}" name="Column7208" dataCellStyle="Normal 2"/>
    <tableColumn id="7224" xr3:uid="{B8707959-B1A8-472D-8879-5E39574A5B8B}" name="Column7209" dataCellStyle="Normal 2"/>
    <tableColumn id="7225" xr3:uid="{B0E1F2F5-CBDF-47A5-8381-2292FAFA16F6}" name="Column7210" dataCellStyle="Normal 2"/>
    <tableColumn id="7226" xr3:uid="{F02FAF03-F63C-4558-99EA-005F10448A48}" name="Column7211" dataCellStyle="Normal 2"/>
    <tableColumn id="7227" xr3:uid="{BA594A24-414E-4FEB-BED5-C3E2C458DBB2}" name="Column7212" dataCellStyle="Normal 2"/>
    <tableColumn id="7228" xr3:uid="{99FA8238-3120-4893-BA94-1ADED05E6FB9}" name="Column7213" dataCellStyle="Normal 2"/>
    <tableColumn id="7229" xr3:uid="{1FBE383E-4B4B-4EAE-91A7-94877B74A376}" name="Column7214" dataCellStyle="Normal 2"/>
    <tableColumn id="7230" xr3:uid="{518C6987-1547-4B79-AF9F-351639116092}" name="Column7215" dataCellStyle="Normal 2"/>
    <tableColumn id="7231" xr3:uid="{4B442BB9-1439-4ED3-8B4B-E6CDE0ACAE4A}" name="Column7216" dataCellStyle="Normal 2"/>
    <tableColumn id="7232" xr3:uid="{3111EEFD-3F3A-48BD-A96D-17BDD851C416}" name="Column7217" dataCellStyle="Normal 2"/>
    <tableColumn id="7233" xr3:uid="{7A722B96-9F7C-4651-9760-C7900D6951C5}" name="Column7218" dataCellStyle="Normal 2"/>
    <tableColumn id="7234" xr3:uid="{4D7716A0-6115-4952-B8E1-C0B4BD1ADCC2}" name="Column7219" dataCellStyle="Normal 2"/>
    <tableColumn id="7235" xr3:uid="{BADC26D3-C6D4-4782-8480-8A7CF3698CA8}" name="Column7220" dataCellStyle="Normal 2"/>
    <tableColumn id="7236" xr3:uid="{5B558AEC-EBFB-4F1B-84A6-F2B91791CBF5}" name="Column7221" dataCellStyle="Normal 2"/>
    <tableColumn id="7237" xr3:uid="{B260AAD3-6160-467C-90C8-727B4A690ACF}" name="Column7222" dataCellStyle="Normal 2"/>
    <tableColumn id="7238" xr3:uid="{58405B29-575F-45E2-AA7B-4D4ED1B83B2D}" name="Column7223" dataCellStyle="Normal 2"/>
    <tableColumn id="7239" xr3:uid="{55D54DFD-311C-4A07-AE53-5FDB038233E9}" name="Column7224" dataCellStyle="Normal 2"/>
    <tableColumn id="7240" xr3:uid="{02E491B8-A8D3-464B-82FF-2815B25E8CB6}" name="Column7225" dataCellStyle="Normal 2"/>
    <tableColumn id="7241" xr3:uid="{5E7B77D3-FEA1-49D1-A9FC-6FAD8FBF7F9B}" name="Column7226" dataCellStyle="Normal 2"/>
    <tableColumn id="7242" xr3:uid="{9E8E8F86-4BEC-4FEF-851C-332B9FBB90F7}" name="Column7227" dataCellStyle="Normal 2"/>
    <tableColumn id="7243" xr3:uid="{099C0EDA-5F89-4173-8AA7-F3AEA9E5C699}" name="Column7228" dataCellStyle="Normal 2"/>
    <tableColumn id="7244" xr3:uid="{D272901A-438C-4499-81E7-11D57B4B2DAB}" name="Column7229" dataCellStyle="Normal 2"/>
    <tableColumn id="7245" xr3:uid="{B500105A-4F5C-4B81-9A78-C4063D9663C4}" name="Column7230" dataCellStyle="Normal 2"/>
    <tableColumn id="7246" xr3:uid="{204D1797-8A88-43B5-B658-C07484DF46F3}" name="Column7231" dataCellStyle="Normal 2"/>
    <tableColumn id="7247" xr3:uid="{60578F13-BA4A-42B4-9E26-1CA79B63B467}" name="Column7232" dataCellStyle="Normal 2"/>
    <tableColumn id="7248" xr3:uid="{7D9AE203-D7C6-4258-8D72-579CC26ED7D4}" name="Column7233" dataCellStyle="Normal 2"/>
    <tableColumn id="7249" xr3:uid="{7EEF073A-0716-497E-8F03-3EDAFB040F06}" name="Column7234" dataCellStyle="Normal 2"/>
    <tableColumn id="7250" xr3:uid="{C1E2D54E-7090-4C3D-AB89-08CF7DD8C859}" name="Column7235" dataCellStyle="Normal 2"/>
    <tableColumn id="7251" xr3:uid="{E5846D9D-D5CC-4FB4-BE66-31733B0340D3}" name="Column7236" dataCellStyle="Normal 2"/>
    <tableColumn id="7252" xr3:uid="{5E19158F-7432-4F80-83B3-DBE514E855BE}" name="Column7237" dataCellStyle="Normal 2"/>
    <tableColumn id="7253" xr3:uid="{3090D98A-F233-442D-95D6-0D2F06A081D2}" name="Column7238" dataCellStyle="Normal 2"/>
    <tableColumn id="7254" xr3:uid="{AD19CFA3-4666-4E1B-8D41-D37DB881D18F}" name="Column7239" dataCellStyle="Normal 2"/>
    <tableColumn id="7255" xr3:uid="{D004156C-5566-46DF-94A9-493173BC5A3A}" name="Column7240" dataCellStyle="Normal 2"/>
    <tableColumn id="7256" xr3:uid="{7214534D-8E69-4643-9BD4-F8C55B6FB8FA}" name="Column7241" dataCellStyle="Normal 2"/>
    <tableColumn id="7257" xr3:uid="{CC4BB16D-1287-47F0-8263-57235E277EDC}" name="Column7242" dataCellStyle="Normal 2"/>
    <tableColumn id="7258" xr3:uid="{93EE8110-9AD2-4EBB-8A44-4A290FAE15C9}" name="Column7243" dataCellStyle="Normal 2"/>
    <tableColumn id="7259" xr3:uid="{5E2B1172-88C0-4F4C-B969-1F224213AB45}" name="Column7244" dataCellStyle="Normal 2"/>
    <tableColumn id="7260" xr3:uid="{473A7150-5671-4C2E-B421-2A81F412ABA2}" name="Column7245" dataCellStyle="Normal 2"/>
    <tableColumn id="7261" xr3:uid="{3F69319C-D49B-4B1E-A33F-B4EA06B857D1}" name="Column7246" dataCellStyle="Normal 2"/>
    <tableColumn id="7262" xr3:uid="{7F9E3A07-C07E-4DD5-A3FC-873F88FFEBE3}" name="Column7247" dataCellStyle="Normal 2"/>
    <tableColumn id="7263" xr3:uid="{00AD21C8-1AEE-4C61-BE3F-54A77618B59B}" name="Column7248" dataCellStyle="Normal 2"/>
    <tableColumn id="7264" xr3:uid="{249ECFF9-2188-4C72-8935-75E06915CFFA}" name="Column7249" dataCellStyle="Normal 2"/>
    <tableColumn id="7265" xr3:uid="{5CDDD07C-3737-483B-BA78-DDD9C255AF57}" name="Column7250" dataCellStyle="Normal 2"/>
    <tableColumn id="7266" xr3:uid="{3E9A1EC7-ED2B-411A-8A6D-719A2164BD5D}" name="Column7251" dataCellStyle="Normal 2"/>
    <tableColumn id="7267" xr3:uid="{C307514A-3B8E-4326-9309-DEC6E9F2FCA0}" name="Column7252" dataCellStyle="Normal 2"/>
    <tableColumn id="7268" xr3:uid="{653D516A-8621-4E9C-B527-1E86022B4264}" name="Column7253" dataCellStyle="Normal 2"/>
    <tableColumn id="7269" xr3:uid="{1B7BDEDB-FC50-4750-9E05-5D5CDD2E5739}" name="Column7254" dataCellStyle="Normal 2"/>
    <tableColumn id="7270" xr3:uid="{1C1C6E91-8C45-4054-B781-2BAB64D06CC9}" name="Column7255" dataCellStyle="Normal 2"/>
    <tableColumn id="7271" xr3:uid="{1C90881E-481A-430B-9378-716DC5235D68}" name="Column7256" dataCellStyle="Normal 2"/>
    <tableColumn id="7272" xr3:uid="{5AC76A9A-1C27-4AAF-A7E2-324A36177DBB}" name="Column7257" dataCellStyle="Normal 2"/>
    <tableColumn id="7273" xr3:uid="{4C8EC688-EEAA-4F86-BA05-60A1AB31B21E}" name="Column7258" dataCellStyle="Normal 2"/>
    <tableColumn id="7274" xr3:uid="{FC8129CD-8B4B-4FA9-9732-F3C57A092089}" name="Column7259" dataCellStyle="Normal 2"/>
    <tableColumn id="7275" xr3:uid="{EF0296E0-9A89-4E7A-9F5D-695D3FAD233F}" name="Column7260" dataCellStyle="Normal 2"/>
    <tableColumn id="7276" xr3:uid="{CE4A227F-126A-4AA1-AD55-9A4AE362DFAF}" name="Column7261" dataCellStyle="Normal 2"/>
    <tableColumn id="7277" xr3:uid="{4683E819-E7D3-4D65-B06E-8FD4F4CD263F}" name="Column7262" dataCellStyle="Normal 2"/>
    <tableColumn id="7278" xr3:uid="{5551699A-9931-48FB-B870-4C799168A641}" name="Column7263" dataCellStyle="Normal 2"/>
    <tableColumn id="7279" xr3:uid="{AAAB2F0D-5A82-4B6C-919C-A12DBE72CCD0}" name="Column7264" dataCellStyle="Normal 2"/>
    <tableColumn id="7280" xr3:uid="{CD630780-0AF0-4E96-9F02-5327B7F614C1}" name="Column7265" dataCellStyle="Normal 2"/>
    <tableColumn id="7281" xr3:uid="{0FB9B8EF-5E24-446C-B45C-BB4D24C9B98E}" name="Column7266" dataCellStyle="Normal 2"/>
    <tableColumn id="7282" xr3:uid="{946A0E8C-22A7-4533-AA2D-58060F85AFDC}" name="Column7267" dataCellStyle="Normal 2"/>
    <tableColumn id="7283" xr3:uid="{CE1DBADA-01BF-4A75-AD4B-123674670BD6}" name="Column7268" dataCellStyle="Normal 2"/>
    <tableColumn id="7284" xr3:uid="{0762EF83-88AE-4919-9006-0CAFDAFE479F}" name="Column7269" dataCellStyle="Normal 2"/>
    <tableColumn id="7285" xr3:uid="{97629336-CA9B-4A51-A293-205DF3E149CD}" name="Column7270" dataCellStyle="Normal 2"/>
    <tableColumn id="7286" xr3:uid="{298075AE-1795-4991-A220-25C91DE268D9}" name="Column7271" dataCellStyle="Normal 2"/>
    <tableColumn id="7287" xr3:uid="{B48AE5A7-44E5-4D29-977B-7CBD63BDA47B}" name="Column7272" dataCellStyle="Normal 2"/>
    <tableColumn id="7288" xr3:uid="{10CBCB4F-B507-48AA-9168-6F854127B00D}" name="Column7273" dataCellStyle="Normal 2"/>
    <tableColumn id="7289" xr3:uid="{1D2A692E-2C5A-4F6C-879A-AA63BE9F6A03}" name="Column7274" dataCellStyle="Normal 2"/>
    <tableColumn id="7290" xr3:uid="{D6E05620-0F02-405F-AA10-2399C70A3AB4}" name="Column7275" dataCellStyle="Normal 2"/>
    <tableColumn id="7291" xr3:uid="{6A730AB5-6CE0-4950-AFEE-693EBF602D40}" name="Column7276" dataCellStyle="Normal 2"/>
    <tableColumn id="7292" xr3:uid="{A9DB9F14-315E-4717-8C0C-F34E6BECCDF9}" name="Column7277" dataCellStyle="Normal 2"/>
    <tableColumn id="7293" xr3:uid="{4E13DEF2-932C-4213-B4FF-B1B423471B13}" name="Column7278" dataCellStyle="Normal 2"/>
    <tableColumn id="7294" xr3:uid="{1B7068D3-366A-44B6-9E6E-D3E61EAE07A2}" name="Column7279" dataCellStyle="Normal 2"/>
    <tableColumn id="7295" xr3:uid="{6819A353-0F1E-4EF4-844C-7128E1DEC71F}" name="Column7280" dataCellStyle="Normal 2"/>
    <tableColumn id="7296" xr3:uid="{166102F6-79A0-4EF7-8375-A0E48D3F722E}" name="Column7281" dataCellStyle="Normal 2"/>
    <tableColumn id="7297" xr3:uid="{6691BFCB-7C92-4D86-B57E-6F60122E7406}" name="Column7282" dataCellStyle="Normal 2"/>
    <tableColumn id="7298" xr3:uid="{5BDB6A2C-9826-4B20-B953-1A835F7EE927}" name="Column7283" dataCellStyle="Normal 2"/>
    <tableColumn id="7299" xr3:uid="{42F25CB4-CA6F-4DFD-9DD9-2073E754F723}" name="Column7284" dataCellStyle="Normal 2"/>
    <tableColumn id="7300" xr3:uid="{670B6312-1DB0-4619-9901-BB2058816CF4}" name="Column7285" dataCellStyle="Normal 2"/>
    <tableColumn id="7301" xr3:uid="{0ACB6AB5-BEDB-486A-AE64-DC68CFF577EC}" name="Column7286" dataCellStyle="Normal 2"/>
    <tableColumn id="7302" xr3:uid="{1531CBE9-A7CA-4D07-8131-1F9BAD65B833}" name="Column7287" dataCellStyle="Normal 2"/>
    <tableColumn id="7303" xr3:uid="{42E88045-BF09-4107-B95F-DE2B414B317C}" name="Column7288" dataCellStyle="Normal 2"/>
    <tableColumn id="7304" xr3:uid="{CB9BBE71-7501-41E5-8510-97E61CE6651E}" name="Column7289" dataCellStyle="Normal 2"/>
    <tableColumn id="7305" xr3:uid="{2CD7A29A-8A95-4E78-B243-EB4787E92A43}" name="Column7290" dataCellStyle="Normal 2"/>
    <tableColumn id="7306" xr3:uid="{C29C9E81-AF7A-453C-9448-7C61FE3A701F}" name="Column7291" dataCellStyle="Normal 2"/>
    <tableColumn id="7307" xr3:uid="{09F98090-A64F-49D6-832E-984928EE1F21}" name="Column7292" dataCellStyle="Normal 2"/>
    <tableColumn id="7308" xr3:uid="{34F66766-4DB6-4A41-BA8E-AF09EC007EC5}" name="Column7293" dataCellStyle="Normal 2"/>
    <tableColumn id="7309" xr3:uid="{3D318C5C-70AB-4001-B53F-EA5867C72C40}" name="Column7294" dataCellStyle="Normal 2"/>
    <tableColumn id="7310" xr3:uid="{B4965A4E-E2F7-42A6-A803-FD88787CB138}" name="Column7295" dataCellStyle="Normal 2"/>
    <tableColumn id="7311" xr3:uid="{8773B5CB-0FB9-45B6-B07F-2B59C58C3043}" name="Column7296" dataCellStyle="Normal 2"/>
    <tableColumn id="7312" xr3:uid="{A215A29A-192E-426C-9584-4230CF25CEF0}" name="Column7297" dataCellStyle="Normal 2"/>
    <tableColumn id="7313" xr3:uid="{2827EE43-9921-4673-834B-5A662FAC40C4}" name="Column7298" dataCellStyle="Normal 2"/>
    <tableColumn id="7314" xr3:uid="{43BA0A7D-6481-4F85-8D4A-B583321C5DCB}" name="Column7299" dataCellStyle="Normal 2"/>
    <tableColumn id="7315" xr3:uid="{91013F3C-B7C7-484A-8BD1-C15807411011}" name="Column7300" dataCellStyle="Normal 2"/>
    <tableColumn id="7316" xr3:uid="{FF47E12C-4A5A-44AF-906E-12A9FD70A6C3}" name="Column7301" dataCellStyle="Normal 2"/>
    <tableColumn id="7317" xr3:uid="{BFF68A24-BDEC-4D8D-9FB8-8C7693B604AC}" name="Column7302" dataCellStyle="Normal 2"/>
    <tableColumn id="7318" xr3:uid="{8DC9A123-2A3B-483F-8865-970EA38409A7}" name="Column7303" dataCellStyle="Normal 2"/>
    <tableColumn id="7319" xr3:uid="{356C3DFA-CD4B-4D44-8306-CC06D92C0A22}" name="Column7304" dataCellStyle="Normal 2"/>
    <tableColumn id="7320" xr3:uid="{A70A6710-F04F-4C7C-B6D0-DD6CB28CF2DB}" name="Column7305" dataCellStyle="Normal 2"/>
    <tableColumn id="7321" xr3:uid="{D38DECE4-A8A2-4E7C-AE38-45BB0DE604A1}" name="Column7306" dataCellStyle="Normal 2"/>
    <tableColumn id="7322" xr3:uid="{BEA87C54-611C-4D5B-8FD7-441332D3E512}" name="Column7307" dataCellStyle="Normal 2"/>
    <tableColumn id="7323" xr3:uid="{E5377608-49EC-49A0-85C7-9F4E7FA7D29A}" name="Column7308" dataCellStyle="Normal 2"/>
    <tableColumn id="7324" xr3:uid="{5CA3C59C-2C5B-4851-8E36-A71C16D23D86}" name="Column7309" dataCellStyle="Normal 2"/>
    <tableColumn id="7325" xr3:uid="{B659FE9C-0CD1-4EB1-BB90-537E2FA8A9F2}" name="Column7310" dataCellStyle="Normal 2"/>
    <tableColumn id="7326" xr3:uid="{FA4B9971-7D82-4AB9-A899-9FCBD5D50507}" name="Column7311" dataCellStyle="Normal 2"/>
    <tableColumn id="7327" xr3:uid="{825308F2-0CC3-4348-B5E7-BF61F17A3EAC}" name="Column7312" dataCellStyle="Normal 2"/>
    <tableColumn id="7328" xr3:uid="{C9469106-AD42-4B50-B7FB-FCC3DF94417F}" name="Column7313" dataCellStyle="Normal 2"/>
    <tableColumn id="7329" xr3:uid="{D2679F18-F5F5-4A6D-B060-DFCFCA17523C}" name="Column7314" dataCellStyle="Normal 2"/>
    <tableColumn id="7330" xr3:uid="{FC9B69EC-DB56-47FE-9A9D-4357EA149A0E}" name="Column7315" dataCellStyle="Normal 2"/>
    <tableColumn id="7331" xr3:uid="{CD447471-5CBA-4B0B-83A4-75308D02249E}" name="Column7316" dataCellStyle="Normal 2"/>
    <tableColumn id="7332" xr3:uid="{938BEBA7-04DA-47FE-A230-35F774C0C7E2}" name="Column7317" dataCellStyle="Normal 2"/>
    <tableColumn id="7333" xr3:uid="{907A519E-25AF-4479-9F88-0B67473C71F0}" name="Column7318" dataCellStyle="Normal 2"/>
    <tableColumn id="7334" xr3:uid="{0A99E5B1-984F-4AE3-A513-91EAF739B1FD}" name="Column7319" dataCellStyle="Normal 2"/>
    <tableColumn id="7335" xr3:uid="{034777F4-2C4B-479F-829D-E4609FC7C37D}" name="Column7320" dataCellStyle="Normal 2"/>
    <tableColumn id="7336" xr3:uid="{93970829-5E00-455E-9DFF-AB7981120D80}" name="Column7321" dataCellStyle="Normal 2"/>
    <tableColumn id="7337" xr3:uid="{BA7F195B-E265-4777-8610-92240222E4E7}" name="Column7322" dataCellStyle="Normal 2"/>
    <tableColumn id="7338" xr3:uid="{653877A1-2EC7-4CB9-B5AE-4BE6EE98A4C6}" name="Column7323" dataCellStyle="Normal 2"/>
    <tableColumn id="7339" xr3:uid="{7CB6E236-3272-40E8-96A9-10A51A9637D0}" name="Column7324" dataCellStyle="Normal 2"/>
    <tableColumn id="7340" xr3:uid="{37314ED4-5993-4A9D-87FA-BE6233F4C04B}" name="Column7325" dataCellStyle="Normal 2"/>
    <tableColumn id="7341" xr3:uid="{DB298328-DA43-4960-BE77-026D62A8C34D}" name="Column7326" dataCellStyle="Normal 2"/>
    <tableColumn id="7342" xr3:uid="{D2BD4242-0A45-4B55-891C-DF78002ABCB2}" name="Column7327" dataCellStyle="Normal 2"/>
    <tableColumn id="7343" xr3:uid="{BEFB22EC-15B1-490F-AA75-2BB0B9D03C90}" name="Column7328" dataCellStyle="Normal 2"/>
    <tableColumn id="7344" xr3:uid="{3788F531-BE7E-4204-9B79-D1064ECB942F}" name="Column7329" dataCellStyle="Normal 2"/>
    <tableColumn id="7345" xr3:uid="{501197E4-FFCE-4CD3-A7C8-4C74476A302C}" name="Column7330" dataCellStyle="Normal 2"/>
    <tableColumn id="7346" xr3:uid="{E091D441-CE21-49F1-9B10-9414F5769572}" name="Column7331" dataCellStyle="Normal 2"/>
    <tableColumn id="7347" xr3:uid="{24A520E8-F2C2-4987-AE3F-80A6D3972051}" name="Column7332" dataCellStyle="Normal 2"/>
    <tableColumn id="7348" xr3:uid="{D40CDEAC-7AC0-45EC-8215-47D68E5AF8B0}" name="Column7333" dataCellStyle="Normal 2"/>
    <tableColumn id="7349" xr3:uid="{5B9CF9EB-B76F-42D1-9C7A-1D837F495833}" name="Column7334" dataCellStyle="Normal 2"/>
    <tableColumn id="7350" xr3:uid="{369DE228-65AD-4E63-80E1-CF7E08025402}" name="Column7335" dataCellStyle="Normal 2"/>
    <tableColumn id="7351" xr3:uid="{36B0E5F7-ABED-433E-B767-2ECF0017FE46}" name="Column7336" dataCellStyle="Normal 2"/>
    <tableColumn id="7352" xr3:uid="{6F7C2316-94C7-487D-8F73-16C60C136CDD}" name="Column7337" dataCellStyle="Normal 2"/>
    <tableColumn id="7353" xr3:uid="{09CA0924-9288-476E-AF85-FD3344D9BAE9}" name="Column7338" dataCellStyle="Normal 2"/>
    <tableColumn id="7354" xr3:uid="{42B343DF-D714-49FE-874F-4C1956CE4CC6}" name="Column7339" dataCellStyle="Normal 2"/>
    <tableColumn id="7355" xr3:uid="{9F205FCB-D16D-4A10-90D4-19C8BFB2CBFF}" name="Column7340" dataCellStyle="Normal 2"/>
    <tableColumn id="7356" xr3:uid="{DC9A7D80-752E-4726-A4C8-A9F522B1B482}" name="Column7341" dataCellStyle="Normal 2"/>
    <tableColumn id="7357" xr3:uid="{822EE120-A8B8-4288-8878-5D7A5DDEDD34}" name="Column7342" dataCellStyle="Normal 2"/>
    <tableColumn id="7358" xr3:uid="{7F6DAD92-544B-4AA4-A24B-1F5005EF3590}" name="Column7343" dataCellStyle="Normal 2"/>
    <tableColumn id="7359" xr3:uid="{617B9783-6BFC-490B-824D-E94B1A57164C}" name="Column7344" dataCellStyle="Normal 2"/>
    <tableColumn id="7360" xr3:uid="{4E07F9BB-874A-4835-A2AF-4F06FA62C92E}" name="Column7345" dataCellStyle="Normal 2"/>
    <tableColumn id="7361" xr3:uid="{A7522BF2-B6AE-4C8F-B3F3-A4EA11635D56}" name="Column7346" dataCellStyle="Normal 2"/>
    <tableColumn id="7362" xr3:uid="{7F8B8001-B663-4342-BBE2-D32083C79025}" name="Column7347" dataCellStyle="Normal 2"/>
    <tableColumn id="7363" xr3:uid="{43DB6526-77FB-47FF-86A0-DD4EE3E548B5}" name="Column7348" dataCellStyle="Normal 2"/>
    <tableColumn id="7364" xr3:uid="{F8E9C076-A660-495D-BA67-FE96EFE5B7D2}" name="Column7349" dataCellStyle="Normal 2"/>
    <tableColumn id="7365" xr3:uid="{570BEC0A-695B-406B-A291-023F706A0E73}" name="Column7350" dataCellStyle="Normal 2"/>
    <tableColumn id="7366" xr3:uid="{6F8CCD99-754A-4F83-BC4E-B3F7F71A2F8C}" name="Column7351" dataCellStyle="Normal 2"/>
    <tableColumn id="7367" xr3:uid="{CFA2AFFC-3E1D-4243-B2BF-DC458D5EFA0C}" name="Column7352" dataCellStyle="Normal 2"/>
    <tableColumn id="7368" xr3:uid="{2E31C4D5-5F17-4897-893F-F5AFEE049D07}" name="Column7353" dataCellStyle="Normal 2"/>
    <tableColumn id="7369" xr3:uid="{062E1836-84FE-4F4E-AC38-5DDFD926313A}" name="Column7354" dataCellStyle="Normal 2"/>
    <tableColumn id="7370" xr3:uid="{76E93927-F48B-4879-95E7-02C8A1D90E99}" name="Column7355" dataCellStyle="Normal 2"/>
    <tableColumn id="7371" xr3:uid="{0295D141-83F5-45BF-9B9F-658997021BC0}" name="Column7356" dataCellStyle="Normal 2"/>
    <tableColumn id="7372" xr3:uid="{BAB71222-D598-444F-8725-DBEB1160B849}" name="Column7357" dataCellStyle="Normal 2"/>
    <tableColumn id="7373" xr3:uid="{3D7EF464-632D-4407-9964-C083CD707A32}" name="Column7358" dataCellStyle="Normal 2"/>
    <tableColumn id="7374" xr3:uid="{DF053922-92B2-4DBC-9335-0C8D26A83D27}" name="Column7359" dataCellStyle="Normal 2"/>
    <tableColumn id="7375" xr3:uid="{8083D033-931A-4202-B91D-8D9743CA696F}" name="Column7360" dataCellStyle="Normal 2"/>
    <tableColumn id="7376" xr3:uid="{C162D534-90A1-4835-9648-DBCA56E0B714}" name="Column7361" dataCellStyle="Normal 2"/>
    <tableColumn id="7377" xr3:uid="{D3F4952D-2E53-4714-B3A7-671427EAC184}" name="Column7362" dataCellStyle="Normal 2"/>
    <tableColumn id="7378" xr3:uid="{F767CEE4-E054-44DB-BD48-CAE825ADD8F2}" name="Column7363" dataCellStyle="Normal 2"/>
    <tableColumn id="7379" xr3:uid="{D0742912-85F8-49F2-94CD-5DECCA810B7F}" name="Column7364" dataCellStyle="Normal 2"/>
    <tableColumn id="7380" xr3:uid="{06EB2E46-DD5A-4FBE-A665-0191A49F93C6}" name="Column7365" dataCellStyle="Normal 2"/>
    <tableColumn id="7381" xr3:uid="{3C82E027-DCA8-4BB2-976E-889F655B7E53}" name="Column7366" dataCellStyle="Normal 2"/>
    <tableColumn id="7382" xr3:uid="{AF5D8064-32A7-4E79-9316-6802A6954B61}" name="Column7367" dataCellStyle="Normal 2"/>
    <tableColumn id="7383" xr3:uid="{991F2745-1535-4AC1-977D-03FCC68F6F3E}" name="Column7368" dataCellStyle="Normal 2"/>
    <tableColumn id="7384" xr3:uid="{ED12FA98-BB33-4383-8CEC-C20B32893E00}" name="Column7369" dataCellStyle="Normal 2"/>
    <tableColumn id="7385" xr3:uid="{A5C36703-ADAE-4982-89FE-57766A1D5F05}" name="Column7370" dataCellStyle="Normal 2"/>
    <tableColumn id="7386" xr3:uid="{1E767BAC-F6EF-4231-B1BA-BAC26DD823DF}" name="Column7371" dataCellStyle="Normal 2"/>
    <tableColumn id="7387" xr3:uid="{54E5E622-1F39-494F-964C-C9BDBDFC9B3F}" name="Column7372" dataCellStyle="Normal 2"/>
    <tableColumn id="7388" xr3:uid="{79DC476B-E967-477E-BBB4-6DB50528149E}" name="Column7373" dataCellStyle="Normal 2"/>
    <tableColumn id="7389" xr3:uid="{8CA5993D-0468-4D56-BC1D-6F5E7D3D385A}" name="Column7374" dataCellStyle="Normal 2"/>
    <tableColumn id="7390" xr3:uid="{6CD48251-3BE0-467F-B43B-68CDC8FC6D5E}" name="Column7375" dataCellStyle="Normal 2"/>
    <tableColumn id="7391" xr3:uid="{3C60E569-5F49-4CED-B24A-938F8C29B900}" name="Column7376" dataCellStyle="Normal 2"/>
    <tableColumn id="7392" xr3:uid="{11983667-82AA-41EE-9247-99A5E8A8A106}" name="Column7377" dataCellStyle="Normal 2"/>
    <tableColumn id="7393" xr3:uid="{90F26ED5-3124-43DD-A1EA-CD310492BC48}" name="Column7378" dataCellStyle="Normal 2"/>
    <tableColumn id="7394" xr3:uid="{EE0E44C2-CAC8-4092-9234-83E2E8BEB1BC}" name="Column7379" dataCellStyle="Normal 2"/>
    <tableColumn id="7395" xr3:uid="{060EE99B-21CC-4FBD-A7A2-8268EC9A8EE1}" name="Column7380" dataCellStyle="Normal 2"/>
    <tableColumn id="7396" xr3:uid="{C786F010-98B6-4F63-872C-E5EEE8E34C11}" name="Column7381" dataCellStyle="Normal 2"/>
    <tableColumn id="7397" xr3:uid="{D255C168-5CFA-4689-9AE3-6EF6386A6C7B}" name="Column7382" dataCellStyle="Normal 2"/>
    <tableColumn id="7398" xr3:uid="{486FA884-7E47-4892-99DC-3724637B6094}" name="Column7383" dataCellStyle="Normal 2"/>
    <tableColumn id="7399" xr3:uid="{16A47B64-6576-4688-9DF9-5C1C67784BCD}" name="Column7384" dataCellStyle="Normal 2"/>
    <tableColumn id="7400" xr3:uid="{084D62CE-5D15-4143-B8BE-A2050C9BB75A}" name="Column7385" dataCellStyle="Normal 2"/>
    <tableColumn id="7401" xr3:uid="{2E5AE8CD-5EB7-4915-870F-D7613E1F7001}" name="Column7386" dataCellStyle="Normal 2"/>
    <tableColumn id="7402" xr3:uid="{3731C8F9-61F2-45DB-8450-8D024CFD00B7}" name="Column7387" dataCellStyle="Normal 2"/>
    <tableColumn id="7403" xr3:uid="{5F9A9E53-95A5-412E-A115-D0672525DC8F}" name="Column7388" dataCellStyle="Normal 2"/>
    <tableColumn id="7404" xr3:uid="{2117675F-9197-496B-ACF4-AD6A16677C8D}" name="Column7389" dataCellStyle="Normal 2"/>
    <tableColumn id="7405" xr3:uid="{D5CBD893-35CC-437C-AAD9-53803EC4EA32}" name="Column7390" dataCellStyle="Normal 2"/>
    <tableColumn id="7406" xr3:uid="{91D03A11-A01B-4CBB-BDC4-423527CCF724}" name="Column7391" dataCellStyle="Normal 2"/>
    <tableColumn id="7407" xr3:uid="{A4D79347-55E6-4161-9F9A-7704CB3F0B4D}" name="Column7392" dataCellStyle="Normal 2"/>
    <tableColumn id="7408" xr3:uid="{8182DCDF-2D49-4780-8E5F-B5ED02D97742}" name="Column7393" dataCellStyle="Normal 2"/>
    <tableColumn id="7409" xr3:uid="{3C065F0D-C195-4DC9-8A41-CD50DCC7FBEE}" name="Column7394" dataCellStyle="Normal 2"/>
    <tableColumn id="7410" xr3:uid="{6772AD01-4FBF-4EB8-824A-AFB8B1F90E4B}" name="Column7395" dataCellStyle="Normal 2"/>
    <tableColumn id="7411" xr3:uid="{C4280AB2-677D-4C31-9815-63F7D3184DDD}" name="Column7396" dataCellStyle="Normal 2"/>
    <tableColumn id="7412" xr3:uid="{7819EE96-E777-4EA5-A34A-C270F12678E4}" name="Column7397" dataCellStyle="Normal 2"/>
    <tableColumn id="7413" xr3:uid="{3EC59965-6A8A-4271-A903-5F55CBA7EBD1}" name="Column7398" dataCellStyle="Normal 2"/>
    <tableColumn id="7414" xr3:uid="{3223AB1D-8EA9-4D1B-89B6-6B87AEF9B0AB}" name="Column7399" dataCellStyle="Normal 2"/>
    <tableColumn id="7415" xr3:uid="{89EF9FFD-7199-4EF3-941C-DF4750AA1C34}" name="Column7400" dataCellStyle="Normal 2"/>
    <tableColumn id="7416" xr3:uid="{0FB09CD8-DB34-44A4-B54B-4B54C999283D}" name="Column7401" dataCellStyle="Normal 2"/>
    <tableColumn id="7417" xr3:uid="{09A6F646-F250-447D-8F26-CFC025FA65ED}" name="Column7402" dataCellStyle="Normal 2"/>
    <tableColumn id="7418" xr3:uid="{CA7B1F75-CE09-42D4-AB69-273BCB87ACEE}" name="Column7403" dataCellStyle="Normal 2"/>
    <tableColumn id="7419" xr3:uid="{2127FFC0-91CA-4D2C-9E7C-B95754B5FB01}" name="Column7404" dataCellStyle="Normal 2"/>
    <tableColumn id="7420" xr3:uid="{5AF8658D-69F0-4302-A532-C032A66BE397}" name="Column7405" dataCellStyle="Normal 2"/>
    <tableColumn id="7421" xr3:uid="{A19DE9A3-D545-4DE4-9FD5-365E03E11515}" name="Column7406" dataCellStyle="Normal 2"/>
    <tableColumn id="7422" xr3:uid="{D5AD3FB2-424B-41EE-AEEF-F840D82E6D27}" name="Column7407" dataCellStyle="Normal 2"/>
    <tableColumn id="7423" xr3:uid="{20E5C921-0F11-45ED-94FA-7A1B494640C2}" name="Column7408" dataCellStyle="Normal 2"/>
    <tableColumn id="7424" xr3:uid="{39C38876-769F-444D-B8E3-04E7B90C38FE}" name="Column7409" dataCellStyle="Normal 2"/>
    <tableColumn id="7425" xr3:uid="{8C70A3D5-66CB-42DD-AEB4-870C67F3923C}" name="Column7410" dataCellStyle="Normal 2"/>
    <tableColumn id="7426" xr3:uid="{A90E3C6B-4BAE-42E2-A565-871138817BFA}" name="Column7411" dataCellStyle="Normal 2"/>
    <tableColumn id="7427" xr3:uid="{8AB06A29-9C76-4665-B7FE-2EFA5A5C61CB}" name="Column7412" dataCellStyle="Normal 2"/>
    <tableColumn id="7428" xr3:uid="{AD4051BC-E47D-4C30-8E14-B0BC8CCAE9F3}" name="Column7413" dataCellStyle="Normal 2"/>
    <tableColumn id="7429" xr3:uid="{4C1B77BA-9224-47E3-A75A-EF0E28B748AC}" name="Column7414" dataCellStyle="Normal 2"/>
    <tableColumn id="7430" xr3:uid="{DA9F1A4A-E246-4F8B-AA37-88EAE84E3A74}" name="Column7415" dataCellStyle="Normal 2"/>
    <tableColumn id="7431" xr3:uid="{872E5EA2-9794-403A-B5CB-DE42672D34CE}" name="Column7416" dataCellStyle="Normal 2"/>
    <tableColumn id="7432" xr3:uid="{C5FF90A5-142E-472E-A1F6-D119CFFC9224}" name="Column7417" dataCellStyle="Normal 2"/>
    <tableColumn id="7433" xr3:uid="{8AE7430F-BEF2-4654-AF99-1AE1BB638A0F}" name="Column7418" dataCellStyle="Normal 2"/>
    <tableColumn id="7434" xr3:uid="{AE6C0017-5561-4447-8A0D-714FF6A58B63}" name="Column7419" dataCellStyle="Normal 2"/>
    <tableColumn id="7435" xr3:uid="{648FAE73-DF31-4C59-8B7F-04B2D48463CC}" name="Column7420" dataCellStyle="Normal 2"/>
    <tableColumn id="7436" xr3:uid="{DD95FF13-94B1-4655-8956-6EF269A56C7A}" name="Column7421" dataCellStyle="Normal 2"/>
    <tableColumn id="7437" xr3:uid="{8B8AB473-AE15-46D1-A086-ABED2A1A3AFC}" name="Column7422" dataCellStyle="Normal 2"/>
    <tableColumn id="7438" xr3:uid="{BCA31B53-0848-4E66-8CE7-57A187BE6DBA}" name="Column7423" dataCellStyle="Normal 2"/>
    <tableColumn id="7439" xr3:uid="{393D5E2E-640A-4D70-B03B-F132A6093476}" name="Column7424" dataCellStyle="Normal 2"/>
    <tableColumn id="7440" xr3:uid="{0150E8B0-B73A-4875-8A35-7F5492B939EA}" name="Column7425" dataCellStyle="Normal 2"/>
    <tableColumn id="7441" xr3:uid="{E77DC465-C4F3-441D-A38A-4E77D82BC838}" name="Column7426" dataCellStyle="Normal 2"/>
    <tableColumn id="7442" xr3:uid="{BACF74DA-3BAD-478F-A31C-0FC75C0C5E3A}" name="Column7427" dataCellStyle="Normal 2"/>
    <tableColumn id="7443" xr3:uid="{4790148E-5068-4FA6-87CE-36E71AFF656C}" name="Column7428" dataCellStyle="Normal 2"/>
    <tableColumn id="7444" xr3:uid="{39D2DE8F-F0DF-4D3B-A72C-C5D72DDE6248}" name="Column7429" dataCellStyle="Normal 2"/>
    <tableColumn id="7445" xr3:uid="{403D697C-DB56-4086-8905-6E86277C621D}" name="Column7430" dataCellStyle="Normal 2"/>
    <tableColumn id="7446" xr3:uid="{0570F1ED-2783-45E3-87CB-F7EF3260231F}" name="Column7431" dataCellStyle="Normal 2"/>
    <tableColumn id="7447" xr3:uid="{C5910555-A6C2-449E-9E77-134474120184}" name="Column7432" dataCellStyle="Normal 2"/>
    <tableColumn id="7448" xr3:uid="{4050DE74-9F87-464C-892A-0640B6831A98}" name="Column7433" dataCellStyle="Normal 2"/>
    <tableColumn id="7449" xr3:uid="{1AF29059-ED7A-4A38-B5E1-30A06CF63BD7}" name="Column7434" dataCellStyle="Normal 2"/>
    <tableColumn id="7450" xr3:uid="{63FD217E-20A0-4196-ABDC-2DB492609963}" name="Column7435" dataCellStyle="Normal 2"/>
    <tableColumn id="7451" xr3:uid="{485A6B8B-B22C-49AA-AADF-99E2E9A2F744}" name="Column7436" dataCellStyle="Normal 2"/>
    <tableColumn id="7452" xr3:uid="{0A5730E9-499D-427B-95B4-B2A1751C23C2}" name="Column7437" dataCellStyle="Normal 2"/>
    <tableColumn id="7453" xr3:uid="{3E0192B2-EC32-4793-9928-F10D6B664499}" name="Column7438" dataCellStyle="Normal 2"/>
    <tableColumn id="7454" xr3:uid="{1708371C-F994-4503-8E52-C1AA332F6FC8}" name="Column7439" dataCellStyle="Normal 2"/>
    <tableColumn id="7455" xr3:uid="{6D49EA54-5732-4D5D-BE03-FACF3A7288B5}" name="Column7440" dataCellStyle="Normal 2"/>
    <tableColumn id="7456" xr3:uid="{1A68B8B2-2478-4692-AD94-DD3CA9C2C6B7}" name="Column7441" dataCellStyle="Normal 2"/>
    <tableColumn id="7457" xr3:uid="{3D8EDB5B-ED2C-4273-8A8E-EBF21AB22296}" name="Column7442" dataCellStyle="Normal 2"/>
    <tableColumn id="7458" xr3:uid="{160698C2-A718-4D6D-A3C4-6AA91FC3561A}" name="Column7443" dataCellStyle="Normal 2"/>
    <tableColumn id="7459" xr3:uid="{00FEF4DB-3B1D-46B9-914A-7F66B6585426}" name="Column7444" dataCellStyle="Normal 2"/>
    <tableColumn id="7460" xr3:uid="{9D3000A4-FFFF-453F-A174-6473ACF99938}" name="Column7445" dataCellStyle="Normal 2"/>
    <tableColumn id="7461" xr3:uid="{020189EF-EC9A-44BA-B7A3-7ACD4853A554}" name="Column7446" dataCellStyle="Normal 2"/>
    <tableColumn id="7462" xr3:uid="{8EDF509F-6AE4-41CF-A907-6F38F133FDC2}" name="Column7447" dataCellStyle="Normal 2"/>
    <tableColumn id="7463" xr3:uid="{CF3F37B8-855A-4F27-B147-A4A013651125}" name="Column7448" dataCellStyle="Normal 2"/>
    <tableColumn id="7464" xr3:uid="{B47C20B6-FF5A-4C38-87FE-317EAD36EAA0}" name="Column7449" dataCellStyle="Normal 2"/>
    <tableColumn id="7465" xr3:uid="{D76D0D62-D1A1-47C0-990B-C1B4EC1D1295}" name="Column7450" dataCellStyle="Normal 2"/>
    <tableColumn id="7466" xr3:uid="{5C07A181-F328-473B-9B16-52062449B0E1}" name="Column7451" dataCellStyle="Normal 2"/>
    <tableColumn id="7467" xr3:uid="{FE6324C9-C32A-4DF3-B005-56567FC9E97D}" name="Column7452" dataCellStyle="Normal 2"/>
    <tableColumn id="7468" xr3:uid="{98CA6795-CBE0-4C19-A6FB-72D9C11524C1}" name="Column7453" dataCellStyle="Normal 2"/>
    <tableColumn id="7469" xr3:uid="{9E35460A-551D-4DC6-A894-7CFBEF34F7C7}" name="Column7454" dataCellStyle="Normal 2"/>
    <tableColumn id="7470" xr3:uid="{F40D2F75-012A-480B-9064-174E653F4BAC}" name="Column7455" dataCellStyle="Normal 2"/>
    <tableColumn id="7471" xr3:uid="{5F6DFB6A-C2BC-4F2B-8AD3-06FE122D31BC}" name="Column7456" dataCellStyle="Normal 2"/>
    <tableColumn id="7472" xr3:uid="{F1CA5854-8A5B-472E-BE78-A36A4CD22070}" name="Column7457" dataCellStyle="Normal 2"/>
    <tableColumn id="7473" xr3:uid="{E1F6D64E-51FC-46CF-A1A0-C0A3E7431DB3}" name="Column7458" dataCellStyle="Normal 2"/>
    <tableColumn id="7474" xr3:uid="{3E3E52B1-B165-4841-93FD-EA8285FD286F}" name="Column7459" dataCellStyle="Normal 2"/>
    <tableColumn id="7475" xr3:uid="{B2CB28EC-5EE2-4218-B68A-B557190FD919}" name="Column7460" dataCellStyle="Normal 2"/>
    <tableColumn id="7476" xr3:uid="{E3FB3608-F6BB-4092-A355-AD1A23C32EB9}" name="Column7461" dataCellStyle="Normal 2"/>
    <tableColumn id="7477" xr3:uid="{94A1722D-4F31-45B9-A8A4-41817478DF3E}" name="Column7462" dataCellStyle="Normal 2"/>
    <tableColumn id="7478" xr3:uid="{027513CA-0792-43C2-8FCF-A09FA3EA453F}" name="Column7463" dataCellStyle="Normal 2"/>
    <tableColumn id="7479" xr3:uid="{5A1662DE-1828-42F3-91AD-99DD067090F5}" name="Column7464" dataCellStyle="Normal 2"/>
    <tableColumn id="7480" xr3:uid="{7363F56E-BFD6-49EB-9270-789D4BF49E55}" name="Column7465" dataCellStyle="Normal 2"/>
    <tableColumn id="7481" xr3:uid="{870A6616-1DB3-4314-BA6B-55E384BFE6EC}" name="Column7466" dataCellStyle="Normal 2"/>
    <tableColumn id="7482" xr3:uid="{77A6A158-E6A4-43C4-BA39-0CA384A1886F}" name="Column7467" dataCellStyle="Normal 2"/>
    <tableColumn id="7483" xr3:uid="{D52C1379-A588-45FE-B749-FC449981D236}" name="Column7468" dataCellStyle="Normal 2"/>
    <tableColumn id="7484" xr3:uid="{5CA16F61-02A3-4807-BD16-CF3516FC0EF3}" name="Column7469" dataCellStyle="Normal 2"/>
    <tableColumn id="7485" xr3:uid="{E7DE9B29-805D-4F56-8751-5C91A0896E73}" name="Column7470" dataCellStyle="Normal 2"/>
    <tableColumn id="7486" xr3:uid="{48EAF1B4-A52B-4914-B4F4-446055382D29}" name="Column7471" dataCellStyle="Normal 2"/>
    <tableColumn id="7487" xr3:uid="{20F5699E-6674-421B-87B9-BC642C1F11B7}" name="Column7472" dataCellStyle="Normal 2"/>
    <tableColumn id="7488" xr3:uid="{CB3CD58B-B16A-4505-A2F1-13FA22000A9D}" name="Column7473" dataCellStyle="Normal 2"/>
    <tableColumn id="7489" xr3:uid="{48ECCC67-4854-4927-93DF-6CD007B3A919}" name="Column7474" dataCellStyle="Normal 2"/>
    <tableColumn id="7490" xr3:uid="{E3143199-9AD1-4146-8588-973EB07D3B10}" name="Column7475" dataCellStyle="Normal 2"/>
    <tableColumn id="7491" xr3:uid="{BE4C35BA-171C-4E41-8845-E5E29A673EFB}" name="Column7476" dataCellStyle="Normal 2"/>
    <tableColumn id="7492" xr3:uid="{4A037366-7AF9-477D-8ED0-3E598C79D57B}" name="Column7477" dataCellStyle="Normal 2"/>
    <tableColumn id="7493" xr3:uid="{D8570F75-3874-4C91-8E91-EA7325A8838D}" name="Column7478" dataCellStyle="Normal 2"/>
    <tableColumn id="7494" xr3:uid="{FBADCD29-9564-497A-BF20-C18F3BBC04F4}" name="Column7479" dataCellStyle="Normal 2"/>
    <tableColumn id="7495" xr3:uid="{68822748-1CBD-4468-BF2B-70D89607F505}" name="Column7480" dataCellStyle="Normal 2"/>
    <tableColumn id="7496" xr3:uid="{FDD17A6C-7B09-41F5-BDF8-D1892ED12030}" name="Column7481" dataCellStyle="Normal 2"/>
    <tableColumn id="7497" xr3:uid="{03BC75F7-910D-400D-85BD-80A2AAC13CF1}" name="Column7482" dataCellStyle="Normal 2"/>
    <tableColumn id="7498" xr3:uid="{5541BEC1-2C42-43D1-8E85-C9C4002EEFB6}" name="Column7483" dataCellStyle="Normal 2"/>
    <tableColumn id="7499" xr3:uid="{A12AC159-080E-4CE7-BC5D-363AB7D2772C}" name="Column7484" dataCellStyle="Normal 2"/>
    <tableColumn id="7500" xr3:uid="{7787FA03-A2ED-416D-9B79-9700EAECFAFD}" name="Column7485" dataCellStyle="Normal 2"/>
    <tableColumn id="7501" xr3:uid="{64A9DA4E-8BCD-47EC-8655-E79E0C51B7E5}" name="Column7486" dataCellStyle="Normal 2"/>
    <tableColumn id="7502" xr3:uid="{01A461FA-31DF-471E-96AF-CEAEE3ADEC2E}" name="Column7487" dataCellStyle="Normal 2"/>
    <tableColumn id="7503" xr3:uid="{874901EE-065F-420F-B5FE-D8A5EDB8C8AB}" name="Column7488" dataCellStyle="Normal 2"/>
    <tableColumn id="7504" xr3:uid="{1A7CF64F-5914-4D6E-B728-F692FD4B3A2B}" name="Column7489" dataCellStyle="Normal 2"/>
    <tableColumn id="7505" xr3:uid="{012A5B31-B335-489F-B3C3-8531FA02BEA5}" name="Column7490" dataCellStyle="Normal 2"/>
    <tableColumn id="7506" xr3:uid="{72652515-7CEF-4669-9D84-9B6E91E04D8B}" name="Column7491" dataCellStyle="Normal 2"/>
    <tableColumn id="7507" xr3:uid="{CDDD0DCD-822D-48D5-AC2D-44D6B97E79E3}" name="Column7492" dataCellStyle="Normal 2"/>
    <tableColumn id="7508" xr3:uid="{4709C805-A63B-4EDF-889E-E23B7D32F606}" name="Column7493" dataCellStyle="Normal 2"/>
    <tableColumn id="7509" xr3:uid="{367ADA18-B566-4062-8D07-40E5666FEA3B}" name="Column7494" dataCellStyle="Normal 2"/>
    <tableColumn id="7510" xr3:uid="{CAE66E34-5EAF-4FDB-BC2D-B02DDBCF9E7B}" name="Column7495" dataCellStyle="Normal 2"/>
    <tableColumn id="7511" xr3:uid="{A565F63F-D22E-4FF4-90DE-5267FF20049C}" name="Column7496" dataCellStyle="Normal 2"/>
    <tableColumn id="7512" xr3:uid="{D2112456-1DB0-45DC-B39A-AB794BFBA48E}" name="Column7497" dataCellStyle="Normal 2"/>
    <tableColumn id="7513" xr3:uid="{65ED7FEB-C18A-4E97-A8BA-58C37DF680F3}" name="Column7498" dataCellStyle="Normal 2"/>
    <tableColumn id="7514" xr3:uid="{6E04D16F-15AB-4635-8730-2ABE87371F7F}" name="Column7499" dataCellStyle="Normal 2"/>
    <tableColumn id="7515" xr3:uid="{F60834ED-F0FF-4BAE-8A00-D7E41737391F}" name="Column7500" dataCellStyle="Normal 2"/>
    <tableColumn id="7516" xr3:uid="{C2943585-BE5C-4B35-A807-72124CB3495F}" name="Column7501" dataCellStyle="Normal 2"/>
    <tableColumn id="7517" xr3:uid="{289F3F5E-E3A4-430E-A75C-783967DBA794}" name="Column7502" dataCellStyle="Normal 2"/>
    <tableColumn id="7518" xr3:uid="{9C9128B3-1021-4B31-8E53-BAFB4734BD40}" name="Column7503" dataCellStyle="Normal 2"/>
    <tableColumn id="7519" xr3:uid="{8FE04595-DF4B-4C89-95FB-CA470F8E8A8B}" name="Column7504" dataCellStyle="Normal 2"/>
    <tableColumn id="7520" xr3:uid="{D3CCC761-372D-4AED-A449-45A56165477E}" name="Column7505" dataCellStyle="Normal 2"/>
    <tableColumn id="7521" xr3:uid="{C6439E13-DAA9-4E4B-A4E1-C570165999DC}" name="Column7506" dataCellStyle="Normal 2"/>
    <tableColumn id="7522" xr3:uid="{9C4048FF-D5FA-4DE4-9720-B58545748017}" name="Column7507" dataCellStyle="Normal 2"/>
    <tableColumn id="7523" xr3:uid="{7285E190-B1C9-46C3-A3C9-58DE1C2A2B7E}" name="Column7508" dataCellStyle="Normal 2"/>
    <tableColumn id="7524" xr3:uid="{80F47296-FB5C-409C-BFFF-86D7D141D19D}" name="Column7509" dataCellStyle="Normal 2"/>
    <tableColumn id="7525" xr3:uid="{6AE45288-1753-4A2A-A4B3-4C3FD0CD5EB7}" name="Column7510" dataCellStyle="Normal 2"/>
    <tableColumn id="7526" xr3:uid="{F1C3BF5A-BEDA-4A03-A27F-F98C9EB5618A}" name="Column7511" dataCellStyle="Normal 2"/>
    <tableColumn id="7527" xr3:uid="{080FCBFB-38B5-47C5-AF55-31232EB4DFFA}" name="Column7512" dataCellStyle="Normal 2"/>
    <tableColumn id="7528" xr3:uid="{F8391763-33DB-495D-9224-7F825968DD0C}" name="Column7513" dataCellStyle="Normal 2"/>
    <tableColumn id="7529" xr3:uid="{41F5D0C7-B177-4590-A9FD-C2C265AE8178}" name="Column7514" dataCellStyle="Normal 2"/>
    <tableColumn id="7530" xr3:uid="{0CABC4E0-4316-4164-BA67-E6E6A5D0D0C2}" name="Column7515" dataCellStyle="Normal 2"/>
    <tableColumn id="7531" xr3:uid="{CB976B32-ABA3-40A2-BAE5-9F8809C915B8}" name="Column7516" dataCellStyle="Normal 2"/>
    <tableColumn id="7532" xr3:uid="{9A9FF6BD-69B8-4ED6-AD38-2F23BA917778}" name="Column7517" dataCellStyle="Normal 2"/>
    <tableColumn id="7533" xr3:uid="{CC41D336-7E6A-4C53-9876-175ACAA09F4E}" name="Column7518" dataCellStyle="Normal 2"/>
    <tableColumn id="7534" xr3:uid="{7F8DB416-0834-429D-98A6-99A17EA72DFE}" name="Column7519" dataCellStyle="Normal 2"/>
    <tableColumn id="7535" xr3:uid="{67B982A5-BC43-4671-965D-6998504E76B5}" name="Column7520" dataCellStyle="Normal 2"/>
    <tableColumn id="7536" xr3:uid="{40C0270F-960A-497F-90E9-FFDE0E601CDC}" name="Column7521" dataCellStyle="Normal 2"/>
    <tableColumn id="7537" xr3:uid="{DED50781-4A74-411E-AB35-AD6C34B84669}" name="Column7522" dataCellStyle="Normal 2"/>
    <tableColumn id="7538" xr3:uid="{42A9CFBA-3216-4BC6-A5A0-18B45746B9D5}" name="Column7523" dataCellStyle="Normal 2"/>
    <tableColumn id="7539" xr3:uid="{F436C3D0-6168-4C96-83A1-F2F43C315237}" name="Column7524" dataCellStyle="Normal 2"/>
    <tableColumn id="7540" xr3:uid="{621C3C2F-A21C-4350-9B50-6017B30E0B62}" name="Column7525" dataCellStyle="Normal 2"/>
    <tableColumn id="7541" xr3:uid="{689C5025-4F01-4BD0-81A9-D12576D55F34}" name="Column7526" dataCellStyle="Normal 2"/>
    <tableColumn id="7542" xr3:uid="{4F95A788-5CB6-4737-8983-E49E1F58DF0B}" name="Column7527" dataCellStyle="Normal 2"/>
    <tableColumn id="7543" xr3:uid="{61810C88-7E94-451D-95D8-1784F3930D6D}" name="Column7528" dataCellStyle="Normal 2"/>
    <tableColumn id="7544" xr3:uid="{B21BF646-E086-47D3-9E2F-43B0AA0EDEBC}" name="Column7529" dataCellStyle="Normal 2"/>
    <tableColumn id="7545" xr3:uid="{89B3C7A8-B4F0-4768-98C3-7CC37E106E62}" name="Column7530" dataCellStyle="Normal 2"/>
    <tableColumn id="7546" xr3:uid="{0B14781E-589C-4380-94DD-4E7D835E1EE5}" name="Column7531" dataCellStyle="Normal 2"/>
    <tableColumn id="7547" xr3:uid="{1A5FDF43-2515-40C4-B74D-2241A665FCD2}" name="Column7532" dataCellStyle="Normal 2"/>
    <tableColumn id="7548" xr3:uid="{B84C91BE-ACC4-457C-B591-C0A6BCC20FC8}" name="Column7533" dataCellStyle="Normal 2"/>
    <tableColumn id="7549" xr3:uid="{B87D4802-221E-4B16-A212-3C956160950D}" name="Column7534" dataCellStyle="Normal 2"/>
    <tableColumn id="7550" xr3:uid="{7C86E418-DC8C-499D-8E63-60E91B6C0F4A}" name="Column7535" dataCellStyle="Normal 2"/>
    <tableColumn id="7551" xr3:uid="{9B2A84E0-CF81-4310-B0DA-633F3B44EB15}" name="Column7536" dataCellStyle="Normal 2"/>
    <tableColumn id="7552" xr3:uid="{F2FD5D9E-1D6A-405A-9C3E-4294D48B528F}" name="Column7537" dataCellStyle="Normal 2"/>
    <tableColumn id="7553" xr3:uid="{0CAF4A43-3B5D-44CF-8CFE-390BDCD0E288}" name="Column7538" dataCellStyle="Normal 2"/>
    <tableColumn id="7554" xr3:uid="{2FC4ADF5-479A-4C53-B308-0B809A1D0E1E}" name="Column7539" dataCellStyle="Normal 2"/>
    <tableColumn id="7555" xr3:uid="{BFBC7141-EB8B-4FEE-BA73-7CFE4E1377F2}" name="Column7540" dataCellStyle="Normal 2"/>
    <tableColumn id="7556" xr3:uid="{CFBC40C8-17EB-4063-ACE8-1BE6A8CC9C24}" name="Column7541" dataCellStyle="Normal 2"/>
    <tableColumn id="7557" xr3:uid="{6AD0F957-F0DA-484A-AF37-2A5D9E7DD2D0}" name="Column7542" dataCellStyle="Normal 2"/>
    <tableColumn id="7558" xr3:uid="{EC575D7E-EC10-4530-A1A6-6EFA12CC721A}" name="Column7543" dataCellStyle="Normal 2"/>
    <tableColumn id="7559" xr3:uid="{D0EB821C-47B0-4BD6-9099-9E0F6B635040}" name="Column7544" dataCellStyle="Normal 2"/>
    <tableColumn id="7560" xr3:uid="{39073C9A-61EA-43BA-99E4-1D7AA0BAF206}" name="Column7545" dataCellStyle="Normal 2"/>
    <tableColumn id="7561" xr3:uid="{065F7AFB-2DCC-4812-B9D9-6216098BD543}" name="Column7546" dataCellStyle="Normal 2"/>
    <tableColumn id="7562" xr3:uid="{B35F9D0C-30D2-4184-8036-2103767AD2E2}" name="Column7547" dataCellStyle="Normal 2"/>
    <tableColumn id="7563" xr3:uid="{EDA78C7B-223C-4F3C-B1A2-00170FE0D1CE}" name="Column7548" dataCellStyle="Normal 2"/>
    <tableColumn id="7564" xr3:uid="{602027F9-BAB8-4307-AFE2-DA38DED0C687}" name="Column7549" dataCellStyle="Normal 2"/>
    <tableColumn id="7565" xr3:uid="{0D6B7404-29F9-41F5-9F38-9F7D6FE2A8F0}" name="Column7550" dataCellStyle="Normal 2"/>
    <tableColumn id="7566" xr3:uid="{AB49ECEB-2768-44DD-9377-43D868F6EAE1}" name="Column7551" dataCellStyle="Normal 2"/>
    <tableColumn id="7567" xr3:uid="{D3424FD5-DBF6-43F4-AF00-7A93C1A06C63}" name="Column7552" dataCellStyle="Normal 2"/>
    <tableColumn id="7568" xr3:uid="{8441EBA8-8FAE-43C8-957E-CEA79ADF9697}" name="Column7553" dataCellStyle="Normal 2"/>
    <tableColumn id="7569" xr3:uid="{06883761-C22D-4ACD-A94A-7F0861B97118}" name="Column7554" dataCellStyle="Normal 2"/>
    <tableColumn id="7570" xr3:uid="{99168492-9BA7-4409-BABD-5E2AE78E10B4}" name="Column7555" dataCellStyle="Normal 2"/>
    <tableColumn id="7571" xr3:uid="{F3A3AA26-B062-4157-B8DA-F4FF3B5D596B}" name="Column7556" dataCellStyle="Normal 2"/>
    <tableColumn id="7572" xr3:uid="{BCE6EDA9-4312-46A0-BF4B-C005979A892A}" name="Column7557" dataCellStyle="Normal 2"/>
    <tableColumn id="7573" xr3:uid="{725BAF33-F01E-41FC-B0FE-1C7E4FAC5C28}" name="Column7558" dataCellStyle="Normal 2"/>
    <tableColumn id="7574" xr3:uid="{4C4C47B1-779E-49E6-9A85-83B6ADBD3473}" name="Column7559" dataCellStyle="Normal 2"/>
    <tableColumn id="7575" xr3:uid="{5BB7C6EC-5B7A-41A5-BAA2-4EBA87462F1B}" name="Column7560" dataCellStyle="Normal 2"/>
    <tableColumn id="7576" xr3:uid="{81C4B6FD-1785-4CD1-8779-943014155545}" name="Column7561" dataCellStyle="Normal 2"/>
    <tableColumn id="7577" xr3:uid="{9E70B79B-FD5A-40E0-829B-724C41BB84D3}" name="Column7562" dataCellStyle="Normal 2"/>
    <tableColumn id="7578" xr3:uid="{F973A49F-3821-400A-8D07-D5CB62B261D1}" name="Column7563" dataCellStyle="Normal 2"/>
    <tableColumn id="7579" xr3:uid="{0B742BEB-CECD-466D-9C49-D7B185E53B51}" name="Column7564" dataCellStyle="Normal 2"/>
    <tableColumn id="7580" xr3:uid="{D544F044-5595-4981-8BB0-AE1CF7FDB0CC}" name="Column7565" dataCellStyle="Normal 2"/>
    <tableColumn id="7581" xr3:uid="{47B855F2-2AF2-4C9A-A108-68D846357240}" name="Column7566" dataCellStyle="Normal 2"/>
    <tableColumn id="7582" xr3:uid="{DF942331-21F0-4088-910C-462FED83D566}" name="Column7567" dataCellStyle="Normal 2"/>
    <tableColumn id="7583" xr3:uid="{038C8CDE-C1EC-4D68-9AAC-0BC4E07E769F}" name="Column7568" dataCellStyle="Normal 2"/>
    <tableColumn id="7584" xr3:uid="{C48BDC9B-2B3D-46BA-B181-0A3B8E1DF2AE}" name="Column7569" dataCellStyle="Normal 2"/>
    <tableColumn id="7585" xr3:uid="{6A687F44-FD48-4DFC-991C-3F4E4F13B9C6}" name="Column7570" dataCellStyle="Normal 2"/>
    <tableColumn id="7586" xr3:uid="{B361E000-75EC-4061-9030-124099C98287}" name="Column7571" dataCellStyle="Normal 2"/>
    <tableColumn id="7587" xr3:uid="{7A6DF4E2-8636-468C-9EF3-6E559A2CAEC0}" name="Column7572" dataCellStyle="Normal 2"/>
    <tableColumn id="7588" xr3:uid="{59CBC25D-554A-4FE3-80DB-D1D37B4A6A5F}" name="Column7573" dataCellStyle="Normal 2"/>
    <tableColumn id="7589" xr3:uid="{13F43988-9783-4048-AF6A-BB64BF538F53}" name="Column7574" dataCellStyle="Normal 2"/>
    <tableColumn id="7590" xr3:uid="{3CC329E3-2F37-4446-916F-58865CE00A10}" name="Column7575" dataCellStyle="Normal 2"/>
    <tableColumn id="7591" xr3:uid="{856DE41D-0C3A-4CB5-BD59-C261BC0CB15F}" name="Column7576" dataCellStyle="Normal 2"/>
    <tableColumn id="7592" xr3:uid="{AC29F63B-2FCF-4548-AFCD-EBDA3CC3CFC6}" name="Column7577" dataCellStyle="Normal 2"/>
    <tableColumn id="7593" xr3:uid="{62639139-D8C8-4100-B2F5-B641505849EC}" name="Column7578" dataCellStyle="Normal 2"/>
    <tableColumn id="7594" xr3:uid="{B2BD14E4-BAEB-41C1-AAAB-0F6293DDD640}" name="Column7579" dataCellStyle="Normal 2"/>
    <tableColumn id="7595" xr3:uid="{51AAF698-FC9B-49C4-A596-78C5FE377D72}" name="Column7580" dataCellStyle="Normal 2"/>
    <tableColumn id="7596" xr3:uid="{B5BB4F67-B4B1-46A9-90EF-B02FE973BBE7}" name="Column7581" dataCellStyle="Normal 2"/>
    <tableColumn id="7597" xr3:uid="{E219EF5A-FB84-4951-ABBB-AE1F63A9E6A7}" name="Column7582" dataCellStyle="Normal 2"/>
    <tableColumn id="7598" xr3:uid="{78565CC9-6627-49D7-BB62-342B10793F7B}" name="Column7583" dataCellStyle="Normal 2"/>
    <tableColumn id="7599" xr3:uid="{B153B098-1767-4365-AECA-727E3ECA8F61}" name="Column7584" dataCellStyle="Normal 2"/>
    <tableColumn id="7600" xr3:uid="{D1C86BC2-B42A-4748-9D46-96C9F08B260E}" name="Column7585" dataCellStyle="Normal 2"/>
    <tableColumn id="7601" xr3:uid="{EBDC4F85-2EF3-4730-ADA8-E291C4CA5C4E}" name="Column7586" dataCellStyle="Normal 2"/>
    <tableColumn id="7602" xr3:uid="{7C2DA1FF-A1CA-4F88-AC40-A9EE8B8E5421}" name="Column7587" dataCellStyle="Normal 2"/>
    <tableColumn id="7603" xr3:uid="{85C6BB9A-D346-49C6-9F00-777687A2B109}" name="Column7588" dataCellStyle="Normal 2"/>
    <tableColumn id="7604" xr3:uid="{8C1E9802-84AF-4CFB-9EDA-1F670DACB55E}" name="Column7589" dataCellStyle="Normal 2"/>
    <tableColumn id="7605" xr3:uid="{A606434D-B57D-4282-8323-A8477631AE29}" name="Column7590" dataCellStyle="Normal 2"/>
    <tableColumn id="7606" xr3:uid="{D2C6B549-57FB-4491-97C9-891AE7D639EA}" name="Column7591" dataCellStyle="Normal 2"/>
    <tableColumn id="7607" xr3:uid="{C24F2010-232D-4A3D-AAF8-B6FD108A9871}" name="Column7592" dataCellStyle="Normal 2"/>
    <tableColumn id="7608" xr3:uid="{12D62B90-1904-442A-A970-F7BA17F088CF}" name="Column7593" dataCellStyle="Normal 2"/>
    <tableColumn id="7609" xr3:uid="{09826CFD-D7F3-474B-B5A3-42D72A554E5B}" name="Column7594" dataCellStyle="Normal 2"/>
    <tableColumn id="7610" xr3:uid="{EDFB76E3-B892-4C26-A4BA-89A99D4330B4}" name="Column7595" dataCellStyle="Normal 2"/>
    <tableColumn id="7611" xr3:uid="{F151AB1C-67B6-46F4-9246-4A936308CDB0}" name="Column7596" dataCellStyle="Normal 2"/>
    <tableColumn id="7612" xr3:uid="{915021A7-F817-4396-9ADB-FF213233F3EE}" name="Column7597" dataCellStyle="Normal 2"/>
    <tableColumn id="7613" xr3:uid="{0E60D84E-3303-435C-B8B5-EA3EA5AF1E58}" name="Column7598" dataCellStyle="Normal 2"/>
    <tableColumn id="7614" xr3:uid="{1337A6E7-C1D0-4D35-AAF3-63D0707FBEF2}" name="Column7599" dataCellStyle="Normal 2"/>
    <tableColumn id="7615" xr3:uid="{FA2E7D1A-A2C5-4FEE-8EA3-91852944E38D}" name="Column7600" dataCellStyle="Normal 2"/>
    <tableColumn id="7616" xr3:uid="{563F21C5-F372-45C5-A4FA-B762196D8AC5}" name="Column7601" dataCellStyle="Normal 2"/>
    <tableColumn id="7617" xr3:uid="{7820A71C-7922-4AD4-9086-2268061238B8}" name="Column7602" dataCellStyle="Normal 2"/>
    <tableColumn id="7618" xr3:uid="{3A65B887-583F-4738-9B6F-A3AF30B6037E}" name="Column7603" dataCellStyle="Normal 2"/>
    <tableColumn id="7619" xr3:uid="{E996963E-C8D2-4E32-A094-C156F17F999F}" name="Column7604" dataCellStyle="Normal 2"/>
    <tableColumn id="7620" xr3:uid="{BBDBEBF8-D1F9-49E1-A5FA-5BB6862F4BC8}" name="Column7605" dataCellStyle="Normal 2"/>
    <tableColumn id="7621" xr3:uid="{968CC6CF-EF76-4AA1-8124-C6AC2BD9D31C}" name="Column7606" dataCellStyle="Normal 2"/>
    <tableColumn id="7622" xr3:uid="{7B55A8CB-8342-419F-ADD3-FA1C0A77003C}" name="Column7607" dataCellStyle="Normal 2"/>
    <tableColumn id="7623" xr3:uid="{3AFC7CFD-1D2B-4878-9459-3101C1707A39}" name="Column7608" dataCellStyle="Normal 2"/>
    <tableColumn id="7624" xr3:uid="{3CEE8345-A328-403E-9FB2-5AD37E6E06A2}" name="Column7609" dataCellStyle="Normal 2"/>
    <tableColumn id="7625" xr3:uid="{9E235F8C-44EF-42D0-BA6C-D190117B01F8}" name="Column7610" dataCellStyle="Normal 2"/>
    <tableColumn id="7626" xr3:uid="{7BAF8F4D-D3F6-43C4-A3B4-358F3BDBE4CC}" name="Column7611" dataCellStyle="Normal 2"/>
    <tableColumn id="7627" xr3:uid="{769E1043-CEB4-4AF6-A2B7-A120E3497EBD}" name="Column7612" dataCellStyle="Normal 2"/>
    <tableColumn id="7628" xr3:uid="{1D19F585-8E65-42E6-9672-F380F33432CB}" name="Column7613" dataCellStyle="Normal 2"/>
    <tableColumn id="7629" xr3:uid="{F4A08812-3C18-472C-B022-1613DE7E6803}" name="Column7614" dataCellStyle="Normal 2"/>
    <tableColumn id="7630" xr3:uid="{CC2E2A50-BBCC-4EC0-932A-730CE7963355}" name="Column7615" dataCellStyle="Normal 2"/>
    <tableColumn id="7631" xr3:uid="{49643A35-5A51-402D-BAF4-8B1C4E7BBC31}" name="Column7616" dataCellStyle="Normal 2"/>
    <tableColumn id="7632" xr3:uid="{A84CEBE5-C407-4443-8113-B10A9371630C}" name="Column7617" dataCellStyle="Normal 2"/>
    <tableColumn id="7633" xr3:uid="{3B26D219-028B-4B52-BDEC-04E21F3E0BFF}" name="Column7618" dataCellStyle="Normal 2"/>
    <tableColumn id="7634" xr3:uid="{EB01CC3B-25AF-42FF-A9A5-227C4122A6E6}" name="Column7619" dataCellStyle="Normal 2"/>
    <tableColumn id="7635" xr3:uid="{55D7D2ED-6DBF-4EE0-8D33-BEB111550852}" name="Column7620" dataCellStyle="Normal 2"/>
    <tableColumn id="7636" xr3:uid="{EC6C08D4-9023-4AA5-B4CA-58FC75C052C5}" name="Column7621" dataCellStyle="Normal 2"/>
    <tableColumn id="7637" xr3:uid="{D061EC98-CF7F-40A4-93BC-70F837157BE4}" name="Column7622" dataCellStyle="Normal 2"/>
    <tableColumn id="7638" xr3:uid="{A4226CC1-AA09-45AD-B87C-C658F18CB30D}" name="Column7623" dataCellStyle="Normal 2"/>
    <tableColumn id="7639" xr3:uid="{8D87B95F-1331-4A78-B366-82926426BD1F}" name="Column7624" dataCellStyle="Normal 2"/>
    <tableColumn id="7640" xr3:uid="{7FF40016-F964-4A89-923C-863BCCBD6848}" name="Column7625" dataCellStyle="Normal 2"/>
    <tableColumn id="7641" xr3:uid="{A4DF5EFF-AA97-4217-8AEA-3B1E927B09D0}" name="Column7626" dataCellStyle="Normal 2"/>
    <tableColumn id="7642" xr3:uid="{46AF4F4B-BE4F-408B-B48E-12D2036DCE66}" name="Column7627" dataCellStyle="Normal 2"/>
    <tableColumn id="7643" xr3:uid="{FCB69BFA-49CA-4932-93F0-5495A1289686}" name="Column7628" dataCellStyle="Normal 2"/>
    <tableColumn id="7644" xr3:uid="{ED8E2FC6-77B8-4690-91CB-34B11E63D5E8}" name="Column7629" dataCellStyle="Normal 2"/>
    <tableColumn id="7645" xr3:uid="{5072F92A-B6D3-4B07-A4FF-C83027128243}" name="Column7630" dataCellStyle="Normal 2"/>
    <tableColumn id="7646" xr3:uid="{AC7765A3-A008-42DE-87D6-32E74748E112}" name="Column7631" dataCellStyle="Normal 2"/>
    <tableColumn id="7647" xr3:uid="{0C2F18F8-FEC9-4A14-BD46-FD4457437B59}" name="Column7632" dataCellStyle="Normal 2"/>
    <tableColumn id="7648" xr3:uid="{BE1F4DCF-B052-45BD-A756-E3A44E203AB7}" name="Column7633" dataCellStyle="Normal 2"/>
    <tableColumn id="7649" xr3:uid="{08D3D8F9-6FB7-4FD4-A421-EB1C744C33BA}" name="Column7634" dataCellStyle="Normal 2"/>
    <tableColumn id="7650" xr3:uid="{4C85AC51-311A-415E-825E-CB6B31F7F4FC}" name="Column7635" dataCellStyle="Normal 2"/>
    <tableColumn id="7651" xr3:uid="{8A834B36-2CAE-4FA9-8426-623341203323}" name="Column7636" dataCellStyle="Normal 2"/>
    <tableColumn id="7652" xr3:uid="{187B74D2-2B05-461E-BE2C-E92A9FEE6FEC}" name="Column7637" dataCellStyle="Normal 2"/>
    <tableColumn id="7653" xr3:uid="{5FAE02C7-0E8E-40C4-A8D5-F7978739DCEA}" name="Column7638" dataCellStyle="Normal 2"/>
    <tableColumn id="7654" xr3:uid="{A6F60931-73EB-44DB-ADB8-A8F30FF1AA34}" name="Column7639" dataCellStyle="Normal 2"/>
    <tableColumn id="7655" xr3:uid="{9C92EDE2-D15C-4803-9811-593846680F18}" name="Column7640" dataCellStyle="Normal 2"/>
    <tableColumn id="7656" xr3:uid="{F7C5485B-4B3D-4A2C-BC95-8584A4272769}" name="Column7641" dataCellStyle="Normal 2"/>
    <tableColumn id="7657" xr3:uid="{CAA82C3D-423B-412A-9256-754463DA76A0}" name="Column7642" dataCellStyle="Normal 2"/>
    <tableColumn id="7658" xr3:uid="{FD4A3010-DD32-462A-A3B8-532D2EC49615}" name="Column7643" dataCellStyle="Normal 2"/>
    <tableColumn id="7659" xr3:uid="{40E36FC0-0F2F-4E8B-B60A-865EA04A28F3}" name="Column7644" dataCellStyle="Normal 2"/>
    <tableColumn id="7660" xr3:uid="{817C3A96-7F16-47DA-8056-91C16FD66C71}" name="Column7645" dataCellStyle="Normal 2"/>
    <tableColumn id="7661" xr3:uid="{5B3AEC4A-3DAA-4415-94F3-237E57499243}" name="Column7646" dataCellStyle="Normal 2"/>
    <tableColumn id="7662" xr3:uid="{F8C4B04D-335F-428E-8D4F-29D8FDC9FF58}" name="Column7647" dataCellStyle="Normal 2"/>
    <tableColumn id="7663" xr3:uid="{7AF953E5-E820-457C-B77A-9E54C9F9BFB5}" name="Column7648" dataCellStyle="Normal 2"/>
    <tableColumn id="7664" xr3:uid="{DDB16952-752C-4A23-9FE8-02ED17897817}" name="Column7649" dataCellStyle="Normal 2"/>
    <tableColumn id="7665" xr3:uid="{3462C6B3-A533-4A26-BFCB-5A6376CAB265}" name="Column7650" dataCellStyle="Normal 2"/>
    <tableColumn id="7666" xr3:uid="{84E886DA-43EA-46C4-8E2B-52F59C2A1DAD}" name="Column7651" dataCellStyle="Normal 2"/>
    <tableColumn id="7667" xr3:uid="{1C50608A-9198-4DEE-91EB-365212BB2267}" name="Column7652" dataCellStyle="Normal 2"/>
    <tableColumn id="7668" xr3:uid="{D3D4DAD6-FEC6-447F-BFF8-8472EB614518}" name="Column7653" dataCellStyle="Normal 2"/>
    <tableColumn id="7669" xr3:uid="{3E0435B3-1E87-4189-820E-72260A00AC0B}" name="Column7654" dataCellStyle="Normal 2"/>
    <tableColumn id="7670" xr3:uid="{2DF4BD50-9F63-407C-8B46-2CAD5BEA80CA}" name="Column7655" dataCellStyle="Normal 2"/>
    <tableColumn id="7671" xr3:uid="{20F3E1B8-1C83-4E6D-9F22-9A7B37850074}" name="Column7656" dataCellStyle="Normal 2"/>
    <tableColumn id="7672" xr3:uid="{785D1B69-4427-4AFD-8008-2D9185CB0CD5}" name="Column7657" dataCellStyle="Normal 2"/>
    <tableColumn id="7673" xr3:uid="{B7DE56BE-4BFE-4180-B69E-0A190DEA2195}" name="Column7658" dataCellStyle="Normal 2"/>
    <tableColumn id="7674" xr3:uid="{E8DCE67F-E217-46B1-BE26-9186F645057C}" name="Column7659" dataCellStyle="Normal 2"/>
    <tableColumn id="7675" xr3:uid="{53D15A6C-EAE8-462E-A5F5-CA82162356F4}" name="Column7660" dataCellStyle="Normal 2"/>
    <tableColumn id="7676" xr3:uid="{25D382E3-7F04-4AB6-BDEA-F6D9C117252F}" name="Column7661" dataCellStyle="Normal 2"/>
    <tableColumn id="7677" xr3:uid="{12FAE5B7-F891-4333-81C8-B60A85B51FA7}" name="Column7662" dataCellStyle="Normal 2"/>
    <tableColumn id="7678" xr3:uid="{B8C42068-AF53-430C-8408-25E4A4ABBFBB}" name="Column7663" dataCellStyle="Normal 2"/>
    <tableColumn id="7679" xr3:uid="{C5B75350-7C38-46F0-ADD7-23DD175B483E}" name="Column7664" dataCellStyle="Normal 2"/>
    <tableColumn id="7680" xr3:uid="{CDFE618B-A8E7-4780-BD3C-07B9ECE84DF9}" name="Column7665" dataCellStyle="Normal 2"/>
    <tableColumn id="7681" xr3:uid="{A603FDA4-53B1-4F68-B5BA-A9BDA037D96D}" name="Column7666" dataCellStyle="Normal 2"/>
    <tableColumn id="7682" xr3:uid="{9862C136-1E57-4D56-943F-481DE3826111}" name="Column7667" dataCellStyle="Normal 2"/>
    <tableColumn id="7683" xr3:uid="{C85858FB-ADB9-4836-A815-B7EE62CD71C2}" name="Column7668" dataCellStyle="Normal 2"/>
    <tableColumn id="7684" xr3:uid="{597F2FAD-05DB-4930-BB3B-71713355C033}" name="Column7669" dataCellStyle="Normal 2"/>
    <tableColumn id="7685" xr3:uid="{21DB4CB2-B3AD-4D55-98BB-E48B9CFFDCE8}" name="Column7670" dataCellStyle="Normal 2"/>
    <tableColumn id="7686" xr3:uid="{7CA9E8D0-D6BF-47D8-8DEA-9682045D748A}" name="Column7671" dataCellStyle="Normal 2"/>
    <tableColumn id="7687" xr3:uid="{70B8FE63-2B99-416C-B50F-3A8E041CAC11}" name="Column7672" dataCellStyle="Normal 2"/>
    <tableColumn id="7688" xr3:uid="{B423D17C-8065-4583-B17A-EFB9EA92A2AB}" name="Column7673" dataCellStyle="Normal 2"/>
    <tableColumn id="7689" xr3:uid="{84454AA9-C054-49C5-B8C4-DD91987F3588}" name="Column7674" dataCellStyle="Normal 2"/>
    <tableColumn id="7690" xr3:uid="{1E27C02A-319E-4817-8A01-ED62D216B54D}" name="Column7675" dataCellStyle="Normal 2"/>
    <tableColumn id="7691" xr3:uid="{CF538C91-8B0C-4CB1-A0C8-795557F0D499}" name="Column7676" dataCellStyle="Normal 2"/>
    <tableColumn id="7692" xr3:uid="{9A30D20B-6FBF-40BD-8A0B-70B1167CA01D}" name="Column7677" dataCellStyle="Normal 2"/>
    <tableColumn id="7693" xr3:uid="{432360F1-C8F9-4B83-ADAF-14B677E866CC}" name="Column7678" dataCellStyle="Normal 2"/>
    <tableColumn id="7694" xr3:uid="{1D3EE3DA-BAC5-458A-BFFE-8FCB227191E7}" name="Column7679" dataCellStyle="Normal 2"/>
    <tableColumn id="7695" xr3:uid="{7B2A6B0C-0C4A-444F-81F8-EB30EFE129EC}" name="Column7680" dataCellStyle="Normal 2"/>
    <tableColumn id="7696" xr3:uid="{C9799394-5762-4196-A916-37FE84E4F134}" name="Column7681" dataCellStyle="Normal 2"/>
    <tableColumn id="7697" xr3:uid="{C5ADDD37-75AC-4A3E-88F7-09BEA73F11AB}" name="Column7682" dataCellStyle="Normal 2"/>
    <tableColumn id="7698" xr3:uid="{4724DED0-7BD7-4F2C-8137-1B61CE4CD680}" name="Column7683" dataCellStyle="Normal 2"/>
    <tableColumn id="7699" xr3:uid="{71733EF6-1CD6-41B9-A6AE-83BCB98BD85E}" name="Column7684" dataCellStyle="Normal 2"/>
    <tableColumn id="7700" xr3:uid="{2FD94086-03E9-453F-B902-C27D7B3C5F13}" name="Column7685" dataCellStyle="Normal 2"/>
    <tableColumn id="7701" xr3:uid="{020C3DA0-EF87-4F82-8EC5-38D9BF4271C3}" name="Column7686" dataCellStyle="Normal 2"/>
    <tableColumn id="7702" xr3:uid="{317A86D2-2737-4B95-9327-19607FDECBCF}" name="Column7687" dataCellStyle="Normal 2"/>
    <tableColumn id="7703" xr3:uid="{FFA35864-2952-4F7E-BB52-8739ACBC1BDC}" name="Column7688" dataCellStyle="Normal 2"/>
    <tableColumn id="7704" xr3:uid="{07AAA65C-E722-4CEE-A8FC-B5EC41880843}" name="Column7689" dataCellStyle="Normal 2"/>
    <tableColumn id="7705" xr3:uid="{7BB87CCF-1065-4BAB-AF02-C8355432B5F8}" name="Column7690" dataCellStyle="Normal 2"/>
    <tableColumn id="7706" xr3:uid="{0FEA60FB-66AB-4A36-97C3-2272924989C0}" name="Column7691" dataCellStyle="Normal 2"/>
    <tableColumn id="7707" xr3:uid="{50F17462-AAC7-4FD0-BEA8-8521DEE2E0D7}" name="Column7692" dataCellStyle="Normal 2"/>
    <tableColumn id="7708" xr3:uid="{95C7EAD0-7A81-4231-83F9-8E2A9EB6871C}" name="Column7693" dataCellStyle="Normal 2"/>
    <tableColumn id="7709" xr3:uid="{0B0F61F0-FC3E-4BB2-8A1C-A1783BB6E689}" name="Column7694" dataCellStyle="Normal 2"/>
    <tableColumn id="7710" xr3:uid="{13DB25F6-D1F2-4EBA-8BA5-C49D6AD9B31C}" name="Column7695" dataCellStyle="Normal 2"/>
    <tableColumn id="7711" xr3:uid="{78668DC0-045E-4476-B871-8B112AAF4FC0}" name="Column7696" dataCellStyle="Normal 2"/>
    <tableColumn id="7712" xr3:uid="{FEF55A93-6552-4241-82FE-35A03E76ACF9}" name="Column7697" dataCellStyle="Normal 2"/>
    <tableColumn id="7713" xr3:uid="{1C9170B0-15B8-472C-9D1B-088C923657B1}" name="Column7698" dataCellStyle="Normal 2"/>
    <tableColumn id="7714" xr3:uid="{C7B37D0A-2CC4-4262-BFA1-25DF932337DF}" name="Column7699" dataCellStyle="Normal 2"/>
    <tableColumn id="7715" xr3:uid="{6BF2BE63-D912-4283-B1C5-0907FBD16D12}" name="Column7700" dataCellStyle="Normal 2"/>
    <tableColumn id="7716" xr3:uid="{9C034724-525E-43BE-B3FB-41B0D5C58815}" name="Column7701" dataCellStyle="Normal 2"/>
    <tableColumn id="7717" xr3:uid="{89B400FC-DC5E-4F8F-8E9C-9705557FF581}" name="Column7702" dataCellStyle="Normal 2"/>
    <tableColumn id="7718" xr3:uid="{2439C276-3966-4F37-B708-1CB3DC257C39}" name="Column7703" dataCellStyle="Normal 2"/>
    <tableColumn id="7719" xr3:uid="{877AB091-065B-42FF-820C-01F66B596E40}" name="Column7704" dataCellStyle="Normal 2"/>
    <tableColumn id="7720" xr3:uid="{73741BEF-776F-485E-B09D-E16D17C9DC43}" name="Column7705" dataCellStyle="Normal 2"/>
    <tableColumn id="7721" xr3:uid="{77814DB0-F69F-4A90-8FED-5FC9D0ABED07}" name="Column7706" dataCellStyle="Normal 2"/>
    <tableColumn id="7722" xr3:uid="{00E679F2-A72F-47F4-9267-4E64FD9AB125}" name="Column7707" dataCellStyle="Normal 2"/>
    <tableColumn id="7723" xr3:uid="{AA7DFA4E-8502-45D2-A0CA-6F8E5168DBCA}" name="Column7708" dataCellStyle="Normal 2"/>
    <tableColumn id="7724" xr3:uid="{D0EDC278-407C-4FF7-A4DC-009066CA3926}" name="Column7709" dataCellStyle="Normal 2"/>
    <tableColumn id="7725" xr3:uid="{04B8E6E4-D458-42B1-919B-14C70A4991BA}" name="Column7710" dataCellStyle="Normal 2"/>
    <tableColumn id="7726" xr3:uid="{DDFDC8FB-6FEC-46B2-A621-0269BD5AED1D}" name="Column7711" dataCellStyle="Normal 2"/>
    <tableColumn id="7727" xr3:uid="{3FBF5100-520E-420A-BA6B-20FB52757CB4}" name="Column7712" dataCellStyle="Normal 2"/>
    <tableColumn id="7728" xr3:uid="{5BC31661-B768-4A4F-B845-D6EBED0F2D18}" name="Column7713" dataCellStyle="Normal 2"/>
    <tableColumn id="7729" xr3:uid="{FC997530-0B54-419E-801C-904C30BEAF39}" name="Column7714" dataCellStyle="Normal 2"/>
    <tableColumn id="7730" xr3:uid="{04AFB175-9473-45F3-BE6E-8183F6B9DF7B}" name="Column7715" dataCellStyle="Normal 2"/>
    <tableColumn id="7731" xr3:uid="{550B99C7-ABFA-4852-9F53-FA673534CDC3}" name="Column7716" dataCellStyle="Normal 2"/>
    <tableColumn id="7732" xr3:uid="{4260E91B-E3A4-4B13-A7DA-674121F1674A}" name="Column7717" dataCellStyle="Normal 2"/>
    <tableColumn id="7733" xr3:uid="{A114E09B-C3B5-4135-AC76-E77EE69096BE}" name="Column7718" dataCellStyle="Normal 2"/>
    <tableColumn id="7734" xr3:uid="{484FE7F4-D05B-4D71-8199-D49625F78D14}" name="Column7719" dataCellStyle="Normal 2"/>
    <tableColumn id="7735" xr3:uid="{A691603E-C554-4359-A004-9B1D85E3DF62}" name="Column7720" dataCellStyle="Normal 2"/>
    <tableColumn id="7736" xr3:uid="{BDF49F29-6C2E-4278-99AD-08DCAD97300C}" name="Column7721" dataCellStyle="Normal 2"/>
    <tableColumn id="7737" xr3:uid="{B82F0E3C-FCA5-4A01-A2B5-9DF481268D96}" name="Column7722" dataCellStyle="Normal 2"/>
    <tableColumn id="7738" xr3:uid="{002ACF57-EDE4-4B11-9F4E-01FCBA6C5E80}" name="Column7723" dataCellStyle="Normal 2"/>
    <tableColumn id="7739" xr3:uid="{4A721988-DC45-48A2-8821-C4A65FFCA741}" name="Column7724" dataCellStyle="Normal 2"/>
    <tableColumn id="7740" xr3:uid="{4A52BAFB-D8B5-4AE1-8332-C5C8AE024334}" name="Column7725" dataCellStyle="Normal 2"/>
    <tableColumn id="7741" xr3:uid="{3030536E-0668-4702-913B-827EDA8C02C3}" name="Column7726" dataCellStyle="Normal 2"/>
    <tableColumn id="7742" xr3:uid="{938086B7-9E88-4BA4-8357-22E5DDD2CCE4}" name="Column7727" dataCellStyle="Normal 2"/>
    <tableColumn id="7743" xr3:uid="{A7E1E7CF-14E5-4939-BEDA-5158B369A1A5}" name="Column7728" dataCellStyle="Normal 2"/>
    <tableColumn id="7744" xr3:uid="{53CB1D7B-8525-472D-A870-3306E401675A}" name="Column7729" dataCellStyle="Normal 2"/>
    <tableColumn id="7745" xr3:uid="{C06525AD-B8EE-42DD-BFBC-03FFA42F0F61}" name="Column7730" dataCellStyle="Normal 2"/>
    <tableColumn id="7746" xr3:uid="{FF9DE2BE-462B-4B2B-9EE7-5241E73E3E99}" name="Column7731" dataCellStyle="Normal 2"/>
    <tableColumn id="7747" xr3:uid="{DFB213EB-8E8C-4681-8A3F-0048B0F66B05}" name="Column7732" dataCellStyle="Normal 2"/>
    <tableColumn id="7748" xr3:uid="{7BA5DBE8-1296-4C2A-BCDD-AEFF914EE3A9}" name="Column7733" dataCellStyle="Normal 2"/>
    <tableColumn id="7749" xr3:uid="{51297EBB-7521-4AC4-B3EF-ED16CAAC6578}" name="Column7734" dataCellStyle="Normal 2"/>
    <tableColumn id="7750" xr3:uid="{FCB5FC49-C5FE-4841-B8D6-ABF1B14BB86C}" name="Column7735" dataCellStyle="Normal 2"/>
    <tableColumn id="7751" xr3:uid="{12B5536A-9352-4DAE-9DAB-3BF0D451FC90}" name="Column7736" dataCellStyle="Normal 2"/>
    <tableColumn id="7752" xr3:uid="{09F75C40-49B6-4083-A123-871B4C4D3A2E}" name="Column7737" dataCellStyle="Normal 2"/>
    <tableColumn id="7753" xr3:uid="{E862E669-F01F-4CC8-8E82-F2CCC36515B3}" name="Column7738" dataCellStyle="Normal 2"/>
    <tableColumn id="7754" xr3:uid="{1C7BE0BB-976B-4148-838B-E1EB9C30B49B}" name="Column7739" dataCellStyle="Normal 2"/>
    <tableColumn id="7755" xr3:uid="{02746BDF-8B81-462F-8222-4F3096F79CB6}" name="Column7740" dataCellStyle="Normal 2"/>
    <tableColumn id="7756" xr3:uid="{0E7EAD79-8714-4AB8-9DC5-48F60678BDF8}" name="Column7741" dataCellStyle="Normal 2"/>
    <tableColumn id="7757" xr3:uid="{3C038220-3215-4DE8-B720-6F7BCA34E5B5}" name="Column7742" dataCellStyle="Normal 2"/>
    <tableColumn id="7758" xr3:uid="{EA4B549D-BD80-4110-98CF-C5882E30E884}" name="Column7743" dataCellStyle="Normal 2"/>
    <tableColumn id="7759" xr3:uid="{C67C6431-A5D0-448C-854E-712073F08643}" name="Column7744" dataCellStyle="Normal 2"/>
    <tableColumn id="7760" xr3:uid="{3F0183AC-5A7E-4B2C-9B8C-A8002781266F}" name="Column7745" dataCellStyle="Normal 2"/>
    <tableColumn id="7761" xr3:uid="{9F4B704A-9BB7-4104-97B2-A8C3C13A59F2}" name="Column7746" dataCellStyle="Normal 2"/>
    <tableColumn id="7762" xr3:uid="{34026247-9EFF-45D5-AA38-E950829FE482}" name="Column7747" dataCellStyle="Normal 2"/>
    <tableColumn id="7763" xr3:uid="{B5901783-674F-4043-8963-1B76540D80C4}" name="Column7748" dataCellStyle="Normal 2"/>
    <tableColumn id="7764" xr3:uid="{5915EA6C-3414-4507-A9CD-BB641A092F88}" name="Column7749" dataCellStyle="Normal 2"/>
    <tableColumn id="7765" xr3:uid="{E3D8A071-C019-4767-BB74-3028E374741D}" name="Column7750" dataCellStyle="Normal 2"/>
    <tableColumn id="7766" xr3:uid="{AF2776E4-62A4-43EC-B789-06644BD23D57}" name="Column7751" dataCellStyle="Normal 2"/>
    <tableColumn id="7767" xr3:uid="{9CB8111C-E821-41D9-93B9-F323DE8F6B42}" name="Column7752" dataCellStyle="Normal 2"/>
    <tableColumn id="7768" xr3:uid="{35FFFFF6-9006-4E4B-B9FD-53727D345B19}" name="Column7753" dataCellStyle="Normal 2"/>
    <tableColumn id="7769" xr3:uid="{F42A209C-41C3-4C93-BE57-06B143F90643}" name="Column7754" dataCellStyle="Normal 2"/>
    <tableColumn id="7770" xr3:uid="{7011C1AF-9071-42DC-9CB6-1599807A8F5B}" name="Column7755" dataCellStyle="Normal 2"/>
    <tableColumn id="7771" xr3:uid="{5006D3CE-3869-4368-98F2-D95424BAD97E}" name="Column7756" dataCellStyle="Normal 2"/>
    <tableColumn id="7772" xr3:uid="{301399A1-0BD5-4C70-8EA9-EA71C4DB9E21}" name="Column7757" dataCellStyle="Normal 2"/>
    <tableColumn id="7773" xr3:uid="{04BC3502-1BDE-4671-9CBB-8D1DA1ADB1A6}" name="Column7758" dataCellStyle="Normal 2"/>
    <tableColumn id="7774" xr3:uid="{751B19AC-4E1C-410E-98F4-4265B91DF975}" name="Column7759" dataCellStyle="Normal 2"/>
    <tableColumn id="7775" xr3:uid="{1559B949-3890-497D-9AE5-927526BDC550}" name="Column7760" dataCellStyle="Normal 2"/>
    <tableColumn id="7776" xr3:uid="{266021DC-3E0D-4D88-8AFA-D83E765B4815}" name="Column7761" dataCellStyle="Normal 2"/>
    <tableColumn id="7777" xr3:uid="{857971AE-53A2-48DF-87FD-88045EEEB8B5}" name="Column7762" dataCellStyle="Normal 2"/>
    <tableColumn id="7778" xr3:uid="{DE4D39C2-1FFB-4FA8-84D5-E8720BF91CB2}" name="Column7763" dataCellStyle="Normal 2"/>
    <tableColumn id="7779" xr3:uid="{A801E18D-132F-4000-AF64-1714889F4B2F}" name="Column7764" dataCellStyle="Normal 2"/>
    <tableColumn id="7780" xr3:uid="{A748B998-90B3-4C87-9539-3F7015DEA8A9}" name="Column7765" dataCellStyle="Normal 2"/>
    <tableColumn id="7781" xr3:uid="{E416F6BC-5B74-4987-A60E-096233E535E7}" name="Column7766" dataCellStyle="Normal 2"/>
    <tableColumn id="7782" xr3:uid="{6A1B4E1E-C573-4018-A52F-8FD35AF26870}" name="Column7767" dataCellStyle="Normal 2"/>
    <tableColumn id="7783" xr3:uid="{0556ECD2-03FE-4506-988A-7917BC14D73C}" name="Column7768" dataCellStyle="Normal 2"/>
    <tableColumn id="7784" xr3:uid="{D9F8B7C7-6E52-48A2-8D5A-A155F740B768}" name="Column7769" dataCellStyle="Normal 2"/>
    <tableColumn id="7785" xr3:uid="{71921E8C-031F-4CE2-B186-4706F692EB7E}" name="Column7770" dataCellStyle="Normal 2"/>
    <tableColumn id="7786" xr3:uid="{E46FC216-6D32-49B4-AB13-75373909E511}" name="Column7771" dataCellStyle="Normal 2"/>
    <tableColumn id="7787" xr3:uid="{12A7A356-E53A-411E-95EE-19899D474199}" name="Column7772" dataCellStyle="Normal 2"/>
    <tableColumn id="7788" xr3:uid="{1ED4903A-D551-497A-A914-D68D8296F064}" name="Column7773" dataCellStyle="Normal 2"/>
    <tableColumn id="7789" xr3:uid="{AB4AE16B-FE55-45CD-9FB3-91AD37AE2439}" name="Column7774" dataCellStyle="Normal 2"/>
    <tableColumn id="7790" xr3:uid="{489B45CA-58B1-495A-8217-084A035B0E0E}" name="Column7775" dataCellStyle="Normal 2"/>
    <tableColumn id="7791" xr3:uid="{24856199-C1A5-4B26-8170-34CAB70BC08B}" name="Column7776" dataCellStyle="Normal 2"/>
    <tableColumn id="7792" xr3:uid="{C95BD150-939B-40DA-B3E9-965494D5729A}" name="Column7777" dataCellStyle="Normal 2"/>
    <tableColumn id="7793" xr3:uid="{6C2A0314-F5FD-4E74-AC61-B87D5A633FAB}" name="Column7778" dataCellStyle="Normal 2"/>
    <tableColumn id="7794" xr3:uid="{71BB8486-AA00-47BD-8224-6030E7CFD95F}" name="Column7779" dataCellStyle="Normal 2"/>
    <tableColumn id="7795" xr3:uid="{87979DA4-D29E-49AE-819C-A11B195C18EF}" name="Column7780" dataCellStyle="Normal 2"/>
    <tableColumn id="7796" xr3:uid="{95D3AF1F-D1B3-421F-BE32-5385CCE1B470}" name="Column7781" dataCellStyle="Normal 2"/>
    <tableColumn id="7797" xr3:uid="{D7ABF70A-2B9D-4FB1-8EAE-37E77C4A8C8F}" name="Column7782" dataCellStyle="Normal 2"/>
    <tableColumn id="7798" xr3:uid="{2D5DC63D-C76E-4229-B856-41D726808505}" name="Column7783" dataCellStyle="Normal 2"/>
    <tableColumn id="7799" xr3:uid="{5D8C5EE1-CA97-49EB-B775-0A8EE5CFE526}" name="Column7784" dataCellStyle="Normal 2"/>
    <tableColumn id="7800" xr3:uid="{D9BDC5C1-8983-4E4A-A75A-817AC04E4809}" name="Column7785" dataCellStyle="Normal 2"/>
    <tableColumn id="7801" xr3:uid="{1640C0DE-90BC-468D-9936-67F6F075B760}" name="Column7786" dataCellStyle="Normal 2"/>
    <tableColumn id="7802" xr3:uid="{EBB95D54-41E8-412F-9E83-65A66D4154D3}" name="Column7787" dataCellStyle="Normal 2"/>
    <tableColumn id="7803" xr3:uid="{208AAEE7-168C-4CE2-9860-24A3B9B41F92}" name="Column7788" dataCellStyle="Normal 2"/>
    <tableColumn id="7804" xr3:uid="{6E55B25C-8765-4D8C-820E-2355BF4A9381}" name="Column7789" dataCellStyle="Normal 2"/>
    <tableColumn id="7805" xr3:uid="{18522678-BD0F-4F03-AFBC-82C51C1E67AC}" name="Column7790" dataCellStyle="Normal 2"/>
    <tableColumn id="7806" xr3:uid="{5DCB2769-1E16-4BF5-B31F-0DF7E0E1F730}" name="Column7791" dataCellStyle="Normal 2"/>
    <tableColumn id="7807" xr3:uid="{C617D8E4-AA15-4FB5-A709-57FF025A7D03}" name="Column7792" dataCellStyle="Normal 2"/>
    <tableColumn id="7808" xr3:uid="{D7828B04-A903-4F82-A29D-6D9EC2D68EF5}" name="Column7793" dataCellStyle="Normal 2"/>
    <tableColumn id="7809" xr3:uid="{F3FE4C22-E8AB-4080-B531-D2BAFE3B8E12}" name="Column7794" dataCellStyle="Normal 2"/>
    <tableColumn id="7810" xr3:uid="{42435ADB-455D-4F95-BB27-3B46E620C0BF}" name="Column7795" dataCellStyle="Normal 2"/>
    <tableColumn id="7811" xr3:uid="{E05F677B-D16A-4973-8E9B-538B80E6109B}" name="Column7796" dataCellStyle="Normal 2"/>
    <tableColumn id="7812" xr3:uid="{EB8480CF-5B55-47FE-B8C6-5E685DE58F87}" name="Column7797" dataCellStyle="Normal 2"/>
    <tableColumn id="7813" xr3:uid="{C8601664-2F99-48FA-9541-D6411E19BDAA}" name="Column7798" dataCellStyle="Normal 2"/>
    <tableColumn id="7814" xr3:uid="{1213D409-9ABC-44A6-8B8F-0B1D2CDB3AE1}" name="Column7799" dataCellStyle="Normal 2"/>
    <tableColumn id="7815" xr3:uid="{6BE15EF2-8923-471F-A3C5-A82BD8BC88DD}" name="Column7800" dataCellStyle="Normal 2"/>
    <tableColumn id="7816" xr3:uid="{70DAA8A4-46DA-4AB1-A7F0-774C2BCA3A0D}" name="Column7801" dataCellStyle="Normal 2"/>
    <tableColumn id="7817" xr3:uid="{FD57552F-70FB-49C6-BF19-272188AF9584}" name="Column7802" dataCellStyle="Normal 2"/>
    <tableColumn id="7818" xr3:uid="{73FBD110-6A71-4CF9-9FDA-3ACCEDE49774}" name="Column7803" dataCellStyle="Normal 2"/>
    <tableColumn id="7819" xr3:uid="{E030633E-00CD-4AC9-8870-77C13BE79BBF}" name="Column7804" dataCellStyle="Normal 2"/>
    <tableColumn id="7820" xr3:uid="{B26C5375-B813-49D2-9812-61C74634C124}" name="Column7805" dataCellStyle="Normal 2"/>
    <tableColumn id="7821" xr3:uid="{15C5759C-1E6C-423B-81DA-5EEB66E1A4F4}" name="Column7806" dataCellStyle="Normal 2"/>
    <tableColumn id="7822" xr3:uid="{23A8E35C-A552-4C97-A209-B9D1C43ADC7C}" name="Column7807" dataCellStyle="Normal 2"/>
    <tableColumn id="7823" xr3:uid="{561F9352-EADF-4D3A-AEB1-61ABE43925A0}" name="Column7808" dataCellStyle="Normal 2"/>
    <tableColumn id="7824" xr3:uid="{BDFEE7D5-63BB-41A5-8886-01B608C841DA}" name="Column7809" dataCellStyle="Normal 2"/>
    <tableColumn id="7825" xr3:uid="{88A194EB-A930-4554-83D6-6CD78B840816}" name="Column7810" dataCellStyle="Normal 2"/>
    <tableColumn id="7826" xr3:uid="{356DFB1E-4904-4AEB-8EFE-FE0F57533FAC}" name="Column7811" dataCellStyle="Normal 2"/>
    <tableColumn id="7827" xr3:uid="{1B78A149-C39D-4A7C-B647-6CF484611673}" name="Column7812" dataCellStyle="Normal 2"/>
    <tableColumn id="7828" xr3:uid="{3167BA8C-35C6-49C9-9995-1CDAD1A2646B}" name="Column7813" dataCellStyle="Normal 2"/>
    <tableColumn id="7829" xr3:uid="{C442D17B-1BA2-4367-86C8-72F4F7398C7B}" name="Column7814" dataCellStyle="Normal 2"/>
    <tableColumn id="7830" xr3:uid="{DA67879D-A518-4A66-BD0C-83083D347AED}" name="Column7815" dataCellStyle="Normal 2"/>
    <tableColumn id="7831" xr3:uid="{C57A423A-B3BD-476D-99DC-BBD4FBAB6C19}" name="Column7816" dataCellStyle="Normal 2"/>
    <tableColumn id="7832" xr3:uid="{FDBB06AF-0821-4DB0-9C72-79068EF4C5CD}" name="Column7817" dataCellStyle="Normal 2"/>
    <tableColumn id="7833" xr3:uid="{128D63FF-9398-411C-A4DB-A10619F247F1}" name="Column7818" dataCellStyle="Normal 2"/>
    <tableColumn id="7834" xr3:uid="{B9662049-524E-413D-9062-FEEF851545FC}" name="Column7819" dataCellStyle="Normal 2"/>
    <tableColumn id="7835" xr3:uid="{F823F932-C707-47EA-8533-7850C393B76F}" name="Column7820" dataCellStyle="Normal 2"/>
    <tableColumn id="7836" xr3:uid="{CE51DBCE-9C1D-4877-BC6F-697994183DEF}" name="Column7821" dataCellStyle="Normal 2"/>
    <tableColumn id="7837" xr3:uid="{7C7D47D3-C772-4C38-B2B2-768A6139B9F2}" name="Column7822" dataCellStyle="Normal 2"/>
    <tableColumn id="7838" xr3:uid="{3669096B-9B9B-48F0-9851-0EB3FF19F476}" name="Column7823" dataCellStyle="Normal 2"/>
    <tableColumn id="7839" xr3:uid="{94E44D28-9834-4F7F-87B7-D53F30A1B195}" name="Column7824" dataCellStyle="Normal 2"/>
    <tableColumn id="7840" xr3:uid="{1DCB21BB-FC6E-47B3-940D-A70E636D5FC1}" name="Column7825" dataCellStyle="Normal 2"/>
    <tableColumn id="7841" xr3:uid="{C9884B6C-CAB6-48D8-BFFA-18536E4FD2FE}" name="Column7826" dataCellStyle="Normal 2"/>
    <tableColumn id="7842" xr3:uid="{78EB6EA5-6229-4D92-865B-F3FBFCC81232}" name="Column7827" dataCellStyle="Normal 2"/>
    <tableColumn id="7843" xr3:uid="{2A1B002E-E9DB-4695-8FE8-A8FD2EAB16E2}" name="Column7828" dataCellStyle="Normal 2"/>
    <tableColumn id="7844" xr3:uid="{9E8B581B-6B85-4AA2-AA29-6DF5DA79B052}" name="Column7829" dataCellStyle="Normal 2"/>
    <tableColumn id="7845" xr3:uid="{FDDEA43A-F6C2-4B0E-B86C-300874072534}" name="Column7830" dataCellStyle="Normal 2"/>
    <tableColumn id="7846" xr3:uid="{D6D7CCBA-B98D-4AEA-A371-B85CAEF43CFD}" name="Column7831" dataCellStyle="Normal 2"/>
    <tableColumn id="7847" xr3:uid="{F420763E-A74D-4EA4-ADC4-DB43224CC82B}" name="Column7832" dataCellStyle="Normal 2"/>
    <tableColumn id="7848" xr3:uid="{FAFBAF2C-FA7D-4C71-9D39-D90F1FB0267C}" name="Column7833" dataCellStyle="Normal 2"/>
    <tableColumn id="7849" xr3:uid="{378CAF6E-B9B9-4965-818E-3C069507A1C0}" name="Column7834" dataCellStyle="Normal 2"/>
    <tableColumn id="7850" xr3:uid="{4907A5F1-0A64-4CD1-AF60-590953946599}" name="Column7835" dataCellStyle="Normal 2"/>
    <tableColumn id="7851" xr3:uid="{0198423C-58C7-4E52-BF17-6DF89DDFF216}" name="Column7836" dataCellStyle="Normal 2"/>
    <tableColumn id="7852" xr3:uid="{6DCBEFD0-A0A8-4053-A5F2-5A4BCBA19FAD}" name="Column7837" dataCellStyle="Normal 2"/>
    <tableColumn id="7853" xr3:uid="{05D8DCA3-A76C-46BA-9C60-7309BA720B99}" name="Column7838" dataCellStyle="Normal 2"/>
    <tableColumn id="7854" xr3:uid="{EADA7914-E1BB-4A32-81B0-9EC6496BD398}" name="Column7839" dataCellStyle="Normal 2"/>
    <tableColumn id="7855" xr3:uid="{AD75891E-7518-428F-87B7-267EBF37F7FD}" name="Column7840" dataCellStyle="Normal 2"/>
    <tableColumn id="7856" xr3:uid="{B10C3D1B-9BA9-4D28-8E64-CBB18CD682CC}" name="Column7841" dataCellStyle="Normal 2"/>
    <tableColumn id="7857" xr3:uid="{1585BBEA-0902-4684-918E-45526F229581}" name="Column7842" dataCellStyle="Normal 2"/>
    <tableColumn id="7858" xr3:uid="{1E78CE02-E9C6-40EE-807C-3562B8335118}" name="Column7843" dataCellStyle="Normal 2"/>
    <tableColumn id="7859" xr3:uid="{DFD78B5E-7875-4667-9AC1-73A0B3B2981C}" name="Column7844" dataCellStyle="Normal 2"/>
    <tableColumn id="7860" xr3:uid="{5909B93E-AD7F-45F8-A579-7FAC497A08A5}" name="Column7845" dataCellStyle="Normal 2"/>
    <tableColumn id="7861" xr3:uid="{B9C59AAA-96AE-453E-8758-27BFAC3C30E2}" name="Column7846" dataCellStyle="Normal 2"/>
    <tableColumn id="7862" xr3:uid="{0F1A9065-80BA-43A7-B604-227BEA15F1A7}" name="Column7847" dataCellStyle="Normal 2"/>
    <tableColumn id="7863" xr3:uid="{C6BEA1BA-665B-46E0-B05A-B03D63D5D90B}" name="Column7848" dataCellStyle="Normal 2"/>
    <tableColumn id="7864" xr3:uid="{684A6DCE-5C4C-448C-93EA-2DF2064BED2C}" name="Column7849" dataCellStyle="Normal 2"/>
    <tableColumn id="7865" xr3:uid="{C9875975-CDCE-4261-A9CF-AE359BBD5E3C}" name="Column7850" dataCellStyle="Normal 2"/>
    <tableColumn id="7866" xr3:uid="{F67C96D5-B84D-429F-BEC2-3EF5842C1758}" name="Column7851" dataCellStyle="Normal 2"/>
    <tableColumn id="7867" xr3:uid="{A45B1091-BF26-4133-8C8F-FAE14E8A6BD8}" name="Column7852" dataCellStyle="Normal 2"/>
    <tableColumn id="7868" xr3:uid="{4372E0F8-DEB5-42FD-804B-EE2DE1516557}" name="Column7853" dataCellStyle="Normal 2"/>
    <tableColumn id="7869" xr3:uid="{73ABC0CC-9DE5-4E83-B9D2-223BFF8D4AEA}" name="Column7854" dataCellStyle="Normal 2"/>
    <tableColumn id="7870" xr3:uid="{9875C567-6664-4814-B3AB-2629A4D28C4D}" name="Column7855" dataCellStyle="Normal 2"/>
    <tableColumn id="7871" xr3:uid="{8186AA1B-1DD0-4B4D-A3D5-B715A5E6AA78}" name="Column7856" dataCellStyle="Normal 2"/>
    <tableColumn id="7872" xr3:uid="{0A8373EA-7F28-4A88-AF33-22C04A953218}" name="Column7857" dataCellStyle="Normal 2"/>
    <tableColumn id="7873" xr3:uid="{A99CB8B6-401B-46FC-ACBA-769673BE4DF3}" name="Column7858" dataCellStyle="Normal 2"/>
    <tableColumn id="7874" xr3:uid="{84D6E209-4257-4017-8FD1-B9040610136F}" name="Column7859" dataCellStyle="Normal 2"/>
    <tableColumn id="7875" xr3:uid="{15C5E2DC-2070-41DF-B4D9-8FE27F8DB7DB}" name="Column7860" dataCellStyle="Normal 2"/>
    <tableColumn id="7876" xr3:uid="{D3B89052-9586-4FB5-8883-40EFB9F8B1FB}" name="Column7861" dataCellStyle="Normal 2"/>
    <tableColumn id="7877" xr3:uid="{577EF9A2-3091-4D8D-BBF8-9224DA0B72C4}" name="Column7862" dataCellStyle="Normal 2"/>
    <tableColumn id="7878" xr3:uid="{65782FB7-8198-4EB8-BE20-4E125DC69751}" name="Column7863" dataCellStyle="Normal 2"/>
    <tableColumn id="7879" xr3:uid="{8E8C9574-9A67-45D5-9C0B-5A775D20ABF1}" name="Column7864" dataCellStyle="Normal 2"/>
    <tableColumn id="7880" xr3:uid="{A8C84366-31A1-43F8-85EB-35FE7B508D57}" name="Column7865" dataCellStyle="Normal 2"/>
    <tableColumn id="7881" xr3:uid="{56E3238A-E25C-4E56-A1B8-730F58ABE55E}" name="Column7866" dataCellStyle="Normal 2"/>
    <tableColumn id="7882" xr3:uid="{2EC5DCF2-E476-4797-940D-F1AF5E66A952}" name="Column7867" dataCellStyle="Normal 2"/>
    <tableColumn id="7883" xr3:uid="{29D42A45-17C1-4D36-AE01-037D7E3AF0CE}" name="Column7868" dataCellStyle="Normal 2"/>
    <tableColumn id="7884" xr3:uid="{BB44DB80-9B59-4351-BB6E-5C9B1484FF5B}" name="Column7869" dataCellStyle="Normal 2"/>
    <tableColumn id="7885" xr3:uid="{0A2340E2-7240-4C4F-88BA-9EE9FDA1E422}" name="Column7870" dataCellStyle="Normal 2"/>
    <tableColumn id="7886" xr3:uid="{BC9AADBA-601A-4B5B-A046-1247562B556C}" name="Column7871" dataCellStyle="Normal 2"/>
    <tableColumn id="7887" xr3:uid="{ED9AF1B3-3166-414E-994A-B21E8B518996}" name="Column7872" dataCellStyle="Normal 2"/>
    <tableColumn id="7888" xr3:uid="{AA937C8F-EF34-4331-8A4E-25FC106F0B94}" name="Column7873" dataCellStyle="Normal 2"/>
    <tableColumn id="7889" xr3:uid="{DF4238EA-91F2-490F-B144-0E94B41324FE}" name="Column7874" dataCellStyle="Normal 2"/>
    <tableColumn id="7890" xr3:uid="{54B89096-1641-4D9B-98F5-4C1004999AD9}" name="Column7875" dataCellStyle="Normal 2"/>
    <tableColumn id="7891" xr3:uid="{D16E7E35-DC31-477A-98D7-8AAA762F3E80}" name="Column7876" dataCellStyle="Normal 2"/>
    <tableColumn id="7892" xr3:uid="{8194D966-9767-4F1C-9C60-37B37A93A00A}" name="Column7877" dataCellStyle="Normal 2"/>
    <tableColumn id="7893" xr3:uid="{FEF3DDD0-C133-47CC-AFC4-72FC8CE27F8E}" name="Column7878" dataCellStyle="Normal 2"/>
    <tableColumn id="7894" xr3:uid="{47A29DBC-3375-4814-A243-41DC95AD47EC}" name="Column7879" dataCellStyle="Normal 2"/>
    <tableColumn id="7895" xr3:uid="{C5D33F8F-A509-4D31-ADD1-2DEDFAB8E683}" name="Column7880" dataCellStyle="Normal 2"/>
    <tableColumn id="7896" xr3:uid="{69BBEF3F-7247-4E18-85CF-1D4BEF40CFFC}" name="Column7881" dataCellStyle="Normal 2"/>
    <tableColumn id="7897" xr3:uid="{703C7F17-5205-4C52-93DC-51CAF623D83A}" name="Column7882" dataCellStyle="Normal 2"/>
    <tableColumn id="7898" xr3:uid="{B0149A84-6A44-4549-87E6-8F0BE7D7091A}" name="Column7883" dataCellStyle="Normal 2"/>
    <tableColumn id="7899" xr3:uid="{6EF013AE-3876-4322-9246-971A34F627E8}" name="Column7884" dataCellStyle="Normal 2"/>
    <tableColumn id="7900" xr3:uid="{DB6F2738-A9E5-43CC-B34A-10FEDA5D4A17}" name="Column7885" dataCellStyle="Normal 2"/>
    <tableColumn id="7901" xr3:uid="{D689A3FB-9761-49C4-A358-A230669017F6}" name="Column7886" dataCellStyle="Normal 2"/>
    <tableColumn id="7902" xr3:uid="{2C465F93-EC34-4BAB-9BD8-B0533E7696D9}" name="Column7887" dataCellStyle="Normal 2"/>
    <tableColumn id="7903" xr3:uid="{E10B9F23-4292-49C2-BC04-1C9D9182C3DF}" name="Column7888" dataCellStyle="Normal 2"/>
    <tableColumn id="7904" xr3:uid="{4C751964-A95B-4FD1-A256-6F286CEE3D51}" name="Column7889" dataCellStyle="Normal 2"/>
    <tableColumn id="7905" xr3:uid="{056A5DDA-9C66-496E-9F34-051ED8DEDD39}" name="Column7890" dataCellStyle="Normal 2"/>
    <tableColumn id="7906" xr3:uid="{1C0AE49F-010C-4A17-B464-2DBF6D1B86B2}" name="Column7891" dataCellStyle="Normal 2"/>
    <tableColumn id="7907" xr3:uid="{FADE8A45-4BF6-4983-9B3E-E419D71F0B6F}" name="Column7892" dataCellStyle="Normal 2"/>
    <tableColumn id="7908" xr3:uid="{A3F2C950-B0EE-4BAE-A6E6-9E5AF52CE036}" name="Column7893" dataCellStyle="Normal 2"/>
    <tableColumn id="7909" xr3:uid="{415F2654-DC84-496E-8D71-2D1DCE6A5669}" name="Column7894" dataCellStyle="Normal 2"/>
    <tableColumn id="7910" xr3:uid="{DE7D2417-C030-4122-865E-BD097C16DFD2}" name="Column7895" dataCellStyle="Normal 2"/>
    <tableColumn id="7911" xr3:uid="{CBEA19D3-5F15-40C2-BF5C-CBF4A2962984}" name="Column7896" dataCellStyle="Normal 2"/>
    <tableColumn id="7912" xr3:uid="{99524AB6-B485-4F14-985C-AE990CFE8B4A}" name="Column7897" dataCellStyle="Normal 2"/>
    <tableColumn id="7913" xr3:uid="{BA3EC93E-8C15-42B1-A068-B1ED1837E54B}" name="Column7898" dataCellStyle="Normal 2"/>
    <tableColumn id="7914" xr3:uid="{C5AAF8FE-B0EB-4BB4-A938-9DBB9DF6A986}" name="Column7899" dataCellStyle="Normal 2"/>
    <tableColumn id="7915" xr3:uid="{C42DF0CF-24F0-4F73-B2D7-3777D4B2FE94}" name="Column7900" dataCellStyle="Normal 2"/>
    <tableColumn id="7916" xr3:uid="{EDBE94E0-CA77-4908-B67F-C17F1F45F631}" name="Column7901" dataCellStyle="Normal 2"/>
    <tableColumn id="7917" xr3:uid="{D8D68990-2372-4829-A913-14BB5145B4BC}" name="Column7902" dataCellStyle="Normal 2"/>
    <tableColumn id="7918" xr3:uid="{79F78783-80FA-4CDA-B203-68874C82E2F9}" name="Column7903" dataCellStyle="Normal 2"/>
    <tableColumn id="7919" xr3:uid="{374EB9FD-D8C3-4074-9690-6E0E9385672D}" name="Column7904" dataCellStyle="Normal 2"/>
    <tableColumn id="7920" xr3:uid="{4C9D920C-FE08-46A9-85D3-62A588011844}" name="Column7905" dataCellStyle="Normal 2"/>
    <tableColumn id="7921" xr3:uid="{DB6B4C46-C62C-4263-96F7-1403B6FAEE34}" name="Column7906" dataCellStyle="Normal 2"/>
    <tableColumn id="7922" xr3:uid="{008EF042-AB30-4DD7-8073-F73111F43CD4}" name="Column7907" dataCellStyle="Normal 2"/>
    <tableColumn id="7923" xr3:uid="{38EC7E63-9969-4FB7-8CF7-81754B78C599}" name="Column7908" dataCellStyle="Normal 2"/>
    <tableColumn id="7924" xr3:uid="{C8783591-E1AB-4781-81B8-D60E945F2376}" name="Column7909" dataCellStyle="Normal 2"/>
    <tableColumn id="7925" xr3:uid="{DD81A208-ECE7-4F03-AC64-30DEBEC6B6D6}" name="Column7910" dataCellStyle="Normal 2"/>
    <tableColumn id="7926" xr3:uid="{DFF21D06-25B7-48F1-B057-6BC9D6A6586C}" name="Column7911" dataCellStyle="Normal 2"/>
    <tableColumn id="7927" xr3:uid="{D811979D-900F-441E-9009-B1AA37DC9316}" name="Column7912" dataCellStyle="Normal 2"/>
    <tableColumn id="7928" xr3:uid="{1706F11A-A6C4-44EC-A428-B5B0AE7BF96E}" name="Column7913" dataCellStyle="Normal 2"/>
    <tableColumn id="7929" xr3:uid="{D8629A4E-670C-4BDD-B035-783FE2B9BAE0}" name="Column7914" dataCellStyle="Normal 2"/>
    <tableColumn id="7930" xr3:uid="{DCD26560-E8F4-402C-AD6C-3A885AFD3D3E}" name="Column7915" dataCellStyle="Normal 2"/>
    <tableColumn id="7931" xr3:uid="{7E379072-6924-4A65-B33F-C01E428720A4}" name="Column7916" dataCellStyle="Normal 2"/>
    <tableColumn id="7932" xr3:uid="{B7C6959C-6669-45F0-B0E1-D455F95C9580}" name="Column7917" dataCellStyle="Normal 2"/>
    <tableColumn id="7933" xr3:uid="{57293D44-9629-46E8-8809-259035709BB9}" name="Column7918" dataCellStyle="Normal 2"/>
    <tableColumn id="7934" xr3:uid="{494FFEFE-D81C-42D5-B332-9F38AA85FB82}" name="Column7919" dataCellStyle="Normal 2"/>
    <tableColumn id="7935" xr3:uid="{DEB0386B-EB9D-46AB-9589-3D3C02A86D61}" name="Column7920" dataCellStyle="Normal 2"/>
    <tableColumn id="7936" xr3:uid="{0F195939-9E1B-4D13-9BFF-8773D3837A26}" name="Column7921" dataCellStyle="Normal 2"/>
    <tableColumn id="7937" xr3:uid="{CC17545A-8D1F-4262-A588-2D00CA98C044}" name="Column7922" dataCellStyle="Normal 2"/>
    <tableColumn id="7938" xr3:uid="{B2CC958B-5B9F-43AD-8AB1-429EC292D789}" name="Column7923" dataCellStyle="Normal 2"/>
    <tableColumn id="7939" xr3:uid="{FA695CC6-AEF6-4B37-BEBA-F9DA189CF11F}" name="Column7924" dataCellStyle="Normal 2"/>
    <tableColumn id="7940" xr3:uid="{507F2073-0FCA-42CC-BE12-5B5F9F3B0A06}" name="Column7925" dataCellStyle="Normal 2"/>
    <tableColumn id="7941" xr3:uid="{B4CCE250-7D79-41AF-BEF7-79C4FEAFD434}" name="Column7926" dataCellStyle="Normal 2"/>
    <tableColumn id="7942" xr3:uid="{3CE11687-6282-4FE8-9B47-1A53356D32BA}" name="Column7927" dataCellStyle="Normal 2"/>
    <tableColumn id="7943" xr3:uid="{9A43A9C3-6C70-4178-9AAF-C4F804AA0967}" name="Column7928" dataCellStyle="Normal 2"/>
    <tableColumn id="7944" xr3:uid="{63F3546F-E190-41A0-A6D5-A55B7212960C}" name="Column7929" dataCellStyle="Normal 2"/>
    <tableColumn id="7945" xr3:uid="{653FA4F6-C436-4F63-84BC-096C5E394819}" name="Column7930" dataCellStyle="Normal 2"/>
    <tableColumn id="7946" xr3:uid="{E5234E97-436E-4CA4-9534-E373761080CA}" name="Column7931" dataCellStyle="Normal 2"/>
    <tableColumn id="7947" xr3:uid="{786719B2-B917-496A-BCB7-9838241A8387}" name="Column7932" dataCellStyle="Normal 2"/>
    <tableColumn id="7948" xr3:uid="{B6649CC9-6C78-4C28-A44E-123F9F051518}" name="Column7933" dataCellStyle="Normal 2"/>
    <tableColumn id="7949" xr3:uid="{ADDBF368-D824-4ED9-88D0-93D9D623E7B2}" name="Column7934" dataCellStyle="Normal 2"/>
    <tableColumn id="7950" xr3:uid="{A8596093-E287-487B-A76F-3D0B12A685A6}" name="Column7935" dataCellStyle="Normal 2"/>
    <tableColumn id="7951" xr3:uid="{39E712ED-7886-4998-887A-9C2924E28B82}" name="Column7936" dataCellStyle="Normal 2"/>
    <tableColumn id="7952" xr3:uid="{99C6C9CD-F5B9-4347-8ACE-C7345D6A9E72}" name="Column7937" dataCellStyle="Normal 2"/>
    <tableColumn id="7953" xr3:uid="{BC4C7E42-15CE-4E4C-A613-19F3419A7243}" name="Column7938" dataCellStyle="Normal 2"/>
    <tableColumn id="7954" xr3:uid="{AF75A8D8-2203-4D1E-9B25-953E5E5973D2}" name="Column7939" dataCellStyle="Normal 2"/>
    <tableColumn id="7955" xr3:uid="{5E871A9B-2655-44C3-84E7-FBA88AAC0414}" name="Column7940" dataCellStyle="Normal 2"/>
    <tableColumn id="7956" xr3:uid="{887CFF0E-028B-4B92-ACEE-057C108BF90A}" name="Column7941" dataCellStyle="Normal 2"/>
    <tableColumn id="7957" xr3:uid="{83F4ABBF-4DB4-49AF-9E3F-D5793D9ACA58}" name="Column7942" dataCellStyle="Normal 2"/>
    <tableColumn id="7958" xr3:uid="{794D107F-CBCA-48A5-9DF3-8C50FAEEA2DF}" name="Column7943" dataCellStyle="Normal 2"/>
    <tableColumn id="7959" xr3:uid="{E9CF4420-2A50-41D9-ACF0-75054D9DF61D}" name="Column7944" dataCellStyle="Normal 2"/>
    <tableColumn id="7960" xr3:uid="{14D51A39-5B43-448E-878D-0B54B8643EBA}" name="Column7945" dataCellStyle="Normal 2"/>
    <tableColumn id="7961" xr3:uid="{DEC425C8-64C8-4BA7-9C3E-62D0C7C463EA}" name="Column7946" dataCellStyle="Normal 2"/>
    <tableColumn id="7962" xr3:uid="{86EC8871-4C91-4C75-AD8C-3A667A4C51EE}" name="Column7947" dataCellStyle="Normal 2"/>
    <tableColumn id="7963" xr3:uid="{15352A1C-8128-4B01-8710-1F8D4DBA911C}" name="Column7948" dataCellStyle="Normal 2"/>
    <tableColumn id="7964" xr3:uid="{208D58F0-FCBA-4565-81D6-2A2E57D806C3}" name="Column7949" dataCellStyle="Normal 2"/>
    <tableColumn id="7965" xr3:uid="{B097D76C-0214-4ADE-A6C1-49A8D558C4D6}" name="Column7950" dataCellStyle="Normal 2"/>
    <tableColumn id="7966" xr3:uid="{5935CFC8-CEC7-4737-861C-C848475C57CE}" name="Column7951" dataCellStyle="Normal 2"/>
    <tableColumn id="7967" xr3:uid="{F6E20FE7-781D-48A6-BF0E-0FF75E7C5C00}" name="Column7952" dataCellStyle="Normal 2"/>
    <tableColumn id="7968" xr3:uid="{3A1963FE-8649-4FBC-83F3-8D497ACD5BA5}" name="Column7953" dataCellStyle="Normal 2"/>
    <tableColumn id="7969" xr3:uid="{1D0DD06E-8A7C-4BD1-BF27-526F9437D263}" name="Column7954" dataCellStyle="Normal 2"/>
    <tableColumn id="7970" xr3:uid="{D2EEA70A-32A2-4325-947F-3A0E85548140}" name="Column7955" dataCellStyle="Normal 2"/>
    <tableColumn id="7971" xr3:uid="{34E89DFB-4934-49B9-9C25-5486E5082F38}" name="Column7956" dataCellStyle="Normal 2"/>
    <tableColumn id="7972" xr3:uid="{BBDE50BD-05DA-42A3-B4B9-D05ECAF54A21}" name="Column7957" dataCellStyle="Normal 2"/>
    <tableColumn id="7973" xr3:uid="{46CAC05A-853A-4947-9123-F085E2A1CE85}" name="Column7958" dataCellStyle="Normal 2"/>
    <tableColumn id="7974" xr3:uid="{618F643B-5A1C-45B8-B6C6-AE05EA208E06}" name="Column7959" dataCellStyle="Normal 2"/>
    <tableColumn id="7975" xr3:uid="{0DE0CF56-1382-425D-84FF-90932FD60533}" name="Column7960" dataCellStyle="Normal 2"/>
    <tableColumn id="7976" xr3:uid="{9D6F7A37-9660-4A60-9A90-526330F162E4}" name="Column7961" dataCellStyle="Normal 2"/>
    <tableColumn id="7977" xr3:uid="{287E7DF7-182E-4397-947D-6A3179DE61BB}" name="Column7962" dataCellStyle="Normal 2"/>
    <tableColumn id="7978" xr3:uid="{AD0414A1-72FB-4369-97AB-D43710BC8B65}" name="Column7963" dataCellStyle="Normal 2"/>
    <tableColumn id="7979" xr3:uid="{0B5C6FC2-E5A4-4777-9A55-BE86BB02942E}" name="Column7964" dataCellStyle="Normal 2"/>
    <tableColumn id="7980" xr3:uid="{AA2D1B06-98BF-4F78-9E2A-D79C097173B7}" name="Column7965" dataCellStyle="Normal 2"/>
    <tableColumn id="7981" xr3:uid="{E8D2E0D6-293B-48E4-931D-199E81EE873E}" name="Column7966" dataCellStyle="Normal 2"/>
    <tableColumn id="7982" xr3:uid="{8DF4DC3B-4C97-49D0-A054-949B49CECC8B}" name="Column7967" dataCellStyle="Normal 2"/>
    <tableColumn id="7983" xr3:uid="{0666C162-8B53-4F48-AA3F-AAD8C6443A17}" name="Column7968" dataCellStyle="Normal 2"/>
    <tableColumn id="7984" xr3:uid="{45335A80-5968-42D8-8D49-448AB418B207}" name="Column7969" dataCellStyle="Normal 2"/>
    <tableColumn id="7985" xr3:uid="{021E9DE3-D4A3-4D44-9A76-70122DE4C63B}" name="Column7970" dataCellStyle="Normal 2"/>
    <tableColumn id="7986" xr3:uid="{1566F0EE-BDA0-4E8A-861D-03C7CFED2A4C}" name="Column7971" dataCellStyle="Normal 2"/>
    <tableColumn id="7987" xr3:uid="{72F91623-3847-45C5-82A7-3DDC1CBC1276}" name="Column7972" dataCellStyle="Normal 2"/>
    <tableColumn id="7988" xr3:uid="{96850AFD-62C8-4F73-A91E-09BCD83DCA3B}" name="Column7973" dataCellStyle="Normal 2"/>
    <tableColumn id="7989" xr3:uid="{0993A980-144D-4322-A044-126E08579EBD}" name="Column7974" dataCellStyle="Normal 2"/>
    <tableColumn id="7990" xr3:uid="{6DC77147-323B-4B9F-A6EC-2B23E26D9CFC}" name="Column7975" dataCellStyle="Normal 2"/>
    <tableColumn id="7991" xr3:uid="{42F0E2D4-0864-4E73-8E08-3824C4AE1666}" name="Column7976" dataCellStyle="Normal 2"/>
    <tableColumn id="7992" xr3:uid="{C5583397-3AA9-4CD9-8AA2-AAC44B666278}" name="Column7977" dataCellStyle="Normal 2"/>
    <tableColumn id="7993" xr3:uid="{85A56D88-1732-4D3C-9537-F7AE85041E82}" name="Column7978" dataCellStyle="Normal 2"/>
    <tableColumn id="7994" xr3:uid="{8AD2E626-7EB3-41A0-86BB-C22108077AE1}" name="Column7979" dataCellStyle="Normal 2"/>
    <tableColumn id="7995" xr3:uid="{54C8FC64-6415-4F65-846D-0ADAA7C061C0}" name="Column7980" dataCellStyle="Normal 2"/>
    <tableColumn id="7996" xr3:uid="{55956AA8-1090-4937-B2C0-E38E3C23C27C}" name="Column7981" dataCellStyle="Normal 2"/>
    <tableColumn id="7997" xr3:uid="{70C43E5D-26C9-478F-B1A3-042491D2C883}" name="Column7982" dataCellStyle="Normal 2"/>
    <tableColumn id="7998" xr3:uid="{5B2F9879-CA96-420E-9019-37A9A525C97C}" name="Column7983" dataCellStyle="Normal 2"/>
    <tableColumn id="7999" xr3:uid="{63F7D633-5B68-4AF3-80B7-99D20CD3A89D}" name="Column7984" dataCellStyle="Normal 2"/>
    <tableColumn id="8000" xr3:uid="{5B4B5C8F-8EF3-408B-A0C8-5447ED548D2B}" name="Column7985" dataCellStyle="Normal 2"/>
    <tableColumn id="8001" xr3:uid="{B8B89A47-8DA5-457C-BC14-EB63359A01E3}" name="Column7986" dataCellStyle="Normal 2"/>
    <tableColumn id="8002" xr3:uid="{E2212A2F-29F6-45B6-9532-CBA4AB5626F9}" name="Column7987" dataCellStyle="Normal 2"/>
    <tableColumn id="8003" xr3:uid="{FAA105FD-CCE0-4DA2-9D3E-F6E82D8CC855}" name="Column7988" dataCellStyle="Normal 2"/>
    <tableColumn id="8004" xr3:uid="{82CFC8DB-1A85-4EBC-885C-8D96C14F8585}" name="Column7989" dataCellStyle="Normal 2"/>
    <tableColumn id="8005" xr3:uid="{049FF4C5-B473-49D0-9B33-B7ACFECE7B14}" name="Column7990" dataCellStyle="Normal 2"/>
    <tableColumn id="8006" xr3:uid="{35B159E0-7266-4537-AAEE-8B0C433FA378}" name="Column7991" dataCellStyle="Normal 2"/>
    <tableColumn id="8007" xr3:uid="{0D40F5A3-5D95-42C8-8932-CECC938214F5}" name="Column7992" dataCellStyle="Normal 2"/>
    <tableColumn id="8008" xr3:uid="{2275098B-7A9F-4B62-97B8-E2093D907708}" name="Column7993" dataCellStyle="Normal 2"/>
    <tableColumn id="8009" xr3:uid="{C5C91AC0-10E1-4332-9FE6-EC744541E629}" name="Column7994" dataCellStyle="Normal 2"/>
    <tableColumn id="8010" xr3:uid="{8B08F1A3-57D6-48F1-9DED-41841DE1A3D7}" name="Column7995" dataCellStyle="Normal 2"/>
    <tableColumn id="8011" xr3:uid="{41C66D66-C918-4240-BD2A-6ED9CB76C318}" name="Column7996" dataCellStyle="Normal 2"/>
    <tableColumn id="8012" xr3:uid="{4704E4C7-65A6-4BDF-A495-F5451C6C42BD}" name="Column7997" dataCellStyle="Normal 2"/>
    <tableColumn id="8013" xr3:uid="{F9FFEBC2-0477-408A-986B-53C642661115}" name="Column7998" dataCellStyle="Normal 2"/>
    <tableColumn id="8014" xr3:uid="{12B2F2E5-AD7C-4491-AA68-92D176F664A6}" name="Column7999" dataCellStyle="Normal 2"/>
    <tableColumn id="8015" xr3:uid="{C5EB83D1-A60B-4703-8CE3-3ED3F84FA333}" name="Column8000" dataCellStyle="Normal 2"/>
    <tableColumn id="8016" xr3:uid="{252CA643-D9A5-4876-BC56-25FE04C3D8AF}" name="Column8001" dataCellStyle="Normal 2"/>
    <tableColumn id="8017" xr3:uid="{D6691063-193B-40B0-A6FF-4331E1AE2AF0}" name="Column8002" dataCellStyle="Normal 2"/>
    <tableColumn id="8018" xr3:uid="{E0466433-5398-4A12-AA18-3E862293B8A9}" name="Column8003" dataCellStyle="Normal 2"/>
    <tableColumn id="8019" xr3:uid="{9C207A8D-4D25-4A9C-B105-ACC518AD33F1}" name="Column8004" dataCellStyle="Normal 2"/>
    <tableColumn id="8020" xr3:uid="{4AE644F5-FF9A-4D15-8AC7-C91C38D0843D}" name="Column8005" dataCellStyle="Normal 2"/>
    <tableColumn id="8021" xr3:uid="{BEE98BD0-A473-4470-AF72-13006206D5C7}" name="Column8006" dataCellStyle="Normal 2"/>
    <tableColumn id="8022" xr3:uid="{5757FD3A-78A9-4DE4-AC29-0888FCD25428}" name="Column8007" dataCellStyle="Normal 2"/>
    <tableColumn id="8023" xr3:uid="{59E8E830-DC32-4E90-844B-A1021A6E800A}" name="Column8008" dataCellStyle="Normal 2"/>
    <tableColumn id="8024" xr3:uid="{BB6C9587-8457-4856-9052-12011ED5ADC8}" name="Column8009" dataCellStyle="Normal 2"/>
    <tableColumn id="8025" xr3:uid="{D35ABF82-BD8B-44CF-BFF5-AB0EE71937F4}" name="Column8010" dataCellStyle="Normal 2"/>
    <tableColumn id="8026" xr3:uid="{D51C5091-C18C-4167-896D-8EE8C22F957C}" name="Column8011" dataCellStyle="Normal 2"/>
    <tableColumn id="8027" xr3:uid="{FB436B1C-39CC-48E7-95CE-E8981915D005}" name="Column8012" dataCellStyle="Normal 2"/>
    <tableColumn id="8028" xr3:uid="{593427DB-18CA-4E89-AFF8-9C91F6273D2C}" name="Column8013" dataCellStyle="Normal 2"/>
    <tableColumn id="8029" xr3:uid="{703CA61D-5714-4A34-9572-2097DCEC5C3C}" name="Column8014" dataCellStyle="Normal 2"/>
    <tableColumn id="8030" xr3:uid="{D2203F81-F1B5-48DC-BF42-DEF52EBC018B}" name="Column8015" dataCellStyle="Normal 2"/>
    <tableColumn id="8031" xr3:uid="{B6FD42A4-AEEF-4B1D-827C-9BC048778FBA}" name="Column8016" dataCellStyle="Normal 2"/>
    <tableColumn id="8032" xr3:uid="{48AF67A5-4A30-4C4B-934D-A74A0304A8FC}" name="Column8017" dataCellStyle="Normal 2"/>
    <tableColumn id="8033" xr3:uid="{ECA1FCD6-E707-4B4F-882E-A58808C65FF6}" name="Column8018" dataCellStyle="Normal 2"/>
    <tableColumn id="8034" xr3:uid="{F28EC5B1-AB44-40D6-93AB-386824A14F48}" name="Column8019" dataCellStyle="Normal 2"/>
    <tableColumn id="8035" xr3:uid="{DBA61A90-F75F-49F2-91DD-2A788CFD69A6}" name="Column8020" dataCellStyle="Normal 2"/>
    <tableColumn id="8036" xr3:uid="{67C83E2D-8977-4106-9FD1-4EAA1CDFD2FA}" name="Column8021" dataCellStyle="Normal 2"/>
    <tableColumn id="8037" xr3:uid="{6636E436-E13D-4DB4-804D-33F5783FD52C}" name="Column8022" dataCellStyle="Normal 2"/>
    <tableColumn id="8038" xr3:uid="{947CCCAE-2D5E-4119-994B-65EA582712F6}" name="Column8023" dataCellStyle="Normal 2"/>
    <tableColumn id="8039" xr3:uid="{F900CE02-4204-4699-A39D-3E7382568197}" name="Column8024" dataCellStyle="Normal 2"/>
    <tableColumn id="8040" xr3:uid="{8CBA7E8B-B958-4317-83EE-64EA4815BC0A}" name="Column8025" dataCellStyle="Normal 2"/>
    <tableColumn id="8041" xr3:uid="{F96E4C3B-EE8B-4FE1-873C-93646581C22E}" name="Column8026" dataCellStyle="Normal 2"/>
    <tableColumn id="8042" xr3:uid="{6429F1E1-111E-492B-8B52-B8CA7B11A1FE}" name="Column8027" dataCellStyle="Normal 2"/>
    <tableColumn id="8043" xr3:uid="{B7CEF3A9-8589-42B5-AFE9-8CD6C357CC2A}" name="Column8028" dataCellStyle="Normal 2"/>
    <tableColumn id="8044" xr3:uid="{120DA327-4136-4965-BAB1-1F7658CE1834}" name="Column8029" dataCellStyle="Normal 2"/>
    <tableColumn id="8045" xr3:uid="{A675527F-D933-4236-89C1-45C3DD2E85E6}" name="Column8030" dataCellStyle="Normal 2"/>
    <tableColumn id="8046" xr3:uid="{A4242C31-E8B9-4DB1-9197-09EB2F215FA1}" name="Column8031" dataCellStyle="Normal 2"/>
    <tableColumn id="8047" xr3:uid="{1B3E5F54-6F81-4175-B410-32A7479F0F60}" name="Column8032" dataCellStyle="Normal 2"/>
    <tableColumn id="8048" xr3:uid="{96339C89-F578-4769-938A-8068188CFCD4}" name="Column8033" dataCellStyle="Normal 2"/>
    <tableColumn id="8049" xr3:uid="{A0D738B9-883B-48CB-A3F0-7861CF88C5BD}" name="Column8034" dataCellStyle="Normal 2"/>
    <tableColumn id="8050" xr3:uid="{6C96C6C3-21FD-4E57-A62D-C01965A99CB8}" name="Column8035" dataCellStyle="Normal 2"/>
    <tableColumn id="8051" xr3:uid="{49FFEB8C-1659-40CB-93C7-8E8B8D4DDDB5}" name="Column8036" dataCellStyle="Normal 2"/>
    <tableColumn id="8052" xr3:uid="{A58099AB-EECA-420D-81B4-2C15C0A535E9}" name="Column8037" dataCellStyle="Normal 2"/>
    <tableColumn id="8053" xr3:uid="{8D5FB991-6179-4DFC-BC3B-4A52A4FCDF62}" name="Column8038" dataCellStyle="Normal 2"/>
    <tableColumn id="8054" xr3:uid="{5C05EA4C-86DE-4A68-B1B8-5AD7D39B3236}" name="Column8039" dataCellStyle="Normal 2"/>
    <tableColumn id="8055" xr3:uid="{0A6369C6-FEBD-4665-B7E5-E5BA912021CE}" name="Column8040" dataCellStyle="Normal 2"/>
    <tableColumn id="8056" xr3:uid="{1DE8D845-C873-4659-99EB-658EA463AD17}" name="Column8041" dataCellStyle="Normal 2"/>
    <tableColumn id="8057" xr3:uid="{740D9E4A-F48C-4E94-AE06-6013D0975699}" name="Column8042" dataCellStyle="Normal 2"/>
    <tableColumn id="8058" xr3:uid="{E167C8BA-FEC5-4A92-AF25-8EC34B3D90B5}" name="Column8043" dataCellStyle="Normal 2"/>
    <tableColumn id="8059" xr3:uid="{6B2BB969-581A-48AC-A0BE-92EDD27071CA}" name="Column8044" dataCellStyle="Normal 2"/>
    <tableColumn id="8060" xr3:uid="{214CAD5F-5E5E-4F08-8D16-7C350B63D6B7}" name="Column8045" dataCellStyle="Normal 2"/>
    <tableColumn id="8061" xr3:uid="{47D01B7F-261A-455A-BFC7-B1BFA01F455C}" name="Column8046" dataCellStyle="Normal 2"/>
    <tableColumn id="8062" xr3:uid="{B47C23D2-F6EC-4A07-AC26-2C6BB3457412}" name="Column8047" dataCellStyle="Normal 2"/>
    <tableColumn id="8063" xr3:uid="{463BD4BA-7436-4824-8BE3-AFD14B7827D6}" name="Column8048" dataCellStyle="Normal 2"/>
    <tableColumn id="8064" xr3:uid="{7ABC9876-BD6C-4A9F-A526-8FA4DE178A3A}" name="Column8049" dataCellStyle="Normal 2"/>
    <tableColumn id="8065" xr3:uid="{54E6F158-9DAA-4435-BE05-035D122A9825}" name="Column8050" dataCellStyle="Normal 2"/>
    <tableColumn id="8066" xr3:uid="{FC9B9664-F3AF-480F-AF01-0FB92F1BED7F}" name="Column8051" dataCellStyle="Normal 2"/>
    <tableColumn id="8067" xr3:uid="{060A35C0-5D24-4CE1-A60C-98F002150A99}" name="Column8052" dataCellStyle="Normal 2"/>
    <tableColumn id="8068" xr3:uid="{54492598-169A-4978-9D8C-CABB874188A7}" name="Column8053" dataCellStyle="Normal 2"/>
    <tableColumn id="8069" xr3:uid="{8A8D7C3F-A75F-4E64-BB5F-5422CE192FC1}" name="Column8054" dataCellStyle="Normal 2"/>
    <tableColumn id="8070" xr3:uid="{B0FAC101-E559-4180-BEF8-F5BA799C3CBE}" name="Column8055" dataCellStyle="Normal 2"/>
    <tableColumn id="8071" xr3:uid="{A1509338-8A8C-4355-BCC1-92C0392388E8}" name="Column8056" dataCellStyle="Normal 2"/>
    <tableColumn id="8072" xr3:uid="{F55D0DF1-8A14-4ABC-AB12-611A9AB29364}" name="Column8057" dataCellStyle="Normal 2"/>
    <tableColumn id="8073" xr3:uid="{594B7577-719E-4F32-A235-C789994ABA41}" name="Column8058" dataCellStyle="Normal 2"/>
    <tableColumn id="8074" xr3:uid="{8D4584C9-5386-400F-ADEA-EDA36D6C3F83}" name="Column8059" dataCellStyle="Normal 2"/>
    <tableColumn id="8075" xr3:uid="{55E82936-9F9B-4231-BD81-679478A59833}" name="Column8060" dataCellStyle="Normal 2"/>
    <tableColumn id="8076" xr3:uid="{932231FC-B902-4A5B-99CB-CB4799D9C18A}" name="Column8061" dataCellStyle="Normal 2"/>
    <tableColumn id="8077" xr3:uid="{8D192CCF-736C-4DC8-93A0-21BB8A6D2F00}" name="Column8062" dataCellStyle="Normal 2"/>
    <tableColumn id="8078" xr3:uid="{541B8C85-897B-47B2-94B9-F9B0D37F5D43}" name="Column8063" dataCellStyle="Normal 2"/>
    <tableColumn id="8079" xr3:uid="{BAB1FC93-0B9F-46D3-B02F-077DE02335FB}" name="Column8064" dataCellStyle="Normal 2"/>
    <tableColumn id="8080" xr3:uid="{3140F008-7E28-47BE-926C-02CB822AA4A8}" name="Column8065" dataCellStyle="Normal 2"/>
    <tableColumn id="8081" xr3:uid="{F285FCD7-BF68-471C-AABF-47CB98E58FD8}" name="Column8066" dataCellStyle="Normal 2"/>
    <tableColumn id="8082" xr3:uid="{843AC3A7-7E3A-44EE-BD8C-7A8A3204FA11}" name="Column8067" dataCellStyle="Normal 2"/>
    <tableColumn id="8083" xr3:uid="{93ACA102-9243-43BE-AA4E-25BD73D86F11}" name="Column8068" dataCellStyle="Normal 2"/>
    <tableColumn id="8084" xr3:uid="{600458CE-E9F9-482A-BAC2-5208643F1631}" name="Column8069" dataCellStyle="Normal 2"/>
    <tableColumn id="8085" xr3:uid="{C91612F9-8104-497A-A4C8-F3F6D4CCBD98}" name="Column8070" dataCellStyle="Normal 2"/>
    <tableColumn id="8086" xr3:uid="{1D5BFA6C-DE47-4695-8F11-696E8CD2E41C}" name="Column8071" dataCellStyle="Normal 2"/>
    <tableColumn id="8087" xr3:uid="{80D5AB91-6571-41DE-AEE4-A8FC4D27B5C3}" name="Column8072" dataCellStyle="Normal 2"/>
    <tableColumn id="8088" xr3:uid="{5E672BE3-4909-4DDC-A8FC-6D9957A11094}" name="Column8073" dataCellStyle="Normal 2"/>
    <tableColumn id="8089" xr3:uid="{67F1982E-F3BC-4F8F-A092-DC3E2C4B3DEE}" name="Column8074" dataCellStyle="Normal 2"/>
    <tableColumn id="8090" xr3:uid="{B69CE281-D077-4C18-A0A7-7CC3AF94E3F6}" name="Column8075" dataCellStyle="Normal 2"/>
    <tableColumn id="8091" xr3:uid="{02EFDE77-748E-4CEA-B355-B2BAF75812C1}" name="Column8076" dataCellStyle="Normal 2"/>
    <tableColumn id="8092" xr3:uid="{D6156C2F-1C49-4575-AF8C-991A652321B6}" name="Column8077" dataCellStyle="Normal 2"/>
    <tableColumn id="8093" xr3:uid="{E57CA399-FEA6-4CB2-A4D2-03A2B0AF201A}" name="Column8078" dataCellStyle="Normal 2"/>
    <tableColumn id="8094" xr3:uid="{99B2C085-5D81-4DC1-8157-4C6A0D505CB3}" name="Column8079" dataCellStyle="Normal 2"/>
    <tableColumn id="8095" xr3:uid="{39F981FC-1815-4E4F-92ED-A173D2B73815}" name="Column8080" dataCellStyle="Normal 2"/>
    <tableColumn id="8096" xr3:uid="{3AD63240-D144-4207-B9E7-68C0ECDE2F79}" name="Column8081" dataCellStyle="Normal 2"/>
    <tableColumn id="8097" xr3:uid="{4069EE84-19BD-4230-B246-1C02196EA320}" name="Column8082" dataCellStyle="Normal 2"/>
    <tableColumn id="8098" xr3:uid="{679CB52D-6E30-452E-97DF-E1B4647FF3D7}" name="Column8083" dataCellStyle="Normal 2"/>
    <tableColumn id="8099" xr3:uid="{44FFD892-5CF9-4823-A023-D4C43E7D3040}" name="Column8084" dataCellStyle="Normal 2"/>
    <tableColumn id="8100" xr3:uid="{D1BE73AA-FC2F-44A5-947E-68F6530B44D4}" name="Column8085" dataCellStyle="Normal 2"/>
    <tableColumn id="8101" xr3:uid="{867DDBF0-1485-4AA8-8617-01C54ED3BED0}" name="Column8086" dataCellStyle="Normal 2"/>
    <tableColumn id="8102" xr3:uid="{A42EEB4F-2A10-4F8C-A8BC-2EA22EF3BE07}" name="Column8087" dataCellStyle="Normal 2"/>
    <tableColumn id="8103" xr3:uid="{920847CB-2FF8-4EAE-93E0-F796B52D7BE9}" name="Column8088" dataCellStyle="Normal 2"/>
    <tableColumn id="8104" xr3:uid="{0D104339-A459-4203-9697-B5095690C84A}" name="Column8089" dataCellStyle="Normal 2"/>
    <tableColumn id="8105" xr3:uid="{D82FBD59-A352-4C42-9767-0C2B43EBD968}" name="Column8090" dataCellStyle="Normal 2"/>
    <tableColumn id="8106" xr3:uid="{18C89845-064C-44B2-9FA1-03576BB67DD4}" name="Column8091" dataCellStyle="Normal 2"/>
    <tableColumn id="8107" xr3:uid="{22E328F8-EED5-4A23-B7E0-5CD60E7B994E}" name="Column8092" dataCellStyle="Normal 2"/>
    <tableColumn id="8108" xr3:uid="{EA70BD52-9D73-4C7A-A0CA-DA5982747713}" name="Column8093" dataCellStyle="Normal 2"/>
    <tableColumn id="8109" xr3:uid="{21CAE9BB-E000-4CF7-8780-E23E472F9E2D}" name="Column8094" dataCellStyle="Normal 2"/>
    <tableColumn id="8110" xr3:uid="{5AD9D228-4F3E-4795-B643-D8FB451448F2}" name="Column8095" dataCellStyle="Normal 2"/>
    <tableColumn id="8111" xr3:uid="{66A0B5C6-BF3B-4C3D-AD27-8E10CE67B644}" name="Column8096" dataCellStyle="Normal 2"/>
    <tableColumn id="8112" xr3:uid="{D66C46BE-9909-4B76-8AC8-3F57FC77F8BC}" name="Column8097" dataCellStyle="Normal 2"/>
    <tableColumn id="8113" xr3:uid="{A40440A0-FA40-416E-986A-4F2CDF5336F2}" name="Column8098" dataCellStyle="Normal 2"/>
    <tableColumn id="8114" xr3:uid="{6B55D16D-DCE1-47DB-8A21-086EFDB5BD31}" name="Column8099" dataCellStyle="Normal 2"/>
    <tableColumn id="8115" xr3:uid="{FFDF7933-A244-43FD-A976-44FB7CB17CB5}" name="Column8100" dataCellStyle="Normal 2"/>
    <tableColumn id="8116" xr3:uid="{CA80F55C-05C0-454B-A600-26D11CCD1B94}" name="Column8101" dataCellStyle="Normal 2"/>
    <tableColumn id="8117" xr3:uid="{1B0272DD-7559-4779-A904-96CEEDA31318}" name="Column8102" dataCellStyle="Normal 2"/>
    <tableColumn id="8118" xr3:uid="{C385567F-10CF-425D-8B9A-D2FA27CE2C07}" name="Column8103" dataCellStyle="Normal 2"/>
    <tableColumn id="8119" xr3:uid="{440FA461-4301-48AB-BDFB-99BD46E3BEC1}" name="Column8104" dataCellStyle="Normal 2"/>
    <tableColumn id="8120" xr3:uid="{A036E35D-CA4B-4A91-B85C-59600F919D53}" name="Column8105" dataCellStyle="Normal 2"/>
    <tableColumn id="8121" xr3:uid="{D9DF2426-483A-4FF4-9472-D3293011916F}" name="Column8106" dataCellStyle="Normal 2"/>
    <tableColumn id="8122" xr3:uid="{EC60191C-8DCF-45DD-9F64-A294180DAD87}" name="Column8107" dataCellStyle="Normal 2"/>
    <tableColumn id="8123" xr3:uid="{005243CD-7368-4D33-A7B2-3A73943CE7BA}" name="Column8108" dataCellStyle="Normal 2"/>
    <tableColumn id="8124" xr3:uid="{BD9303CD-8965-4D29-B803-B6E015C68A21}" name="Column8109" dataCellStyle="Normal 2"/>
    <tableColumn id="8125" xr3:uid="{093FFF35-4B02-4694-88E9-A7C1A408FA28}" name="Column8110" dataCellStyle="Normal 2"/>
    <tableColumn id="8126" xr3:uid="{0087037E-D282-41D0-97DB-C61942D3A392}" name="Column8111" dataCellStyle="Normal 2"/>
    <tableColumn id="8127" xr3:uid="{8C9C0273-851F-4596-8B80-84C2A28808F0}" name="Column8112" dataCellStyle="Normal 2"/>
    <tableColumn id="8128" xr3:uid="{C7F99C36-D121-4DEC-AADD-47ABFE80B4A6}" name="Column8113" dataCellStyle="Normal 2"/>
    <tableColumn id="8129" xr3:uid="{DE895386-7F6A-4493-8491-E408882E686B}" name="Column8114" dataCellStyle="Normal 2"/>
    <tableColumn id="8130" xr3:uid="{E19B9D2B-15FA-4AED-8FEE-391CFD55649E}" name="Column8115" dataCellStyle="Normal 2"/>
    <tableColumn id="8131" xr3:uid="{E75AFAA3-A0F6-45FA-B91D-96A1D393B39A}" name="Column8116" dataCellStyle="Normal 2"/>
    <tableColumn id="8132" xr3:uid="{B1CD53BC-279A-4517-900F-B8792BCDDF3F}" name="Column8117" dataCellStyle="Normal 2"/>
    <tableColumn id="8133" xr3:uid="{C3EF92A9-84E9-4A46-BB82-EE8E824B80DD}" name="Column8118" dataCellStyle="Normal 2"/>
    <tableColumn id="8134" xr3:uid="{1314358A-C154-4828-8D51-C28A34967D6C}" name="Column8119" dataCellStyle="Normal 2"/>
    <tableColumn id="8135" xr3:uid="{62310791-6BD0-4EA4-9D0C-570F9CD467A9}" name="Column8120" dataCellStyle="Normal 2"/>
    <tableColumn id="8136" xr3:uid="{3D3B25EF-772E-46DD-B6EE-83A07FA69672}" name="Column8121" dataCellStyle="Normal 2"/>
    <tableColumn id="8137" xr3:uid="{F9A6A6D0-EB9F-45E4-ACF1-4EFD8B8DA300}" name="Column8122" dataCellStyle="Normal 2"/>
    <tableColumn id="8138" xr3:uid="{BE82A473-1756-4409-B0BC-B36D83B04120}" name="Column8123" dataCellStyle="Normal 2"/>
    <tableColumn id="8139" xr3:uid="{6CF68BA7-C015-44E1-8B08-EDC5BA2CD2B0}" name="Column8124" dataCellStyle="Normal 2"/>
    <tableColumn id="8140" xr3:uid="{83287264-E1E2-4FE2-9C5A-5683EFAE35AD}" name="Column8125" dataCellStyle="Normal 2"/>
    <tableColumn id="8141" xr3:uid="{D2258854-4155-419D-AFD1-AC0BCE136808}" name="Column8126" dataCellStyle="Normal 2"/>
    <tableColumn id="8142" xr3:uid="{8DA2F486-DF65-4C25-A664-341F56BEC3D5}" name="Column8127" dataCellStyle="Normal 2"/>
    <tableColumn id="8143" xr3:uid="{5C2BE092-93AF-41D8-A3AE-54FD8D30644E}" name="Column8128" dataCellStyle="Normal 2"/>
    <tableColumn id="8144" xr3:uid="{05D431EE-ACB7-4B6E-A41D-123C93176DF5}" name="Column8129" dataCellStyle="Normal 2"/>
    <tableColumn id="8145" xr3:uid="{010FBF25-1934-4D3A-A8DA-6F5463C2168A}" name="Column8130" dataCellStyle="Normal 2"/>
    <tableColumn id="8146" xr3:uid="{3B648959-2CCD-40C3-8D92-766DAC2E6BA2}" name="Column8131" dataCellStyle="Normal 2"/>
    <tableColumn id="8147" xr3:uid="{DD6A39E7-4176-4C61-9542-F9C5B183B091}" name="Column8132" dataCellStyle="Normal 2"/>
    <tableColumn id="8148" xr3:uid="{2E777698-4116-438E-B4B6-67399BB6F5F9}" name="Column8133" dataCellStyle="Normal 2"/>
    <tableColumn id="8149" xr3:uid="{928AFD45-FE6A-40F5-B5DF-893B016986A2}" name="Column8134" dataCellStyle="Normal 2"/>
    <tableColumn id="8150" xr3:uid="{172999AA-1EB2-4FA4-A396-C5A159CFD1BF}" name="Column8135" dataCellStyle="Normal 2"/>
    <tableColumn id="8151" xr3:uid="{21C45992-C5C5-4857-A0F6-0EE115AFDC32}" name="Column8136" dataCellStyle="Normal 2"/>
    <tableColumn id="8152" xr3:uid="{9420A3BF-37FA-4B1D-831A-E4EDFA6E3607}" name="Column8137" dataCellStyle="Normal 2"/>
    <tableColumn id="8153" xr3:uid="{FC258C79-8BD8-486B-88DE-81722144E2F4}" name="Column8138" dataCellStyle="Normal 2"/>
    <tableColumn id="8154" xr3:uid="{DA598E4C-9255-4E42-BF0D-1267699F5F23}" name="Column8139" dataCellStyle="Normal 2"/>
    <tableColumn id="8155" xr3:uid="{7068FC75-912D-424B-B6BE-6D41E48A7BD7}" name="Column8140" dataCellStyle="Normal 2"/>
    <tableColumn id="8156" xr3:uid="{3D1AFA09-0D45-4BB4-A183-E0411633AE28}" name="Column8141" dataCellStyle="Normal 2"/>
    <tableColumn id="8157" xr3:uid="{4578F909-820A-44B2-B89F-4FA9B39B24B9}" name="Column8142" dataCellStyle="Normal 2"/>
    <tableColumn id="8158" xr3:uid="{8A59E26C-49F4-4739-9D9B-80101EF80717}" name="Column8143" dataCellStyle="Normal 2"/>
    <tableColumn id="8159" xr3:uid="{79D71C60-0A1C-4519-9453-DBE1BA4DAB84}" name="Column8144" dataCellStyle="Normal 2"/>
    <tableColumn id="8160" xr3:uid="{142CE0D0-5C64-4188-B38D-B3D8E803A268}" name="Column8145" dataCellStyle="Normal 2"/>
    <tableColumn id="8161" xr3:uid="{D6304548-0AB2-4C1A-8851-0A6560C4C30B}" name="Column8146" dataCellStyle="Normal 2"/>
    <tableColumn id="8162" xr3:uid="{81E08B10-0B38-4857-8000-5FB5631AC06A}" name="Column8147" dataCellStyle="Normal 2"/>
    <tableColumn id="8163" xr3:uid="{3DC22F53-2984-42BD-9EDA-F9DB14452B49}" name="Column8148" dataCellStyle="Normal 2"/>
    <tableColumn id="8164" xr3:uid="{47F4673D-391E-4349-8611-BB1134E064D8}" name="Column8149" dataCellStyle="Normal 2"/>
    <tableColumn id="8165" xr3:uid="{0B5A044B-A23F-43EF-8A1E-70A166C4C1DD}" name="Column8150" dataCellStyle="Normal 2"/>
    <tableColumn id="8166" xr3:uid="{8B55AF20-8DA6-4090-B334-D7714A36F855}" name="Column8151" dataCellStyle="Normal 2"/>
    <tableColumn id="8167" xr3:uid="{1C75564D-0FB2-4314-860C-5C7D74D21671}" name="Column8152" dataCellStyle="Normal 2"/>
    <tableColumn id="8168" xr3:uid="{1EF7BF45-B9F5-4854-9166-E114B3AA581F}" name="Column8153" dataCellStyle="Normal 2"/>
    <tableColumn id="8169" xr3:uid="{713CBEE5-A074-4B47-9B39-285B21B6E142}" name="Column8154" dataCellStyle="Normal 2"/>
    <tableColumn id="8170" xr3:uid="{9913B81D-7160-438B-8253-3BB4EA0CCB3E}" name="Column8155" dataCellStyle="Normal 2"/>
    <tableColumn id="8171" xr3:uid="{37E22711-5F7C-4EF9-8A9D-0AC9F0FAB8BE}" name="Column8156" dataCellStyle="Normal 2"/>
    <tableColumn id="8172" xr3:uid="{680955A5-EC3A-4DFE-AA3F-8C989F2CC459}" name="Column8157" dataCellStyle="Normal 2"/>
    <tableColumn id="8173" xr3:uid="{BD1B254C-50ED-46F9-A078-E4D2B24F2548}" name="Column8158" dataCellStyle="Normal 2"/>
    <tableColumn id="8174" xr3:uid="{309ACECF-5DB6-45A3-AD8F-3BB73290E2EC}" name="Column8159" dataCellStyle="Normal 2"/>
    <tableColumn id="8175" xr3:uid="{0FAD15B7-0403-4BC0-99D6-22BB2EC5E6C6}" name="Column8160" dataCellStyle="Normal 2"/>
    <tableColumn id="8176" xr3:uid="{8181D2C4-B7AC-4D90-BFEE-3E1E2E051BF9}" name="Column8161" dataCellStyle="Normal 2"/>
    <tableColumn id="8177" xr3:uid="{F8A36C8C-75F3-4DCF-AD81-20F26EBFB7A7}" name="Column8162" dataCellStyle="Normal 2"/>
    <tableColumn id="8178" xr3:uid="{A2784B4A-CB3F-4864-85D5-2E6C6632C217}" name="Column8163" dataCellStyle="Normal 2"/>
    <tableColumn id="8179" xr3:uid="{BC1E5642-0F8D-4F76-A98A-679AF754CEA2}" name="Column8164" dataCellStyle="Normal 2"/>
    <tableColumn id="8180" xr3:uid="{A364E75B-5B36-4147-B45A-C685646352F9}" name="Column8165" dataCellStyle="Normal 2"/>
    <tableColumn id="8181" xr3:uid="{934F1AAB-8398-4BB4-8ABF-07C967B3832A}" name="Column8166" dataCellStyle="Normal 2"/>
    <tableColumn id="8182" xr3:uid="{D5B1B96E-F85D-4460-8463-65A4BB904501}" name="Column8167" dataCellStyle="Normal 2"/>
    <tableColumn id="8183" xr3:uid="{03C3129C-C867-4673-B794-BE432EB8E195}" name="Column8168" dataCellStyle="Normal 2"/>
    <tableColumn id="8184" xr3:uid="{893B0ED8-65B0-4965-810B-C46EC0B38721}" name="Column8169" dataCellStyle="Normal 2"/>
    <tableColumn id="8185" xr3:uid="{F9D80E5B-3743-4033-92E6-D2143672A121}" name="Column8170" dataCellStyle="Normal 2"/>
    <tableColumn id="8186" xr3:uid="{EFD77C18-972C-4F4C-97C3-DB98B0A7D22E}" name="Column8171" dataCellStyle="Normal 2"/>
    <tableColumn id="8187" xr3:uid="{C024CF9B-7B3E-4076-BF86-BF4795FFCED8}" name="Column8172" dataCellStyle="Normal 2"/>
    <tableColumn id="8188" xr3:uid="{0E06C9E4-DBD8-41FD-8F38-452074B1A638}" name="Column8173" dataCellStyle="Normal 2"/>
    <tableColumn id="8189" xr3:uid="{EE1CC787-68DD-4A67-B628-FF370BD3FA68}" name="Column8174" dataCellStyle="Normal 2"/>
    <tableColumn id="8190" xr3:uid="{16F4FCAE-53E9-4D36-B260-966E74D1BB58}" name="Column8175" dataCellStyle="Normal 2"/>
    <tableColumn id="8191" xr3:uid="{6105453A-E12F-4E89-997D-82E384C2F418}" name="Column8176" dataCellStyle="Normal 2"/>
    <tableColumn id="8192" xr3:uid="{478A87A5-5AF7-4280-8EAC-D57F7A191995}" name="Column8177" dataCellStyle="Normal 2"/>
    <tableColumn id="8193" xr3:uid="{CF717B4B-5B57-483D-8F43-455C9A9DD43F}" name="Column8178" dataCellStyle="Normal 2"/>
    <tableColumn id="8194" xr3:uid="{85697C28-9F68-4D84-841D-AD300B884DDD}" name="Column8179" dataCellStyle="Normal 2"/>
    <tableColumn id="8195" xr3:uid="{10BB307F-6EB2-497B-9BB9-502D3E402667}" name="Column8180" dataCellStyle="Normal 2"/>
    <tableColumn id="8196" xr3:uid="{119F4D67-DD41-4754-8B84-EE14399CBB9F}" name="Column8181" dataCellStyle="Normal 2"/>
    <tableColumn id="8197" xr3:uid="{B128E24E-7BAE-49F6-AF37-921791F5F432}" name="Column8182" dataCellStyle="Normal 2"/>
    <tableColumn id="8198" xr3:uid="{ED52B1EA-024A-480B-999D-ACCE0AC477A6}" name="Column8183" dataCellStyle="Normal 2"/>
    <tableColumn id="8199" xr3:uid="{204C2D02-63BE-483A-AA61-4F07C0437AFE}" name="Column8184" dataCellStyle="Normal 2"/>
    <tableColumn id="8200" xr3:uid="{3FAC6D23-4D98-44E0-A8C2-45997374C2B6}" name="Column8185" dataCellStyle="Normal 2"/>
    <tableColumn id="8201" xr3:uid="{10740232-D8D8-46D0-952C-C6DD7622941C}" name="Column8186" dataCellStyle="Normal 2"/>
    <tableColumn id="8202" xr3:uid="{CB3F2435-25EB-4300-9903-DE92BAA09FF0}" name="Column8187" dataCellStyle="Normal 2"/>
    <tableColumn id="8203" xr3:uid="{ACAACC77-003F-4703-88DF-A77DBB6DE5B3}" name="Column8188" dataCellStyle="Normal 2"/>
    <tableColumn id="8204" xr3:uid="{0E8AF424-767F-4826-816F-CD926A52465D}" name="Column8189" dataCellStyle="Normal 2"/>
    <tableColumn id="8205" xr3:uid="{A43098CB-6E1F-46AA-B31C-2EC8FFA4D005}" name="Column8190" dataCellStyle="Normal 2"/>
    <tableColumn id="8206" xr3:uid="{0CCC8798-4735-4764-A0B8-EB415B4776F2}" name="Column8191" dataCellStyle="Normal 2"/>
    <tableColumn id="8207" xr3:uid="{782CF133-24AF-4559-AE5D-7E42EB95612C}" name="Column8192" dataCellStyle="Normal 2"/>
    <tableColumn id="8208" xr3:uid="{B3D9AE59-AA63-4854-B95D-0B4B38F95DA1}" name="Column8193" dataCellStyle="Normal 2"/>
    <tableColumn id="8209" xr3:uid="{557BF6B7-0658-40CE-B026-7EFACC80F2B9}" name="Column8194" dataCellStyle="Normal 2"/>
    <tableColumn id="8210" xr3:uid="{D38BC4DD-2321-42E0-BF81-0F53DFD3859F}" name="Column8195" dataCellStyle="Normal 2"/>
    <tableColumn id="8211" xr3:uid="{485B307C-CEE4-4477-A348-657C227FE4AC}" name="Column8196" dataCellStyle="Normal 2"/>
    <tableColumn id="8212" xr3:uid="{21547435-66EC-431B-A0AA-1024D832A697}" name="Column8197" dataCellStyle="Normal 2"/>
    <tableColumn id="8213" xr3:uid="{832B94F5-B9C7-4DE3-8B28-74AF76191E90}" name="Column8198" dataCellStyle="Normal 2"/>
    <tableColumn id="8214" xr3:uid="{D07B1BB5-8B28-4A7A-AA10-DA2BA860A014}" name="Column8199" dataCellStyle="Normal 2"/>
    <tableColumn id="8215" xr3:uid="{A509133F-ED2D-4A82-808B-13F726BD6E57}" name="Column8200" dataCellStyle="Normal 2"/>
    <tableColumn id="8216" xr3:uid="{E8906619-E986-4DBB-AC89-C15082F4E0D0}" name="Column8201" dataCellStyle="Normal 2"/>
    <tableColumn id="8217" xr3:uid="{AD87B1E6-FA2E-4D16-8B18-792282C969E9}" name="Column8202" dataCellStyle="Normal 2"/>
    <tableColumn id="8218" xr3:uid="{5EF78C84-D465-4711-A9DD-F29917F96664}" name="Column8203" dataCellStyle="Normal 2"/>
    <tableColumn id="8219" xr3:uid="{C4E19BC2-2299-4BE3-A2EB-0BF6E49085B4}" name="Column8204" dataCellStyle="Normal 2"/>
    <tableColumn id="8220" xr3:uid="{7B8295A4-6504-4E5D-923C-950E444D0016}" name="Column8205" dataCellStyle="Normal 2"/>
    <tableColumn id="8221" xr3:uid="{C0002B85-8983-46D8-B3FF-B110D9757E44}" name="Column8206" dataCellStyle="Normal 2"/>
    <tableColumn id="8222" xr3:uid="{3BF5AC00-088D-4A2F-A471-0EFA74BAAFFB}" name="Column8207" dataCellStyle="Normal 2"/>
    <tableColumn id="8223" xr3:uid="{BAFB461D-8F9A-4B62-B568-9774CBF0C842}" name="Column8208" dataCellStyle="Normal 2"/>
    <tableColumn id="8224" xr3:uid="{6C136D36-E130-4D9E-9BCA-8CD08B06FEE5}" name="Column8209" dataCellStyle="Normal 2"/>
    <tableColumn id="8225" xr3:uid="{B688025F-B16F-4EDF-9CAD-0E8FF9CBBA0C}" name="Column8210" dataCellStyle="Normal 2"/>
    <tableColumn id="8226" xr3:uid="{E49B4E2D-A376-474F-9560-860ABE2A697F}" name="Column8211" dataCellStyle="Normal 2"/>
    <tableColumn id="8227" xr3:uid="{40885137-0286-4B4B-AAF7-CD8FD461F89E}" name="Column8212" dataCellStyle="Normal 2"/>
    <tableColumn id="8228" xr3:uid="{965424DA-102B-40F5-8B39-0BD3AFE7FD82}" name="Column8213" dataCellStyle="Normal 2"/>
    <tableColumn id="8229" xr3:uid="{E75E2CE7-128B-4467-A1DE-5E390B1C59FB}" name="Column8214" dataCellStyle="Normal 2"/>
    <tableColumn id="8230" xr3:uid="{B71BAC39-0128-4D7A-B98E-4146B615ACB3}" name="Column8215" dataCellStyle="Normal 2"/>
    <tableColumn id="8231" xr3:uid="{E49D6858-D6A5-43EC-B578-7E58295A02DA}" name="Column8216" dataCellStyle="Normal 2"/>
    <tableColumn id="8232" xr3:uid="{7D7D4DBC-E1AF-48CF-B13A-379D54DCCFE9}" name="Column8217" dataCellStyle="Normal 2"/>
    <tableColumn id="8233" xr3:uid="{0D45934F-78CA-4823-A608-5F5629EECB00}" name="Column8218" dataCellStyle="Normal 2"/>
    <tableColumn id="8234" xr3:uid="{A7487154-38EE-46FF-920F-4FE0573684AD}" name="Column8219" dataCellStyle="Normal 2"/>
    <tableColumn id="8235" xr3:uid="{DC9354DC-91A1-46CB-A14B-955865E58C39}" name="Column8220" dataCellStyle="Normal 2"/>
    <tableColumn id="8236" xr3:uid="{5D6257AA-531A-48C7-857C-B91AD430A308}" name="Column8221" dataCellStyle="Normal 2"/>
    <tableColumn id="8237" xr3:uid="{562777D8-515F-4BAB-B964-A9F8C6CF8CAD}" name="Column8222" dataCellStyle="Normal 2"/>
    <tableColumn id="8238" xr3:uid="{31E575BF-8110-4BF5-A7C2-296B2E043CCA}" name="Column8223" dataCellStyle="Normal 2"/>
    <tableColumn id="8239" xr3:uid="{F25517D2-8700-4386-A00D-25F79D23130D}" name="Column8224" dataCellStyle="Normal 2"/>
    <tableColumn id="8240" xr3:uid="{74B66EA6-4DC3-48FB-A590-195ED3D6EA31}" name="Column8225" dataCellStyle="Normal 2"/>
    <tableColumn id="8241" xr3:uid="{D41D465D-7862-4DE6-978F-92D626FC46BC}" name="Column8226" dataCellStyle="Normal 2"/>
    <tableColumn id="8242" xr3:uid="{368FEF7B-E4BA-4BA1-A760-461ECFB24BCE}" name="Column8227" dataCellStyle="Normal 2"/>
    <tableColumn id="8243" xr3:uid="{F0660C28-01DD-4A8C-AE4E-F150FD607CE7}" name="Column8228" dataCellStyle="Normal 2"/>
    <tableColumn id="8244" xr3:uid="{A929FE36-F988-4FFA-ACFD-BF9D4660D634}" name="Column8229" dataCellStyle="Normal 2"/>
    <tableColumn id="8245" xr3:uid="{B30EF3DE-4EAF-4060-9AF4-30852FE14E46}" name="Column8230" dataCellStyle="Normal 2"/>
    <tableColumn id="8246" xr3:uid="{249D95B0-2FC0-4C24-85AD-CB7849E46BA3}" name="Column8231" dataCellStyle="Normal 2"/>
    <tableColumn id="8247" xr3:uid="{3F1D95D8-A7EA-4A80-8FE3-36C97DD9EB7D}" name="Column8232" dataCellStyle="Normal 2"/>
    <tableColumn id="8248" xr3:uid="{608969F0-4C12-4044-A0FD-C3A10FD1544F}" name="Column8233" dataCellStyle="Normal 2"/>
    <tableColumn id="8249" xr3:uid="{48A891B0-25F2-4588-9333-AC88C39417D7}" name="Column8234" dataCellStyle="Normal 2"/>
    <tableColumn id="8250" xr3:uid="{51C3F8E2-6663-4B5E-8D48-37FDCEBCD33C}" name="Column8235" dataCellStyle="Normal 2"/>
    <tableColumn id="8251" xr3:uid="{4BED4243-B9B3-4FB7-B4EC-2BEEF0D7886A}" name="Column8236" dataCellStyle="Normal 2"/>
    <tableColumn id="8252" xr3:uid="{551965AD-1DC9-40C1-8A05-E82DB6C34F58}" name="Column8237" dataCellStyle="Normal 2"/>
    <tableColumn id="8253" xr3:uid="{BB17F86A-876B-4750-B7D0-8E5B67AF5DEB}" name="Column8238" dataCellStyle="Normal 2"/>
    <tableColumn id="8254" xr3:uid="{BA7F88D7-D090-4F58-B83F-EBF1237BA96D}" name="Column8239" dataCellStyle="Normal 2"/>
    <tableColumn id="8255" xr3:uid="{EF1502BC-D692-4A92-AD77-BC445C492807}" name="Column8240" dataCellStyle="Normal 2"/>
    <tableColumn id="8256" xr3:uid="{2130EB7B-45B8-4CFC-B903-FEE48C848733}" name="Column8241" dataCellStyle="Normal 2"/>
    <tableColumn id="8257" xr3:uid="{1EBECE26-32ED-4A64-BA64-F31E6421668A}" name="Column8242" dataCellStyle="Normal 2"/>
    <tableColumn id="8258" xr3:uid="{4ABD0A6B-CC9F-4F32-B0AE-10BEDF77609B}" name="Column8243" dataCellStyle="Normal 2"/>
    <tableColumn id="8259" xr3:uid="{848C4EE3-3859-408B-8EBB-186E6AC9367C}" name="Column8244" dataCellStyle="Normal 2"/>
    <tableColumn id="8260" xr3:uid="{A58CB2CA-AFDB-4F0B-8599-C81F5EA1C310}" name="Column8245" dataCellStyle="Normal 2"/>
    <tableColumn id="8261" xr3:uid="{EAA91E2D-02C1-4B26-B9B5-9B610C4B7C40}" name="Column8246" dataCellStyle="Normal 2"/>
    <tableColumn id="8262" xr3:uid="{4E804A44-2CEF-4560-8234-648395AADD03}" name="Column8247" dataCellStyle="Normal 2"/>
    <tableColumn id="8263" xr3:uid="{9F08FF0F-173A-4619-A42A-3A9B6C9B8CC1}" name="Column8248" dataCellStyle="Normal 2"/>
    <tableColumn id="8264" xr3:uid="{2FC831C6-DF8F-474B-8FAE-AAC0041BA0CA}" name="Column8249" dataCellStyle="Normal 2"/>
    <tableColumn id="8265" xr3:uid="{34F8F9A1-A171-4DE0-B031-FF022B178FA5}" name="Column8250" dataCellStyle="Normal 2"/>
    <tableColumn id="8266" xr3:uid="{98741F94-2828-41F3-8D06-CF5BA56C3986}" name="Column8251" dataCellStyle="Normal 2"/>
    <tableColumn id="8267" xr3:uid="{245482D6-48B2-464F-A19F-B5E1877D0C7B}" name="Column8252" dataCellStyle="Normal 2"/>
    <tableColumn id="8268" xr3:uid="{9DFFB64C-EFAF-405E-BB91-20713D409F01}" name="Column8253" dataCellStyle="Normal 2"/>
    <tableColumn id="8269" xr3:uid="{239DDF20-D4E5-434E-8FDF-4C640D6C91D8}" name="Column8254" dataCellStyle="Normal 2"/>
    <tableColumn id="8270" xr3:uid="{DA9813FE-8230-413D-8EC7-36E9F96C3231}" name="Column8255" dataCellStyle="Normal 2"/>
    <tableColumn id="8271" xr3:uid="{E8EB7745-7921-48ED-9916-00ACF4B91057}" name="Column8256" dataCellStyle="Normal 2"/>
    <tableColumn id="8272" xr3:uid="{9A8299C7-2768-4434-B857-63457B9240BF}" name="Column8257" dataCellStyle="Normal 2"/>
    <tableColumn id="8273" xr3:uid="{AA3EBA88-1F39-4AED-9A58-8B9D1CC3922B}" name="Column8258" dataCellStyle="Normal 2"/>
    <tableColumn id="8274" xr3:uid="{5A9251C1-DCAF-4004-9B86-4FA43E65C256}" name="Column8259" dataCellStyle="Normal 2"/>
    <tableColumn id="8275" xr3:uid="{8BA01DF6-5427-4D34-BBE8-92350824C5B0}" name="Column8260" dataCellStyle="Normal 2"/>
    <tableColumn id="8276" xr3:uid="{B02FEF58-F6A8-43D1-AF4E-8BB4C8FDC1B2}" name="Column8261" dataCellStyle="Normal 2"/>
    <tableColumn id="8277" xr3:uid="{AAB7090B-07D6-4798-9405-6C115C656373}" name="Column8262" dataCellStyle="Normal 2"/>
    <tableColumn id="8278" xr3:uid="{39B28375-5F23-476E-8D1A-A565EAA5D581}" name="Column8263" dataCellStyle="Normal 2"/>
    <tableColumn id="8279" xr3:uid="{C7E7017C-21F5-4851-996B-90F7349DA189}" name="Column8264" dataCellStyle="Normal 2"/>
    <tableColumn id="8280" xr3:uid="{1E1111E1-22C9-4047-883F-CAFD0BA85BF5}" name="Column8265" dataCellStyle="Normal 2"/>
    <tableColumn id="8281" xr3:uid="{14D1E3D8-D618-42FE-908E-FA116A99EB4B}" name="Column8266" dataCellStyle="Normal 2"/>
    <tableColumn id="8282" xr3:uid="{496916AC-90E6-4179-99DB-6E3A10D804A1}" name="Column8267" dataCellStyle="Normal 2"/>
    <tableColumn id="8283" xr3:uid="{3D504C0D-0214-40F1-9C16-58F949B234B6}" name="Column8268" dataCellStyle="Normal 2"/>
    <tableColumn id="8284" xr3:uid="{970E8E61-80F2-45D1-86B9-70AD7591B310}" name="Column8269" dataCellStyle="Normal 2"/>
    <tableColumn id="8285" xr3:uid="{90CB3B2A-A799-4D58-8B0E-B3D4D1FF8B19}" name="Column8270" dataCellStyle="Normal 2"/>
    <tableColumn id="8286" xr3:uid="{C2A9E66B-600E-420A-9C6B-3C605820766A}" name="Column8271" dataCellStyle="Normal 2"/>
    <tableColumn id="8287" xr3:uid="{DC6AA67B-8D5D-4ED9-82C9-080ED77E9DA6}" name="Column8272" dataCellStyle="Normal 2"/>
    <tableColumn id="8288" xr3:uid="{56D8757D-B7FD-44FC-B9BA-07A8165E0415}" name="Column8273" dataCellStyle="Normal 2"/>
    <tableColumn id="8289" xr3:uid="{0C66CC33-72A0-4C23-BF38-A6B8FF9857EC}" name="Column8274" dataCellStyle="Normal 2"/>
    <tableColumn id="8290" xr3:uid="{A4871EC6-5E00-453E-A8BD-A1A162C71AAC}" name="Column8275" dataCellStyle="Normal 2"/>
    <tableColumn id="8291" xr3:uid="{3532C06F-A2DD-45BF-8483-A1476531DB8F}" name="Column8276" dataCellStyle="Normal 2"/>
    <tableColumn id="8292" xr3:uid="{4259AF42-BDA0-4BFE-AD56-9C72B1E200C1}" name="Column8277" dataCellStyle="Normal 2"/>
    <tableColumn id="8293" xr3:uid="{67249EEB-1B97-41E4-9C76-B831178BAE60}" name="Column8278" dataCellStyle="Normal 2"/>
    <tableColumn id="8294" xr3:uid="{4F89AF88-F2C1-44AF-AC8A-2E720FDD57D3}" name="Column8279" dataCellStyle="Normal 2"/>
    <tableColumn id="8295" xr3:uid="{5DC57ADD-0057-4EF8-B9FA-6B2FE402DE66}" name="Column8280" dataCellStyle="Normal 2"/>
    <tableColumn id="8296" xr3:uid="{F523A8CA-835F-49F4-BD94-C2F26D72A80F}" name="Column8281" dataCellStyle="Normal 2"/>
    <tableColumn id="8297" xr3:uid="{454100A4-3336-4D3B-BFA9-4735499F494E}" name="Column8282" dataCellStyle="Normal 2"/>
    <tableColumn id="8298" xr3:uid="{011F2C3C-726A-47B0-AF17-17B246EDBDC8}" name="Column8283" dataCellStyle="Normal 2"/>
    <tableColumn id="8299" xr3:uid="{40EF2826-EDA2-46C0-8491-8EAAF32AC72E}" name="Column8284" dataCellStyle="Normal 2"/>
    <tableColumn id="8300" xr3:uid="{749B76E4-82A5-43B6-87B7-CFF140FC61AE}" name="Column8285" dataCellStyle="Normal 2"/>
    <tableColumn id="8301" xr3:uid="{FD2DAC68-13D6-4FA7-99F4-BA06B589ADDE}" name="Column8286" dataCellStyle="Normal 2"/>
    <tableColumn id="8302" xr3:uid="{5339B5D1-7482-4204-9A5E-FFE026015AB6}" name="Column8287" dataCellStyle="Normal 2"/>
    <tableColumn id="8303" xr3:uid="{D095EB0C-F2A6-459F-8031-5D5F44040715}" name="Column8288" dataCellStyle="Normal 2"/>
    <tableColumn id="8304" xr3:uid="{3A99ACAF-5869-410D-B1B1-1A5C282392EB}" name="Column8289" dataCellStyle="Normal 2"/>
    <tableColumn id="8305" xr3:uid="{CFE417EE-0C98-4A00-9ADC-53993C8623A8}" name="Column8290" dataCellStyle="Normal 2"/>
    <tableColumn id="8306" xr3:uid="{45BD2E54-E417-4DB9-A957-844EFB67DF7D}" name="Column8291" dataCellStyle="Normal 2"/>
    <tableColumn id="8307" xr3:uid="{1FECDD11-5B05-41BB-8E1A-837BD33A1985}" name="Column8292" dataCellStyle="Normal 2"/>
    <tableColumn id="8308" xr3:uid="{6916D0F6-9CB1-4C5C-984D-15BE0FDF66C6}" name="Column8293" dataCellStyle="Normal 2"/>
    <tableColumn id="8309" xr3:uid="{6B2FD5B5-5CB5-466D-808E-5E64942F8894}" name="Column8294" dataCellStyle="Normal 2"/>
    <tableColumn id="8310" xr3:uid="{7E12CD3B-23B6-4E11-9D3B-508BE30E92BE}" name="Column8295" dataCellStyle="Normal 2"/>
    <tableColumn id="8311" xr3:uid="{1BFD25A3-CF33-4D47-8959-DDC7B65CC161}" name="Column8296" dataCellStyle="Normal 2"/>
    <tableColumn id="8312" xr3:uid="{54D62A01-F13B-45C6-A906-73D03D3B42D6}" name="Column8297" dataCellStyle="Normal 2"/>
    <tableColumn id="8313" xr3:uid="{E98940ED-EF26-4A6D-811F-79CE281B1F40}" name="Column8298" dataCellStyle="Normal 2"/>
    <tableColumn id="8314" xr3:uid="{0F0C2AE5-F9C3-4F00-9646-7F05B21CA5B3}" name="Column8299" dataCellStyle="Normal 2"/>
    <tableColumn id="8315" xr3:uid="{1B78412E-32A4-4303-8B29-6CDEDB5C4AD6}" name="Column8300" dataCellStyle="Normal 2"/>
    <tableColumn id="8316" xr3:uid="{BC613855-5485-4D5C-9D7E-4AA4DD38D620}" name="Column8301" dataCellStyle="Normal 2"/>
    <tableColumn id="8317" xr3:uid="{127E9516-34CC-49D5-A20D-BCF27DCC9B5B}" name="Column8302" dataCellStyle="Normal 2"/>
    <tableColumn id="8318" xr3:uid="{89160E72-4967-49B6-B85D-57177CF2E558}" name="Column8303" dataCellStyle="Normal 2"/>
    <tableColumn id="8319" xr3:uid="{527D774C-BB81-4D00-94AC-B4BD7E445210}" name="Column8304" dataCellStyle="Normal 2"/>
    <tableColumn id="8320" xr3:uid="{1EB3D730-DF7A-46BF-AA06-EB0178A9E59D}" name="Column8305" dataCellStyle="Normal 2"/>
    <tableColumn id="8321" xr3:uid="{3994D278-A74A-417E-A3AE-048001ABCC6D}" name="Column8306" dataCellStyle="Normal 2"/>
    <tableColumn id="8322" xr3:uid="{27955967-DC58-4896-BBEC-CCED4C423869}" name="Column8307" dataCellStyle="Normal 2"/>
    <tableColumn id="8323" xr3:uid="{2582E7D1-8C1F-4872-9207-D62F4EA16320}" name="Column8308" dataCellStyle="Normal 2"/>
    <tableColumn id="8324" xr3:uid="{ABB29622-C8CD-453F-9CF5-99E0E58463E4}" name="Column8309" dataCellStyle="Normal 2"/>
    <tableColumn id="8325" xr3:uid="{E161C64D-0F75-4AF8-AC02-BE5938D8B5A9}" name="Column8310" dataCellStyle="Normal 2"/>
    <tableColumn id="8326" xr3:uid="{CE59DD77-C205-481A-A28A-B6210BAA375C}" name="Column8311" dataCellStyle="Normal 2"/>
    <tableColumn id="8327" xr3:uid="{77FA9BB0-43FC-430D-8D72-B0E6345513C7}" name="Column8312" dataCellStyle="Normal 2"/>
    <tableColumn id="8328" xr3:uid="{543FA8CC-8EDA-436A-A16A-0DA132C42246}" name="Column8313" dataCellStyle="Normal 2"/>
    <tableColumn id="8329" xr3:uid="{06B32FE7-34FB-45FD-BC13-88E0CB42559D}" name="Column8314" dataCellStyle="Normal 2"/>
    <tableColumn id="8330" xr3:uid="{CBE45DBB-55DE-4123-86C1-E50A1B25E6E6}" name="Column8315" dataCellStyle="Normal 2"/>
    <tableColumn id="8331" xr3:uid="{EBE7064F-7400-4F4D-9EE9-7D798EEA5095}" name="Column8316" dataCellStyle="Normal 2"/>
    <tableColumn id="8332" xr3:uid="{DFF7A80F-D95A-464B-B601-C0AE94F6D025}" name="Column8317" dataCellStyle="Normal 2"/>
    <tableColumn id="8333" xr3:uid="{C61C5F46-CFA1-453E-AFC4-C23632EF3F70}" name="Column8318" dataCellStyle="Normal 2"/>
    <tableColumn id="8334" xr3:uid="{9F5613F4-A505-4642-A69F-F5A21BB6D1A6}" name="Column8319" dataCellStyle="Normal 2"/>
    <tableColumn id="8335" xr3:uid="{67C06D0F-9E41-4E59-83B6-BEC513CFD7EF}" name="Column8320" dataCellStyle="Normal 2"/>
    <tableColumn id="8336" xr3:uid="{694AA20F-13F7-4340-AF82-9BDAF3E62FC5}" name="Column8321" dataCellStyle="Normal 2"/>
    <tableColumn id="8337" xr3:uid="{72C1F7B4-3E38-494E-AFA7-FFA7B23AE401}" name="Column8322" dataCellStyle="Normal 2"/>
    <tableColumn id="8338" xr3:uid="{F03E55EA-F6EF-4BD6-8074-12D3714D9A7C}" name="Column8323" dataCellStyle="Normal 2"/>
    <tableColumn id="8339" xr3:uid="{5E005E9E-3E57-4523-81AA-F7A04E3CAF87}" name="Column8324" dataCellStyle="Normal 2"/>
    <tableColumn id="8340" xr3:uid="{9D4F2E72-46DD-4569-AD05-DD5406D98DB6}" name="Column8325" dataCellStyle="Normal 2"/>
    <tableColumn id="8341" xr3:uid="{E6FC213E-0F08-4880-9CAA-D2F9D705BB81}" name="Column8326" dataCellStyle="Normal 2"/>
    <tableColumn id="8342" xr3:uid="{AF50D3E1-8A52-4DBA-9B06-09BEC4D196FB}" name="Column8327" dataCellStyle="Normal 2"/>
    <tableColumn id="8343" xr3:uid="{CAE15E85-EBB1-4683-B99A-E13D659CB1D6}" name="Column8328" dataCellStyle="Normal 2"/>
    <tableColumn id="8344" xr3:uid="{48DC7F3D-BC76-43DB-8F6A-45FD48E0828E}" name="Column8329" dataCellStyle="Normal 2"/>
    <tableColumn id="8345" xr3:uid="{C525E410-1ED1-4C48-8096-2A001187710A}" name="Column8330" dataCellStyle="Normal 2"/>
    <tableColumn id="8346" xr3:uid="{484A270A-2010-416C-9EEB-669F58F716FB}" name="Column8331" dataCellStyle="Normal 2"/>
    <tableColumn id="8347" xr3:uid="{FA4E8766-2EFD-4C10-9E90-F8EE6D3C2DF1}" name="Column8332" dataCellStyle="Normal 2"/>
    <tableColumn id="8348" xr3:uid="{80DA3571-5753-43A2-9CD2-10076002C06A}" name="Column8333" dataCellStyle="Normal 2"/>
    <tableColumn id="8349" xr3:uid="{910B3FFB-B51A-4A87-973B-924A214E86E8}" name="Column8334" dataCellStyle="Normal 2"/>
    <tableColumn id="8350" xr3:uid="{D43B2495-41F9-4C1C-83C0-19E696DA0F41}" name="Column8335" dataCellStyle="Normal 2"/>
    <tableColumn id="8351" xr3:uid="{BD74826E-34A9-48AF-805E-83F02242384B}" name="Column8336" dataCellStyle="Normal 2"/>
    <tableColumn id="8352" xr3:uid="{2B76AB4B-E36E-42AB-A590-A83EE37285AB}" name="Column8337" dataCellStyle="Normal 2"/>
    <tableColumn id="8353" xr3:uid="{2CE7DDA8-05BF-481C-9E75-D5C4219C3DE5}" name="Column8338" dataCellStyle="Normal 2"/>
    <tableColumn id="8354" xr3:uid="{C4B038EB-CECC-40D7-AE94-0C4DFF4089FE}" name="Column8339" dataCellStyle="Normal 2"/>
    <tableColumn id="8355" xr3:uid="{B1935579-491E-4C82-8F74-31343B907E35}" name="Column8340" dataCellStyle="Normal 2"/>
    <tableColumn id="8356" xr3:uid="{AF7F8C13-5333-4C3C-9E7C-1D1C7E805492}" name="Column8341" dataCellStyle="Normal 2"/>
    <tableColumn id="8357" xr3:uid="{F03247E7-39B4-49FD-8B31-739C48FF0BDD}" name="Column8342" dataCellStyle="Normal 2"/>
    <tableColumn id="8358" xr3:uid="{7D836B25-EB15-4838-BB5C-54E1C7669837}" name="Column8343" dataCellStyle="Normal 2"/>
    <tableColumn id="8359" xr3:uid="{046E5F32-70F9-44BB-9E16-2C3F8576E214}" name="Column8344" dataCellStyle="Normal 2"/>
    <tableColumn id="8360" xr3:uid="{64BCDC98-2777-4F99-A8C6-C32D36B504F6}" name="Column8345" dataCellStyle="Normal 2"/>
    <tableColumn id="8361" xr3:uid="{4B2A07C1-8816-4DCB-9204-24191B13BC8B}" name="Column8346" dataCellStyle="Normal 2"/>
    <tableColumn id="8362" xr3:uid="{53D8CA8B-9CA0-4BCD-A184-771A4EB3E217}" name="Column8347" dataCellStyle="Normal 2"/>
    <tableColumn id="8363" xr3:uid="{0239110E-8F39-4CD3-9D43-CC2127E17335}" name="Column8348" dataCellStyle="Normal 2"/>
    <tableColumn id="8364" xr3:uid="{1B39C447-14BE-43C1-B7FD-F383CB7FA2C7}" name="Column8349" dataCellStyle="Normal 2"/>
    <tableColumn id="8365" xr3:uid="{FBEACEF6-25C1-432D-89E1-0EAC4FBB94D1}" name="Column8350" dataCellStyle="Normal 2"/>
    <tableColumn id="8366" xr3:uid="{4FC1C3FA-72A6-4908-B4A8-0960C3D23411}" name="Column8351" dataCellStyle="Normal 2"/>
    <tableColumn id="8367" xr3:uid="{1EDB30E7-7302-41EF-9E9A-71E24C314608}" name="Column8352" dataCellStyle="Normal 2"/>
    <tableColumn id="8368" xr3:uid="{C8FFAED1-60D0-49CA-B09F-EA553E11E6C2}" name="Column8353" dataCellStyle="Normal 2"/>
    <tableColumn id="8369" xr3:uid="{FD85E02C-D5A9-4AF9-82D8-0DB60628BEDE}" name="Column8354" dataCellStyle="Normal 2"/>
    <tableColumn id="8370" xr3:uid="{CB2A173B-46AF-41DB-8A09-6F622A72C5BF}" name="Column8355" dataCellStyle="Normal 2"/>
    <tableColumn id="8371" xr3:uid="{622A449C-ED4E-4453-8D16-28BE965D622D}" name="Column8356" dataCellStyle="Normal 2"/>
    <tableColumn id="8372" xr3:uid="{54B8162F-0CBE-40BC-9E5A-0DD92A5DF43C}" name="Column8357" dataCellStyle="Normal 2"/>
    <tableColumn id="8373" xr3:uid="{B4811612-F67D-436B-9EC9-4587E9D072FC}" name="Column8358" dataCellStyle="Normal 2"/>
    <tableColumn id="8374" xr3:uid="{AEB6CD4C-EE77-4FDA-BAC2-6F33C751585F}" name="Column8359" dataCellStyle="Normal 2"/>
    <tableColumn id="8375" xr3:uid="{2C4031C6-19AC-4CAA-933F-E252E5F0C353}" name="Column8360" dataCellStyle="Normal 2"/>
    <tableColumn id="8376" xr3:uid="{09416243-C746-4B06-880E-932AEDDF933E}" name="Column8361" dataCellStyle="Normal 2"/>
    <tableColumn id="8377" xr3:uid="{904CB6BD-2F30-49C7-9F6F-546FA7A517FC}" name="Column8362" dataCellStyle="Normal 2"/>
    <tableColumn id="8378" xr3:uid="{F36D7C72-0CA0-4352-8D94-625AC45DB702}" name="Column8363" dataCellStyle="Normal 2"/>
    <tableColumn id="8379" xr3:uid="{C9BE64E0-D75C-44F9-AD5A-8E457E6640D4}" name="Column8364" dataCellStyle="Normal 2"/>
    <tableColumn id="8380" xr3:uid="{F4A07F2E-875B-4E84-AAC6-F4347E84530A}" name="Column8365" dataCellStyle="Normal 2"/>
    <tableColumn id="8381" xr3:uid="{C81BEB70-758F-4D03-B025-C3A4582E8E1F}" name="Column8366" dataCellStyle="Normal 2"/>
    <tableColumn id="8382" xr3:uid="{AEBDE0BB-1DB4-4EC5-B3D6-1CA4A956BB6D}" name="Column8367" dataCellStyle="Normal 2"/>
    <tableColumn id="8383" xr3:uid="{105ED3EB-2DA8-4703-8B6B-5EFC29D053B8}" name="Column8368" dataCellStyle="Normal 2"/>
    <tableColumn id="8384" xr3:uid="{20F6A133-16C3-4BB9-BA75-F45D7D461732}" name="Column8369" dataCellStyle="Normal 2"/>
    <tableColumn id="8385" xr3:uid="{BBB16FD3-DB40-4045-94B5-35AC056079EB}" name="Column8370" dataCellStyle="Normal 2"/>
    <tableColumn id="8386" xr3:uid="{82D61025-9DE4-4D52-9488-D1AAD1D51B61}" name="Column8371" dataCellStyle="Normal 2"/>
    <tableColumn id="8387" xr3:uid="{26253BD4-3AE6-4AB2-ACF4-6A7B5CD68C97}" name="Column8372" dataCellStyle="Normal 2"/>
    <tableColumn id="8388" xr3:uid="{36993F74-D379-4271-BEEF-17BAD7E6EA20}" name="Column8373" dataCellStyle="Normal 2"/>
    <tableColumn id="8389" xr3:uid="{1EBAD644-DA9E-49FA-9D9A-5AA95FB64EBA}" name="Column8374" dataCellStyle="Normal 2"/>
    <tableColumn id="8390" xr3:uid="{9F7CA7F8-FD17-4030-BFBF-D821A6C24B80}" name="Column8375" dataCellStyle="Normal 2"/>
    <tableColumn id="8391" xr3:uid="{C9260D43-CBE3-48C0-8E39-1CB4A0FCF665}" name="Column8376" dataCellStyle="Normal 2"/>
    <tableColumn id="8392" xr3:uid="{CA751FFA-110F-47CF-A1AE-2A57345BA03F}" name="Column8377" dataCellStyle="Normal 2"/>
    <tableColumn id="8393" xr3:uid="{C9FB91D5-D285-426D-9F04-DCA43CB1623F}" name="Column8378" dataCellStyle="Normal 2"/>
    <tableColumn id="8394" xr3:uid="{37F0C985-C60E-4F89-822F-F342DEF5CBCC}" name="Column8379" dataCellStyle="Normal 2"/>
    <tableColumn id="8395" xr3:uid="{B6D23A3D-E035-4405-A621-40729784D21D}" name="Column8380" dataCellStyle="Normal 2"/>
    <tableColumn id="8396" xr3:uid="{7CECB8DE-AE1C-4263-8AC2-6139410F5D69}" name="Column8381" dataCellStyle="Normal 2"/>
    <tableColumn id="8397" xr3:uid="{C5969249-2C65-4248-B23D-135CA72352B1}" name="Column8382" dataCellStyle="Normal 2"/>
    <tableColumn id="8398" xr3:uid="{5FD0056E-EB16-4E31-B698-D5E13FD98063}" name="Column8383" dataCellStyle="Normal 2"/>
    <tableColumn id="8399" xr3:uid="{69D03CAF-4721-4C38-9339-ED18B475015F}" name="Column8384" dataCellStyle="Normal 2"/>
    <tableColumn id="8400" xr3:uid="{0838E888-AB15-4866-B490-8D3C1EAF15AB}" name="Column8385" dataCellStyle="Normal 2"/>
    <tableColumn id="8401" xr3:uid="{0DB2344A-9FE2-449C-B512-64CFE86B345B}" name="Column8386" dataCellStyle="Normal 2"/>
    <tableColumn id="8402" xr3:uid="{E8D153E1-65D2-49F2-8F2F-A9C570728473}" name="Column8387" dataCellStyle="Normal 2"/>
    <tableColumn id="8403" xr3:uid="{2809C450-DF61-4DF3-96D3-4E6CCE1BCC1A}" name="Column8388" dataCellStyle="Normal 2"/>
    <tableColumn id="8404" xr3:uid="{6CD7901F-4028-44C8-8348-5CEE3EA20E2D}" name="Column8389" dataCellStyle="Normal 2"/>
    <tableColumn id="8405" xr3:uid="{B8C27593-8C78-4FA2-9979-397C085ADAA0}" name="Column8390" dataCellStyle="Normal 2"/>
    <tableColumn id="8406" xr3:uid="{69D938F2-A6C1-4784-8BBB-FA5987B12104}" name="Column8391" dataCellStyle="Normal 2"/>
    <tableColumn id="8407" xr3:uid="{852D3B13-4FAB-4D8F-A195-61B7BE6BD31B}" name="Column8392" dataCellStyle="Normal 2"/>
    <tableColumn id="8408" xr3:uid="{32357FFE-DBED-416E-83FF-76E2DC34548E}" name="Column8393" dataCellStyle="Normal 2"/>
    <tableColumn id="8409" xr3:uid="{BB262701-6AC2-4087-959C-74776E7ADDE8}" name="Column8394" dataCellStyle="Normal 2"/>
    <tableColumn id="8410" xr3:uid="{0B8FB7F5-01B5-4648-AF09-555F43DFEA48}" name="Column8395" dataCellStyle="Normal 2"/>
    <tableColumn id="8411" xr3:uid="{80D6D41F-9D38-4D53-972F-3E7895D3BBDA}" name="Column8396" dataCellStyle="Normal 2"/>
    <tableColumn id="8412" xr3:uid="{6954714D-EC2D-4EA7-8046-A58C8D6EF84F}" name="Column8397" dataCellStyle="Normal 2"/>
    <tableColumn id="8413" xr3:uid="{73D2DDDB-EF97-4BD3-BC3E-6C2729B8A861}" name="Column8398" dataCellStyle="Normal 2"/>
    <tableColumn id="8414" xr3:uid="{4C4A5F7A-5264-4DBA-B956-9B662AC78D32}" name="Column8399" dataCellStyle="Normal 2"/>
    <tableColumn id="8415" xr3:uid="{50EBFD33-0C74-419B-B43B-1BA5180788AD}" name="Column8400" dataCellStyle="Normal 2"/>
    <tableColumn id="8416" xr3:uid="{38AE9FC5-C9DF-4E65-9773-809A59482E3C}" name="Column8401" dataCellStyle="Normal 2"/>
    <tableColumn id="8417" xr3:uid="{B615DC45-9C1A-447A-BD45-47B3496D1F52}" name="Column8402" dataCellStyle="Normal 2"/>
    <tableColumn id="8418" xr3:uid="{1C995A50-8D07-420D-883A-94E819671427}" name="Column8403" dataCellStyle="Normal 2"/>
    <tableColumn id="8419" xr3:uid="{2D666A30-18DE-4D39-A804-DF5012857D7B}" name="Column8404" dataCellStyle="Normal 2"/>
    <tableColumn id="8420" xr3:uid="{DD69B471-7FC6-4B23-B7DF-F7CBEC3F2EE9}" name="Column8405" dataCellStyle="Normal 2"/>
    <tableColumn id="8421" xr3:uid="{5A1C9C46-B5F0-4B67-A724-3F782C003256}" name="Column8406" dataCellStyle="Normal 2"/>
    <tableColumn id="8422" xr3:uid="{FAD7D95F-84EF-45F3-922C-A9A964747AAB}" name="Column8407" dataCellStyle="Normal 2"/>
    <tableColumn id="8423" xr3:uid="{AC0B8A56-A882-4C86-AFDD-6A49E02A9254}" name="Column8408" dataCellStyle="Normal 2"/>
    <tableColumn id="8424" xr3:uid="{0F7A26F4-E87F-4E93-B8AF-3053CD739FED}" name="Column8409" dataCellStyle="Normal 2"/>
    <tableColumn id="8425" xr3:uid="{134F1DD3-204C-48C4-B680-604ED06A133A}" name="Column8410" dataCellStyle="Normal 2"/>
    <tableColumn id="8426" xr3:uid="{36C121E3-038C-4C29-BED5-E5C9CAEA9FB3}" name="Column8411" dataCellStyle="Normal 2"/>
    <tableColumn id="8427" xr3:uid="{4EB3A6B1-3C2C-4F90-8DD3-1F2F54EE2068}" name="Column8412" dataCellStyle="Normal 2"/>
    <tableColumn id="8428" xr3:uid="{7B060814-9F50-459E-94C2-BAD7D57E0AA1}" name="Column8413" dataCellStyle="Normal 2"/>
    <tableColumn id="8429" xr3:uid="{43D573FD-D055-4BB4-B51D-0A4E74C732BA}" name="Column8414" dataCellStyle="Normal 2"/>
    <tableColumn id="8430" xr3:uid="{D90ACFC0-948C-4F0A-9D63-38A54E51DB4D}" name="Column8415" dataCellStyle="Normal 2"/>
    <tableColumn id="8431" xr3:uid="{D8614555-AD82-4ECF-9EFA-A8BBC7EE6A13}" name="Column8416" dataCellStyle="Normal 2"/>
    <tableColumn id="8432" xr3:uid="{53F758DF-6081-42D3-A709-E132C2D5525C}" name="Column8417" dataCellStyle="Normal 2"/>
    <tableColumn id="8433" xr3:uid="{12CCE3D7-841D-4018-970D-513701AFA8FB}" name="Column8418" dataCellStyle="Normal 2"/>
    <tableColumn id="8434" xr3:uid="{0248C3EB-BB6E-47CB-947A-C958F9495FE8}" name="Column8419" dataCellStyle="Normal 2"/>
    <tableColumn id="8435" xr3:uid="{48F81876-82C6-4990-B4AA-46EDAA060DE6}" name="Column8420" dataCellStyle="Normal 2"/>
    <tableColumn id="8436" xr3:uid="{DAE92388-0DE4-4962-AC7F-8BB1FE53658C}" name="Column8421" dataCellStyle="Normal 2"/>
    <tableColumn id="8437" xr3:uid="{228D5EF5-3B7F-40F6-8B6E-1F8699BD3550}" name="Column8422" dataCellStyle="Normal 2"/>
    <tableColumn id="8438" xr3:uid="{D745FAE0-01D8-45B3-90D6-8A95C7F80E72}" name="Column8423" dataCellStyle="Normal 2"/>
    <tableColumn id="8439" xr3:uid="{407755E7-C1C0-43FC-A34C-68F08DF37797}" name="Column8424" dataCellStyle="Normal 2"/>
    <tableColumn id="8440" xr3:uid="{A4A50E8B-9C32-47D9-9ADD-23F4CAA4D717}" name="Column8425" dataCellStyle="Normal 2"/>
    <tableColumn id="8441" xr3:uid="{DDD18EC8-70E9-474E-A098-67E287AD4154}" name="Column8426" dataCellStyle="Normal 2"/>
    <tableColumn id="8442" xr3:uid="{BACE446E-94E8-4375-A846-CA70250BB294}" name="Column8427" dataCellStyle="Normal 2"/>
    <tableColumn id="8443" xr3:uid="{BCAD3C7A-C58E-40B6-94BE-DCD517535AC1}" name="Column8428" dataCellStyle="Normal 2"/>
    <tableColumn id="8444" xr3:uid="{284C5CD0-8864-4D63-8CD4-8EC2B50F9D88}" name="Column8429" dataCellStyle="Normal 2"/>
    <tableColumn id="8445" xr3:uid="{612EC996-705F-4372-8A3B-3C7E0F0F4947}" name="Column8430" dataCellStyle="Normal 2"/>
    <tableColumn id="8446" xr3:uid="{4D988D42-84BB-4080-B27C-12342E1128A5}" name="Column8431" dataCellStyle="Normal 2"/>
    <tableColumn id="8447" xr3:uid="{327FDB31-CB6C-406D-82D0-AA9A0D1F0375}" name="Column8432" dataCellStyle="Normal 2"/>
    <tableColumn id="8448" xr3:uid="{B436E48E-AE0B-4C3D-AE6A-B4515809FFBC}" name="Column8433" dataCellStyle="Normal 2"/>
    <tableColumn id="8449" xr3:uid="{5A5D8451-66F4-4E2C-B9B6-4E9A7E47E69E}" name="Column8434" dataCellStyle="Normal 2"/>
    <tableColumn id="8450" xr3:uid="{CC3FC16A-4876-404F-A481-A34E4F466629}" name="Column8435" dataCellStyle="Normal 2"/>
    <tableColumn id="8451" xr3:uid="{DDFD895E-E74B-430F-94B8-CD9438EA7A7B}" name="Column8436" dataCellStyle="Normal 2"/>
    <tableColumn id="8452" xr3:uid="{23C766F7-79F9-46A8-92AB-8689B65C7728}" name="Column8437" dataCellStyle="Normal 2"/>
    <tableColumn id="8453" xr3:uid="{5426EC47-75E6-4A83-9F13-F2597B4BF205}" name="Column8438" dataCellStyle="Normal 2"/>
    <tableColumn id="8454" xr3:uid="{51DF6DA9-D73E-4DE7-85D4-46B0AEFE77BF}" name="Column8439" dataCellStyle="Normal 2"/>
    <tableColumn id="8455" xr3:uid="{882DBA9D-D0A8-49B0-AACD-AC8B8D487798}" name="Column8440" dataCellStyle="Normal 2"/>
    <tableColumn id="8456" xr3:uid="{8E8ECD32-D8C3-4638-821E-6745193058DC}" name="Column8441" dataCellStyle="Normal 2"/>
    <tableColumn id="8457" xr3:uid="{54D69AE0-C1E9-42BC-B6D2-6A9E1D8A69BE}" name="Column8442" dataCellStyle="Normal 2"/>
    <tableColumn id="8458" xr3:uid="{58EFB56D-7BF1-4CCF-B6BC-7828813230E2}" name="Column8443" dataCellStyle="Normal 2"/>
    <tableColumn id="8459" xr3:uid="{E1F6ED20-3B0F-412D-81A3-87BB065A84B7}" name="Column8444" dataCellStyle="Normal 2"/>
    <tableColumn id="8460" xr3:uid="{74218794-BD84-455B-9285-470F8F662586}" name="Column8445" dataCellStyle="Normal 2"/>
    <tableColumn id="8461" xr3:uid="{461E2D98-15A5-4685-95A0-37FFF383637F}" name="Column8446" dataCellStyle="Normal 2"/>
    <tableColumn id="8462" xr3:uid="{D016A417-BAB9-430A-A441-450B70CBD03D}" name="Column8447" dataCellStyle="Normal 2"/>
    <tableColumn id="8463" xr3:uid="{C48349BD-C3ED-446D-8C32-A2FF8ADEBBCD}" name="Column8448" dataCellStyle="Normal 2"/>
    <tableColumn id="8464" xr3:uid="{C978E305-6B9B-4378-B6A4-661005BA6782}" name="Column8449" dataCellStyle="Normal 2"/>
    <tableColumn id="8465" xr3:uid="{07582C37-1FF3-4AB1-9744-C7D17D0A74F4}" name="Column8450" dataCellStyle="Normal 2"/>
    <tableColumn id="8466" xr3:uid="{30B8F910-DDFF-445C-A554-1E7246C24958}" name="Column8451" dataCellStyle="Normal 2"/>
    <tableColumn id="8467" xr3:uid="{B54FF5DD-FE4A-4FFA-AC47-AE2B5527E697}" name="Column8452" dataCellStyle="Normal 2"/>
    <tableColumn id="8468" xr3:uid="{D425F284-5231-4B7F-85F4-01FD61371492}" name="Column8453" dataCellStyle="Normal 2"/>
    <tableColumn id="8469" xr3:uid="{74706593-CB1B-401C-B54A-A5E589FF568D}" name="Column8454" dataCellStyle="Normal 2"/>
    <tableColumn id="8470" xr3:uid="{8F8553A9-8DCC-4098-ABAF-C9E2EB04D3A8}" name="Column8455" dataCellStyle="Normal 2"/>
    <tableColumn id="8471" xr3:uid="{26B5C0F8-ECD1-44C4-BE41-FB019DD243C6}" name="Column8456" dataCellStyle="Normal 2"/>
    <tableColumn id="8472" xr3:uid="{4FBC6FA3-A51E-4E95-9AAB-2D5F0E9C344B}" name="Column8457" dataCellStyle="Normal 2"/>
    <tableColumn id="8473" xr3:uid="{D32E11CA-D0F7-461B-B004-18C010B9E8DC}" name="Column8458" dataCellStyle="Normal 2"/>
    <tableColumn id="8474" xr3:uid="{E7DC8588-3CBE-46C3-9EAD-7961C949EB57}" name="Column8459" dataCellStyle="Normal 2"/>
    <tableColumn id="8475" xr3:uid="{A949D1BE-65F7-48B6-880C-B233617455A7}" name="Column8460" dataCellStyle="Normal 2"/>
    <tableColumn id="8476" xr3:uid="{B36DFC3F-261E-403F-A849-1AE8313444C3}" name="Column8461" dataCellStyle="Normal 2"/>
    <tableColumn id="8477" xr3:uid="{2E1BD791-EAAC-4CF0-9677-CCA3DCEF4F54}" name="Column8462" dataCellStyle="Normal 2"/>
    <tableColumn id="8478" xr3:uid="{1DAD9306-04ED-42FB-88BD-F0622FF06633}" name="Column8463" dataCellStyle="Normal 2"/>
    <tableColumn id="8479" xr3:uid="{013CF32C-1BDE-4359-9905-A0B6FD339DF4}" name="Column8464" dataCellStyle="Normal 2"/>
    <tableColumn id="8480" xr3:uid="{6866BF16-FE7D-4FCA-9CE5-74B296EE2CCA}" name="Column8465" dataCellStyle="Normal 2"/>
    <tableColumn id="8481" xr3:uid="{AFFDA01C-D267-4FF9-8586-22989246326C}" name="Column8466" dataCellStyle="Normal 2"/>
    <tableColumn id="8482" xr3:uid="{72313520-5E43-4588-A6F2-502D20209D8E}" name="Column8467" dataCellStyle="Normal 2"/>
    <tableColumn id="8483" xr3:uid="{44C29B7C-2C3B-4830-A0FC-5DE6A6D2314A}" name="Column8468" dataCellStyle="Normal 2"/>
    <tableColumn id="8484" xr3:uid="{1F9EDD8C-AF9C-4334-834B-21A562207A08}" name="Column8469" dataCellStyle="Normal 2"/>
    <tableColumn id="8485" xr3:uid="{CA7BF424-20EA-4A11-A8AC-D26D1B715455}" name="Column8470" dataCellStyle="Normal 2"/>
    <tableColumn id="8486" xr3:uid="{04435333-F3D3-468C-95E0-6185B9638D68}" name="Column8471" dataCellStyle="Normal 2"/>
    <tableColumn id="8487" xr3:uid="{30A4DAB7-F4BC-44A0-B091-4C58A551B1C8}" name="Column8472" dataCellStyle="Normal 2"/>
    <tableColumn id="8488" xr3:uid="{D5F6BC8C-E419-4B47-884A-9B9EE2BFEA75}" name="Column8473" dataCellStyle="Normal 2"/>
    <tableColumn id="8489" xr3:uid="{26584429-B0F8-4694-9CBD-9DC8BE223733}" name="Column8474" dataCellStyle="Normal 2"/>
    <tableColumn id="8490" xr3:uid="{41470769-D9BF-40AF-BF2E-A1F5AE732987}" name="Column8475" dataCellStyle="Normal 2"/>
    <tableColumn id="8491" xr3:uid="{896C2654-4301-4B15-9D77-B0E3EFC91D04}" name="Column8476" dataCellStyle="Normal 2"/>
    <tableColumn id="8492" xr3:uid="{826441D5-E35F-4283-89AB-5D347E90962B}" name="Column8477" dataCellStyle="Normal 2"/>
    <tableColumn id="8493" xr3:uid="{25CB40CB-67C3-451C-9B67-688C080CD2E3}" name="Column8478" dataCellStyle="Normal 2"/>
    <tableColumn id="8494" xr3:uid="{71A58C85-1BC5-41A6-80CA-F3CA26C373E4}" name="Column8479" dataCellStyle="Normal 2"/>
    <tableColumn id="8495" xr3:uid="{0FDBDCC4-9E43-49BF-A4DC-BC5EF29DE439}" name="Column8480" dataCellStyle="Normal 2"/>
    <tableColumn id="8496" xr3:uid="{D17E6E20-93BD-4137-8044-5600B3CE36A7}" name="Column8481" dataCellStyle="Normal 2"/>
    <tableColumn id="8497" xr3:uid="{4069C0F4-DEB7-4E7A-96F4-133B53D880DF}" name="Column8482" dataCellStyle="Normal 2"/>
    <tableColumn id="8498" xr3:uid="{E341B450-F6A1-4579-8CD2-C93CC71046D6}" name="Column8483" dataCellStyle="Normal 2"/>
    <tableColumn id="8499" xr3:uid="{579D1104-AB3E-48C1-A813-4D5B2394C07A}" name="Column8484" dataCellStyle="Normal 2"/>
    <tableColumn id="8500" xr3:uid="{7EC1D502-2DF1-4DE5-A2A2-0EE3393247D2}" name="Column8485" dataCellStyle="Normal 2"/>
    <tableColumn id="8501" xr3:uid="{E3E089C0-3DE0-4E36-A4D1-D28301B05586}" name="Column8486" dataCellStyle="Normal 2"/>
    <tableColumn id="8502" xr3:uid="{05CFF23B-AC78-42F6-9D11-1FD989989264}" name="Column8487" dataCellStyle="Normal 2"/>
    <tableColumn id="8503" xr3:uid="{84A3B3D3-B0E7-4234-88D8-EC979FA2F244}" name="Column8488" dataCellStyle="Normal 2"/>
    <tableColumn id="8504" xr3:uid="{DCB0D0E3-03C0-4AD0-9827-CF44917CB1EA}" name="Column8489" dataCellStyle="Normal 2"/>
    <tableColumn id="8505" xr3:uid="{B83B74FF-BB3D-4D32-B327-36702BF6A8EC}" name="Column8490" dataCellStyle="Normal 2"/>
    <tableColumn id="8506" xr3:uid="{A721DA84-60A2-4454-9DA8-B034664D014D}" name="Column8491" dataCellStyle="Normal 2"/>
    <tableColumn id="8507" xr3:uid="{6F540293-3C71-4C66-A1F7-52C32363182F}" name="Column8492" dataCellStyle="Normal 2"/>
    <tableColumn id="8508" xr3:uid="{7C3684A2-E2DE-4996-86FE-36245DF96208}" name="Column8493" dataCellStyle="Normal 2"/>
    <tableColumn id="8509" xr3:uid="{25EC652A-FAFC-4BC6-8AA6-47FACD284A76}" name="Column8494" dataCellStyle="Normal 2"/>
    <tableColumn id="8510" xr3:uid="{50294A9C-DFF1-46F2-819F-5AD17BE7876B}" name="Column8495" dataCellStyle="Normal 2"/>
    <tableColumn id="8511" xr3:uid="{D86061B3-CFC0-4677-8805-F95BB5BFEB4D}" name="Column8496" dataCellStyle="Normal 2"/>
    <tableColumn id="8512" xr3:uid="{269A1389-18DC-4E73-9F98-2D200084F68E}" name="Column8497" dataCellStyle="Normal 2"/>
    <tableColumn id="8513" xr3:uid="{567C3794-DDFE-40F7-B409-FBBCA36F101C}" name="Column8498" dataCellStyle="Normal 2"/>
    <tableColumn id="8514" xr3:uid="{E300536D-7CB4-4603-B742-4974DD16E9AD}" name="Column8499" dataCellStyle="Normal 2"/>
    <tableColumn id="8515" xr3:uid="{42A51157-6FA9-4FD0-9CF7-8B39FE29AC53}" name="Column8500" dataCellStyle="Normal 2"/>
    <tableColumn id="8516" xr3:uid="{75B2058B-728A-498A-9575-B8E70F17DC8B}" name="Column8501" dataCellStyle="Normal 2"/>
    <tableColumn id="8517" xr3:uid="{809FCB28-E9CA-48AD-B577-D6E4A8A0E22D}" name="Column8502" dataCellStyle="Normal 2"/>
    <tableColumn id="8518" xr3:uid="{41A19585-D8D6-416E-9811-5DF4B0F2E396}" name="Column8503" dataCellStyle="Normal 2"/>
    <tableColumn id="8519" xr3:uid="{3C412AFD-BC49-4C67-9873-6B3957DFA0CA}" name="Column8504" dataCellStyle="Normal 2"/>
    <tableColumn id="8520" xr3:uid="{52BA20CA-D22E-4AD0-9987-C795FAC844E4}" name="Column8505" dataCellStyle="Normal 2"/>
    <tableColumn id="8521" xr3:uid="{004DBD4F-8AB3-449E-B94D-C99B5FFAB4C8}" name="Column8506" dataCellStyle="Normal 2"/>
    <tableColumn id="8522" xr3:uid="{8940B4A5-6735-4B0E-AC7E-930FC6CC7A5C}" name="Column8507" dataCellStyle="Normal 2"/>
    <tableColumn id="8523" xr3:uid="{0B6F9E6B-7672-40F6-801E-79E9BA12880E}" name="Column8508" dataCellStyle="Normal 2"/>
    <tableColumn id="8524" xr3:uid="{C5EF27DA-6288-47F7-8200-C3A69AFDB2C5}" name="Column8509" dataCellStyle="Normal 2"/>
    <tableColumn id="8525" xr3:uid="{7761FAE0-6375-43BE-B514-BBD08121A54F}" name="Column8510" dataCellStyle="Normal 2"/>
    <tableColumn id="8526" xr3:uid="{ADFEFCE4-B618-4E4C-BF8B-5086A7C06E7C}" name="Column8511" dataCellStyle="Normal 2"/>
    <tableColumn id="8527" xr3:uid="{ECD81B83-0692-49B1-A0FD-AB9B7947F3E6}" name="Column8512" dataCellStyle="Normal 2"/>
    <tableColumn id="8528" xr3:uid="{BC736375-1101-4188-BBBC-36ED40E996DF}" name="Column8513" dataCellStyle="Normal 2"/>
    <tableColumn id="8529" xr3:uid="{77599A5A-624D-4CCC-8946-0EB77BA9F192}" name="Column8514" dataCellStyle="Normal 2"/>
    <tableColumn id="8530" xr3:uid="{7CCAE0D3-8C46-4A6F-99DA-86D6F68C6EAF}" name="Column8515" dataCellStyle="Normal 2"/>
    <tableColumn id="8531" xr3:uid="{3FEDCB8E-6DE0-479B-8A64-DD59FFB1C8D8}" name="Column8516" dataCellStyle="Normal 2"/>
    <tableColumn id="8532" xr3:uid="{F1622D52-F1E1-4C66-991F-EC7F222B6081}" name="Column8517" dataCellStyle="Normal 2"/>
    <tableColumn id="8533" xr3:uid="{C748DC42-2545-45A7-A5B5-72D2ED6E34D2}" name="Column8518" dataCellStyle="Normal 2"/>
    <tableColumn id="8534" xr3:uid="{D65CCC54-CD75-4E9E-8DD9-1FCCAC84A1BC}" name="Column8519" dataCellStyle="Normal 2"/>
    <tableColumn id="8535" xr3:uid="{823398B0-C50A-4702-8588-5A81AE7B9972}" name="Column8520" dataCellStyle="Normal 2"/>
    <tableColumn id="8536" xr3:uid="{593B5FF6-CDBE-44C3-B6A5-6FFB9C0E9498}" name="Column8521" dataCellStyle="Normal 2"/>
    <tableColumn id="8537" xr3:uid="{EAFCF65F-1B7D-4853-8107-060E404131FA}" name="Column8522" dataCellStyle="Normal 2"/>
    <tableColumn id="8538" xr3:uid="{32AD1D3D-080B-4AC6-8E66-68922E817DF3}" name="Column8523" dataCellStyle="Normal 2"/>
    <tableColumn id="8539" xr3:uid="{8A3D944C-D169-452A-8E61-10E5D3561C87}" name="Column8524" dataCellStyle="Normal 2"/>
    <tableColumn id="8540" xr3:uid="{DBBF42F7-FEF5-4974-B2FB-755930FF2406}" name="Column8525" dataCellStyle="Normal 2"/>
    <tableColumn id="8541" xr3:uid="{C22E6DD7-7181-467F-AA11-DAB61696C16F}" name="Column8526" dataCellStyle="Normal 2"/>
    <tableColumn id="8542" xr3:uid="{957BA486-5BD9-4758-A952-8F3142B20D90}" name="Column8527" dataCellStyle="Normal 2"/>
    <tableColumn id="8543" xr3:uid="{760387B0-5825-43B2-BBF6-7A9ADD5CB215}" name="Column8528" dataCellStyle="Normal 2"/>
    <tableColumn id="8544" xr3:uid="{4EC647D3-DBED-4EC8-AF12-44084D8E6AAA}" name="Column8529" dataCellStyle="Normal 2"/>
    <tableColumn id="8545" xr3:uid="{B977044B-9217-4E51-9816-8C2208FD60AA}" name="Column8530" dataCellStyle="Normal 2"/>
    <tableColumn id="8546" xr3:uid="{66AFFF3C-7719-4D01-8CCC-DFD7000493E9}" name="Column8531" dataCellStyle="Normal 2"/>
    <tableColumn id="8547" xr3:uid="{E8584883-9ADB-4145-B09C-CCE3AACA2B44}" name="Column8532" dataCellStyle="Normal 2"/>
    <tableColumn id="8548" xr3:uid="{0CFEE480-0F9E-4DB3-A973-32C0B7C12456}" name="Column8533" dataCellStyle="Normal 2"/>
    <tableColumn id="8549" xr3:uid="{06AEF902-8828-41C2-93A0-03F09647BFF6}" name="Column8534" dataCellStyle="Normal 2"/>
    <tableColumn id="8550" xr3:uid="{8E380AFA-0C94-4105-A4D6-305C210F0749}" name="Column8535" dataCellStyle="Normal 2"/>
    <tableColumn id="8551" xr3:uid="{29A5F522-3DC9-49E4-99BB-FE866CCCB1A3}" name="Column8536" dataCellStyle="Normal 2"/>
    <tableColumn id="8552" xr3:uid="{AAA64DB2-AA3C-49F5-9692-2D2675EE4140}" name="Column8537" dataCellStyle="Normal 2"/>
    <tableColumn id="8553" xr3:uid="{03153B84-2E7D-4991-B2DD-5DABE75433A9}" name="Column8538" dataCellStyle="Normal 2"/>
    <tableColumn id="8554" xr3:uid="{E53A29D1-30F2-4938-AC1C-CFFB8760638F}" name="Column8539" dataCellStyle="Normal 2"/>
    <tableColumn id="8555" xr3:uid="{1ACF4D86-D5C5-41FA-BCFC-6CC4276B26A9}" name="Column8540" dataCellStyle="Normal 2"/>
    <tableColumn id="8556" xr3:uid="{EE542FCD-6B96-4887-A3F0-59F6C0D3A8E2}" name="Column8541" dataCellStyle="Normal 2"/>
    <tableColumn id="8557" xr3:uid="{167491BB-B3C4-416D-B95A-EAD7DD837C5E}" name="Column8542" dataCellStyle="Normal 2"/>
    <tableColumn id="8558" xr3:uid="{8BA23425-B5D5-48CE-BF61-CB1B6DA6153C}" name="Column8543" dataCellStyle="Normal 2"/>
    <tableColumn id="8559" xr3:uid="{903B227C-7D72-4470-AF75-73E0AF4B4984}" name="Column8544" dataCellStyle="Normal 2"/>
    <tableColumn id="8560" xr3:uid="{0D50BA0B-BA21-4730-AC33-F5315D1B142A}" name="Column8545" dataCellStyle="Normal 2"/>
    <tableColumn id="8561" xr3:uid="{41BC85CE-9E65-445E-AF22-68A74ED2577F}" name="Column8546" dataCellStyle="Normal 2"/>
    <tableColumn id="8562" xr3:uid="{B687A7E6-2B69-49D1-B91F-C1A8468A0C5A}" name="Column8547" dataCellStyle="Normal 2"/>
    <tableColumn id="8563" xr3:uid="{40867FF8-7153-44FF-BB27-B67402311AAD}" name="Column8548" dataCellStyle="Normal 2"/>
    <tableColumn id="8564" xr3:uid="{E157D201-E835-4329-B849-867EB0A84D46}" name="Column8549" dataCellStyle="Normal 2"/>
    <tableColumn id="8565" xr3:uid="{0ED9D4B0-74B1-4C65-A489-AAFF4070F3E2}" name="Column8550" dataCellStyle="Normal 2"/>
    <tableColumn id="8566" xr3:uid="{1095C51E-2A6B-4583-9719-CA1D3A56837F}" name="Column8551" dataCellStyle="Normal 2"/>
    <tableColumn id="8567" xr3:uid="{EB48EA8B-4F46-46AE-BF1E-9904BC24F2DC}" name="Column8552" dataCellStyle="Normal 2"/>
    <tableColumn id="8568" xr3:uid="{0C568E8D-0A0E-4320-A1E1-FC20A9D54510}" name="Column8553" dataCellStyle="Normal 2"/>
    <tableColumn id="8569" xr3:uid="{36254DF0-1E60-41ED-8430-C08270CA684E}" name="Column8554" dataCellStyle="Normal 2"/>
    <tableColumn id="8570" xr3:uid="{BE2EC8D0-1E19-461D-8754-C5A7C16CAC62}" name="Column8555" dataCellStyle="Normal 2"/>
    <tableColumn id="8571" xr3:uid="{FC1BF3DB-85D5-4045-AB80-783137EBC98D}" name="Column8556" dataCellStyle="Normal 2"/>
    <tableColumn id="8572" xr3:uid="{AF3423B3-18B8-4F61-9086-5B5B118CFFF1}" name="Column8557" dataCellStyle="Normal 2"/>
    <tableColumn id="8573" xr3:uid="{F93EABEA-AFC9-47BF-99AB-0378C2D150AF}" name="Column8558" dataCellStyle="Normal 2"/>
    <tableColumn id="8574" xr3:uid="{199CEDE5-6837-4BD1-9E56-64FF8F774FAA}" name="Column8559" dataCellStyle="Normal 2"/>
    <tableColumn id="8575" xr3:uid="{F778935B-4FD3-4244-B22C-E2E361699CCA}" name="Column8560" dataCellStyle="Normal 2"/>
    <tableColumn id="8576" xr3:uid="{9CD498E5-E64C-4B1D-AD32-10CE8C28FE3B}" name="Column8561" dataCellStyle="Normal 2"/>
    <tableColumn id="8577" xr3:uid="{53FAF794-4438-4929-90DF-35F43F8F0902}" name="Column8562" dataCellStyle="Normal 2"/>
    <tableColumn id="8578" xr3:uid="{2004C5BF-3682-4679-A1D6-496270CF0986}" name="Column8563" dataCellStyle="Normal 2"/>
    <tableColumn id="8579" xr3:uid="{4A1D606B-116B-4965-B300-97507F15DDF6}" name="Column8564" dataCellStyle="Normal 2"/>
    <tableColumn id="8580" xr3:uid="{4427163D-632E-4DA3-BD79-0C4E86F8E055}" name="Column8565" dataCellStyle="Normal 2"/>
    <tableColumn id="8581" xr3:uid="{0F0C323C-90D9-442C-821C-41DBC36D1EDC}" name="Column8566" dataCellStyle="Normal 2"/>
    <tableColumn id="8582" xr3:uid="{C91FC207-DF0D-48A2-9907-438F363BF1E2}" name="Column8567" dataCellStyle="Normal 2"/>
    <tableColumn id="8583" xr3:uid="{17DC8A3C-C232-4C71-A735-FB5856360D89}" name="Column8568" dataCellStyle="Normal 2"/>
    <tableColumn id="8584" xr3:uid="{88955184-0D6E-4974-9710-5AB5C914010E}" name="Column8569" dataCellStyle="Normal 2"/>
    <tableColumn id="8585" xr3:uid="{7A4C14BD-9CE0-4304-97C7-56B56B33322E}" name="Column8570" dataCellStyle="Normal 2"/>
    <tableColumn id="8586" xr3:uid="{528D1D57-DAA9-4C93-AA77-A09876ABA6EE}" name="Column8571" dataCellStyle="Normal 2"/>
    <tableColumn id="8587" xr3:uid="{FF917289-1A1A-4375-A22E-1B2C2FAE6EEF}" name="Column8572" dataCellStyle="Normal 2"/>
    <tableColumn id="8588" xr3:uid="{55A8096B-D85B-4CD2-83FD-0486955081E0}" name="Column8573" dataCellStyle="Normal 2"/>
    <tableColumn id="8589" xr3:uid="{6F83473C-1D1F-420B-BD83-277180B61180}" name="Column8574" dataCellStyle="Normal 2"/>
    <tableColumn id="8590" xr3:uid="{24F25D60-5424-417F-81B1-BCE40C50D209}" name="Column8575" dataCellStyle="Normal 2"/>
    <tableColumn id="8591" xr3:uid="{8FCBA39E-0F7D-4E58-8ACC-9FAFB16FD65D}" name="Column8576" dataCellStyle="Normal 2"/>
    <tableColumn id="8592" xr3:uid="{FD5B36EC-C073-4BF4-A0A3-6EBD1C0D7E91}" name="Column8577" dataCellStyle="Normal 2"/>
    <tableColumn id="8593" xr3:uid="{5E49C86F-B9CF-4188-B169-7EA1A4A467FD}" name="Column8578" dataCellStyle="Normal 2"/>
    <tableColumn id="8594" xr3:uid="{660CEAD4-BBF2-4C93-B34B-844BEA4F0AC5}" name="Column8579" dataCellStyle="Normal 2"/>
    <tableColumn id="8595" xr3:uid="{70759DB7-3C12-4B9A-B3FB-CA7BF3131E8D}" name="Column8580" dataCellStyle="Normal 2"/>
    <tableColumn id="8596" xr3:uid="{154A6A93-15BF-4AB4-B319-C7181241161F}" name="Column8581" dataCellStyle="Normal 2"/>
    <tableColumn id="8597" xr3:uid="{F21500B8-5C85-40B2-BF80-2EB2F0A0C461}" name="Column8582" dataCellStyle="Normal 2"/>
    <tableColumn id="8598" xr3:uid="{CA322418-56A8-41FD-9A3C-40606FB7CF27}" name="Column8583" dataCellStyle="Normal 2"/>
    <tableColumn id="8599" xr3:uid="{8FDE771B-20AF-4683-BBF5-38E9C06EB0ED}" name="Column8584" dataCellStyle="Normal 2"/>
    <tableColumn id="8600" xr3:uid="{DA4A36F5-6E5A-4BD6-90D2-CF891380AA2D}" name="Column8585" dataCellStyle="Normal 2"/>
    <tableColumn id="8601" xr3:uid="{9120BB71-F2CB-4D61-B33B-514A86B872CA}" name="Column8586" dataCellStyle="Normal 2"/>
    <tableColumn id="8602" xr3:uid="{9497D719-D1E6-493B-AFA0-C1548166A503}" name="Column8587" dataCellStyle="Normal 2"/>
    <tableColumn id="8603" xr3:uid="{BEC1649E-0119-4AFE-8A54-D86912D158E5}" name="Column8588" dataCellStyle="Normal 2"/>
    <tableColumn id="8604" xr3:uid="{B95D9647-1B9B-4511-91B1-CBBEC03D0229}" name="Column8589" dataCellStyle="Normal 2"/>
    <tableColumn id="8605" xr3:uid="{2832A9D9-93BC-4837-9C8B-0B7FFB78FE45}" name="Column8590" dataCellStyle="Normal 2"/>
    <tableColumn id="8606" xr3:uid="{2E5EA9A1-2F12-4F09-AE85-B102FCB9B706}" name="Column8591" dataCellStyle="Normal 2"/>
    <tableColumn id="8607" xr3:uid="{0F713416-F5B0-45D6-8D5B-78E9BA6758EC}" name="Column8592" dataCellStyle="Normal 2"/>
    <tableColumn id="8608" xr3:uid="{2827016A-9421-4511-AA4B-2028C361D872}" name="Column8593" dataCellStyle="Normal 2"/>
    <tableColumn id="8609" xr3:uid="{A5FF604D-5C9C-41AC-A58E-306F0F427B7F}" name="Column8594" dataCellStyle="Normal 2"/>
    <tableColumn id="8610" xr3:uid="{B1759D49-C1D9-465E-A136-CA8CB72AEA8C}" name="Column8595" dataCellStyle="Normal 2"/>
    <tableColumn id="8611" xr3:uid="{5589C3FB-1BF1-447F-A57F-A93449023109}" name="Column8596" dataCellStyle="Normal 2"/>
    <tableColumn id="8612" xr3:uid="{00FF8310-F28B-4D7D-906B-025CC8B6C50F}" name="Column8597" dataCellStyle="Normal 2"/>
    <tableColumn id="8613" xr3:uid="{783D8897-859B-4C36-A65E-37CEB801AA6B}" name="Column8598" dataCellStyle="Normal 2"/>
    <tableColumn id="8614" xr3:uid="{8129B024-37A9-406B-9E51-324D8DDC21D4}" name="Column8599" dataCellStyle="Normal 2"/>
    <tableColumn id="8615" xr3:uid="{8F540F6A-E058-4F23-9361-03BEB7B32A6C}" name="Column8600" dataCellStyle="Normal 2"/>
    <tableColumn id="8616" xr3:uid="{45E94F27-7D56-4101-8609-00A5CFFFE85F}" name="Column8601" dataCellStyle="Normal 2"/>
    <tableColumn id="8617" xr3:uid="{5EAF4433-5275-4F1D-9353-A83710BB464C}" name="Column8602" dataCellStyle="Normal 2"/>
    <tableColumn id="8618" xr3:uid="{B23331EE-6A59-4EB1-9774-A8DBFB8909FD}" name="Column8603" dataCellStyle="Normal 2"/>
    <tableColumn id="8619" xr3:uid="{3EBC142B-64A0-4F36-98F1-367B25F88870}" name="Column8604" dataCellStyle="Normal 2"/>
    <tableColumn id="8620" xr3:uid="{F4BD24CA-84DB-4BD0-A7A3-3554173E13AF}" name="Column8605" dataCellStyle="Normal 2"/>
    <tableColumn id="8621" xr3:uid="{3EA5835F-17D6-4FCE-A4F2-BAE0F97052B5}" name="Column8606" dataCellStyle="Normal 2"/>
    <tableColumn id="8622" xr3:uid="{83A89370-0E15-432D-A525-E78EE83DC1E7}" name="Column8607" dataCellStyle="Normal 2"/>
    <tableColumn id="8623" xr3:uid="{A055C310-6008-4F48-BD3E-AD1E3E5D5117}" name="Column8608" dataCellStyle="Normal 2"/>
    <tableColumn id="8624" xr3:uid="{42A9547D-466D-46E1-8F81-77CA62A51EEA}" name="Column8609" dataCellStyle="Normal 2"/>
    <tableColumn id="8625" xr3:uid="{8B4EAB6A-CC45-42AB-A040-E86B896EFE91}" name="Column8610" dataCellStyle="Normal 2"/>
    <tableColumn id="8626" xr3:uid="{13B3831D-853D-47DA-9FA9-08B29734A286}" name="Column8611" dataCellStyle="Normal 2"/>
    <tableColumn id="8627" xr3:uid="{ED1689DE-20B9-407E-B4C7-61E37ADB5871}" name="Column8612" dataCellStyle="Normal 2"/>
    <tableColumn id="8628" xr3:uid="{90FE773E-686E-4864-B647-4B045746ED06}" name="Column8613" dataCellStyle="Normal 2"/>
    <tableColumn id="8629" xr3:uid="{1CB95878-E4AC-4CF8-9856-A3B93620D337}" name="Column8614" dataCellStyle="Normal 2"/>
    <tableColumn id="8630" xr3:uid="{75C08531-0DDC-4BBD-B7C5-CA49FB55C6F6}" name="Column8615" dataCellStyle="Normal 2"/>
    <tableColumn id="8631" xr3:uid="{B5ABFEBA-7F26-4117-B368-E0A0DF109E4A}" name="Column8616" dataCellStyle="Normal 2"/>
    <tableColumn id="8632" xr3:uid="{9408E72F-8F1C-43A9-86A8-9BDEFF6F94E6}" name="Column8617" dataCellStyle="Normal 2"/>
    <tableColumn id="8633" xr3:uid="{C22C4B50-288E-46D5-A017-234A65E8671F}" name="Column8618" dataCellStyle="Normal 2"/>
    <tableColumn id="8634" xr3:uid="{49BCF219-D641-4E9A-91B0-72BAA5BAA928}" name="Column8619" dataCellStyle="Normal 2"/>
    <tableColumn id="8635" xr3:uid="{D7051602-F154-4AC1-8E54-258631F66051}" name="Column8620" dataCellStyle="Normal 2"/>
    <tableColumn id="8636" xr3:uid="{05395D15-917C-455E-B5A2-70358091E02E}" name="Column8621" dataCellStyle="Normal 2"/>
    <tableColumn id="8637" xr3:uid="{78D45716-20C7-471C-88B5-9C791D8080DF}" name="Column8622" dataCellStyle="Normal 2"/>
    <tableColumn id="8638" xr3:uid="{E65DEA8F-D179-4E09-9261-305C5F35ADF7}" name="Column8623" dataCellStyle="Normal 2"/>
    <tableColumn id="8639" xr3:uid="{EF8B21FA-9F8A-4B48-9ED9-9F2A97A23FDE}" name="Column8624" dataCellStyle="Normal 2"/>
    <tableColumn id="8640" xr3:uid="{CE85F127-6A2A-4548-9E8D-461DB981AD47}" name="Column8625" dataCellStyle="Normal 2"/>
    <tableColumn id="8641" xr3:uid="{33B1AE77-39C0-4E0E-93C0-FC6E99D09992}" name="Column8626" dataCellStyle="Normal 2"/>
    <tableColumn id="8642" xr3:uid="{6F8BD974-6B73-4278-985E-FEF6BA666CFA}" name="Column8627" dataCellStyle="Normal 2"/>
    <tableColumn id="8643" xr3:uid="{F34AADDB-5D45-4280-936E-F094CB828180}" name="Column8628" dataCellStyle="Normal 2"/>
    <tableColumn id="8644" xr3:uid="{BC523392-5573-44F6-B515-3B09463DDD9C}" name="Column8629" dataCellStyle="Normal 2"/>
    <tableColumn id="8645" xr3:uid="{95BE32B4-8364-491B-986F-B5A04955F811}" name="Column8630" dataCellStyle="Normal 2"/>
    <tableColumn id="8646" xr3:uid="{CF25388C-D331-41BE-8A87-A40A367A2D57}" name="Column8631" dataCellStyle="Normal 2"/>
    <tableColumn id="8647" xr3:uid="{E3C6CC60-22E7-4745-863F-4D040483DB24}" name="Column8632" dataCellStyle="Normal 2"/>
    <tableColumn id="8648" xr3:uid="{D76E1670-DB44-47AA-8BEF-B1D17C0EA7BF}" name="Column8633" dataCellStyle="Normal 2"/>
    <tableColumn id="8649" xr3:uid="{467B8EA2-12F1-4A99-9C2B-CA3E6CAD5630}" name="Column8634" dataCellStyle="Normal 2"/>
    <tableColumn id="8650" xr3:uid="{58041B8D-54F4-4411-BF24-2363799EEA44}" name="Column8635" dataCellStyle="Normal 2"/>
    <tableColumn id="8651" xr3:uid="{C5531346-6430-49D4-8BB2-F3EA7653A740}" name="Column8636" dataCellStyle="Normal 2"/>
    <tableColumn id="8652" xr3:uid="{CB979BE0-C553-49B9-93EF-2395B297C9CB}" name="Column8637" dataCellStyle="Normal 2"/>
    <tableColumn id="8653" xr3:uid="{89AEFA0D-5E1F-45B7-ABB6-6DE9803E2CC4}" name="Column8638" dataCellStyle="Normal 2"/>
    <tableColumn id="8654" xr3:uid="{72F8E8D3-C53F-4D62-9A09-61425700B2D3}" name="Column8639" dataCellStyle="Normal 2"/>
    <tableColumn id="8655" xr3:uid="{056F7EDE-3E5C-4394-A434-981A09D2847F}" name="Column8640" dataCellStyle="Normal 2"/>
    <tableColumn id="8656" xr3:uid="{06EB215E-A37A-4D45-8BB5-342466B5099B}" name="Column8641" dataCellStyle="Normal 2"/>
    <tableColumn id="8657" xr3:uid="{01D162F6-B131-4F3B-8FC6-D2109CFF9248}" name="Column8642" dataCellStyle="Normal 2"/>
    <tableColumn id="8658" xr3:uid="{8675E113-4039-47E7-83EB-A3374912BFD2}" name="Column8643" dataCellStyle="Normal 2"/>
    <tableColumn id="8659" xr3:uid="{DD1CA221-EA04-4ED3-9AC0-93DD9D2213BB}" name="Column8644" dataCellStyle="Normal 2"/>
    <tableColumn id="8660" xr3:uid="{5F919B30-3856-48E0-9DF3-D6268B10E56C}" name="Column8645" dataCellStyle="Normal 2"/>
    <tableColumn id="8661" xr3:uid="{5222FB2D-CD7C-4E78-B269-958D69CAB538}" name="Column8646" dataCellStyle="Normal 2"/>
    <tableColumn id="8662" xr3:uid="{0DBC94C1-65EC-4299-86AA-57F4A700D158}" name="Column8647" dataCellStyle="Normal 2"/>
    <tableColumn id="8663" xr3:uid="{6A73BE3C-11AE-4EE1-ABDD-894BBDACE326}" name="Column8648" dataCellStyle="Normal 2"/>
    <tableColumn id="8664" xr3:uid="{A12726F8-A093-4472-912A-08B46F39600A}" name="Column8649" dataCellStyle="Normal 2"/>
    <tableColumn id="8665" xr3:uid="{154CD19A-75D6-418C-8739-90F42B909881}" name="Column8650" dataCellStyle="Normal 2"/>
    <tableColumn id="8666" xr3:uid="{3ED607D0-0F87-4333-8A41-EB0E0CDCB681}" name="Column8651" dataCellStyle="Normal 2"/>
    <tableColumn id="8667" xr3:uid="{E3E9B77A-8870-4531-8DFC-DBD5ED99386B}" name="Column8652" dataCellStyle="Normal 2"/>
    <tableColumn id="8668" xr3:uid="{5DAE73B1-16C8-4156-8DB1-B4095526833B}" name="Column8653" dataCellStyle="Normal 2"/>
    <tableColumn id="8669" xr3:uid="{0FDFAA30-CE14-4EED-8412-BD59D9AC35D1}" name="Column8654" dataCellStyle="Normal 2"/>
    <tableColumn id="8670" xr3:uid="{90F12E16-032E-4EE1-83C7-FC7A8BB9CC7A}" name="Column8655" dataCellStyle="Normal 2"/>
    <tableColumn id="8671" xr3:uid="{512DE607-844C-43A8-B8F2-F5D6766E953D}" name="Column8656" dataCellStyle="Normal 2"/>
    <tableColumn id="8672" xr3:uid="{3C1425D3-4C2A-48D7-92E6-6053C85B2EF9}" name="Column8657" dataCellStyle="Normal 2"/>
    <tableColumn id="8673" xr3:uid="{E2CF9B14-8BC4-499D-AB26-61DCD395A66A}" name="Column8658" dataCellStyle="Normal 2"/>
    <tableColumn id="8674" xr3:uid="{2FB00321-10E3-4BF5-BAE0-3E00AE2D6C18}" name="Column8659" dataCellStyle="Normal 2"/>
    <tableColumn id="8675" xr3:uid="{709D34BF-BA3D-44B4-B718-DF3D84CFA6E0}" name="Column8660" dataCellStyle="Normal 2"/>
    <tableColumn id="8676" xr3:uid="{E6AAF9F1-470F-48DA-9AAD-E015EA00842D}" name="Column8661" dataCellStyle="Normal 2"/>
    <tableColumn id="8677" xr3:uid="{A9333CC2-65FA-4272-B23A-BCE6F35D4D43}" name="Column8662" dataCellStyle="Normal 2"/>
    <tableColumn id="8678" xr3:uid="{74B91081-0D7C-4B86-9784-5502700DD59A}" name="Column8663" dataCellStyle="Normal 2"/>
    <tableColumn id="8679" xr3:uid="{BCA3B977-854C-488A-AF8E-111CE002070A}" name="Column8664" dataCellStyle="Normal 2"/>
    <tableColumn id="8680" xr3:uid="{B24B9F43-3028-4F56-ADA4-861EE4FD9D6E}" name="Column8665" dataCellStyle="Normal 2"/>
    <tableColumn id="8681" xr3:uid="{9EDAED45-9C43-4D6C-90D0-761A65BB6A6A}" name="Column8666" dataCellStyle="Normal 2"/>
    <tableColumn id="8682" xr3:uid="{4D8E51E6-CAEF-4D81-AF23-B0098A65C6EF}" name="Column8667" dataCellStyle="Normal 2"/>
    <tableColumn id="8683" xr3:uid="{1A62BFD8-12DD-4913-AA83-401C6A8377B2}" name="Column8668" dataCellStyle="Normal 2"/>
    <tableColumn id="8684" xr3:uid="{FE7F3386-472F-44A9-A9A3-F51F7907379C}" name="Column8669" dataCellStyle="Normal 2"/>
    <tableColumn id="8685" xr3:uid="{130FB5BC-5DE9-4AA1-8DCE-64FF29A73D11}" name="Column8670" dataCellStyle="Normal 2"/>
    <tableColumn id="8686" xr3:uid="{6C415A71-3843-4B30-842D-9EBFD11D74E5}" name="Column8671" dataCellStyle="Normal 2"/>
    <tableColumn id="8687" xr3:uid="{EE3777B8-1E54-47D3-8F15-22FD3608107A}" name="Column8672" dataCellStyle="Normal 2"/>
    <tableColumn id="8688" xr3:uid="{8896B263-2AC7-4E44-B9FE-94A98380F438}" name="Column8673" dataCellStyle="Normal 2"/>
    <tableColumn id="8689" xr3:uid="{F3A53024-7CED-47EC-AA77-4B15AC6DB3D5}" name="Column8674" dataCellStyle="Normal 2"/>
    <tableColumn id="8690" xr3:uid="{7B1742B9-7146-49E5-A758-C1FADC9F920F}" name="Column8675" dataCellStyle="Normal 2"/>
    <tableColumn id="8691" xr3:uid="{809266DC-7C2F-4B59-A63C-7711B44BCA1A}" name="Column8676" dataCellStyle="Normal 2"/>
    <tableColumn id="8692" xr3:uid="{730222F2-4A32-48CF-BA56-54714203D8C5}" name="Column8677" dataCellStyle="Normal 2"/>
    <tableColumn id="8693" xr3:uid="{935B9B95-EC8B-4493-B81F-E075D6A081D5}" name="Column8678" dataCellStyle="Normal 2"/>
    <tableColumn id="8694" xr3:uid="{20472218-CC17-4B5C-9B72-CEA37870D259}" name="Column8679" dataCellStyle="Normal 2"/>
    <tableColumn id="8695" xr3:uid="{6CB9C172-8CE4-4DE2-AF6D-568D0664662E}" name="Column8680" dataCellStyle="Normal 2"/>
    <tableColumn id="8696" xr3:uid="{7992667D-1145-4C94-9DD5-57B88A94D955}" name="Column8681" dataCellStyle="Normal 2"/>
    <tableColumn id="8697" xr3:uid="{E963233A-FC4A-49F9-BA79-529B9FB64489}" name="Column8682" dataCellStyle="Normal 2"/>
    <tableColumn id="8698" xr3:uid="{DFCF11DE-572B-47BD-A09D-59764ACEFC63}" name="Column8683" dataCellStyle="Normal 2"/>
    <tableColumn id="8699" xr3:uid="{80EA7F48-73F0-43A7-9934-7F534A0A4917}" name="Column8684" dataCellStyle="Normal 2"/>
    <tableColumn id="8700" xr3:uid="{93BBD409-13A8-439E-A955-A217E08607EF}" name="Column8685" dataCellStyle="Normal 2"/>
    <tableColumn id="8701" xr3:uid="{0523FF04-70EC-4EA4-A618-CBC35D4188F7}" name="Column8686" dataCellStyle="Normal 2"/>
    <tableColumn id="8702" xr3:uid="{25737FB4-13C5-490D-B37B-9C4728ECD9F7}" name="Column8687" dataCellStyle="Normal 2"/>
    <tableColumn id="8703" xr3:uid="{B3431E1F-46F4-4AC9-BC5C-2D5D32448A86}" name="Column8688" dataCellStyle="Normal 2"/>
    <tableColumn id="8704" xr3:uid="{A21950F1-0E1D-4676-A5B0-2932860E222F}" name="Column8689" dataCellStyle="Normal 2"/>
    <tableColumn id="8705" xr3:uid="{4628CCC9-C69C-4D84-B102-1C62679756AE}" name="Column8690" dataCellStyle="Normal 2"/>
    <tableColumn id="8706" xr3:uid="{A36D2254-519F-4D03-AD45-F3059ECB12CE}" name="Column8691" dataCellStyle="Normal 2"/>
    <tableColumn id="8707" xr3:uid="{404CB7FF-817F-4BE1-ADD1-4B1630508149}" name="Column8692" dataCellStyle="Normal 2"/>
    <tableColumn id="8708" xr3:uid="{D51CC815-B796-4D50-AFA5-C7FE727A6663}" name="Column8693" dataCellStyle="Normal 2"/>
    <tableColumn id="8709" xr3:uid="{625AB4D5-1D89-4BC6-96F4-789819E91DCC}" name="Column8694" dataCellStyle="Normal 2"/>
    <tableColumn id="8710" xr3:uid="{D831E4E5-89EA-454A-8E6B-F800EAF6C960}" name="Column8695" dataCellStyle="Normal 2"/>
    <tableColumn id="8711" xr3:uid="{06313A01-08CE-4960-8F22-9B92588CB363}" name="Column8696" dataCellStyle="Normal 2"/>
    <tableColumn id="8712" xr3:uid="{63FD44E5-0105-42B8-B839-DED5B54C713D}" name="Column8697" dataCellStyle="Normal 2"/>
    <tableColumn id="8713" xr3:uid="{8B0F260E-E884-492D-9268-AC2B05F0FDEF}" name="Column8698" dataCellStyle="Normal 2"/>
    <tableColumn id="8714" xr3:uid="{680ACA99-15DC-42FD-9EC1-2EACCC3FF7AA}" name="Column8699" dataCellStyle="Normal 2"/>
    <tableColumn id="8715" xr3:uid="{DF234E27-EE2C-476B-83FC-CAB8104D6DB4}" name="Column8700" dataCellStyle="Normal 2"/>
    <tableColumn id="8716" xr3:uid="{58C8B765-766A-41C9-B0B3-6ED5DBCD7D52}" name="Column8701" dataCellStyle="Normal 2"/>
    <tableColumn id="8717" xr3:uid="{8B6859DF-963E-450B-9F59-178EBDDD72B8}" name="Column8702" dataCellStyle="Normal 2"/>
    <tableColumn id="8718" xr3:uid="{896116C5-B89F-4415-BA29-5BED32BB03E6}" name="Column8703" dataCellStyle="Normal 2"/>
    <tableColumn id="8719" xr3:uid="{F4286B3B-4C57-41A1-9837-5BAFE9D8F56B}" name="Column8704" dataCellStyle="Normal 2"/>
    <tableColumn id="8720" xr3:uid="{85EBCB2F-2E49-4D77-92BE-9BEACE555A3C}" name="Column8705" dataCellStyle="Normal 2"/>
    <tableColumn id="8721" xr3:uid="{481990E9-7401-4444-9679-06DE45F43DD4}" name="Column8706" dataCellStyle="Normal 2"/>
    <tableColumn id="8722" xr3:uid="{6F34252A-EBE7-485C-9D19-56B3CB082ADA}" name="Column8707" dataCellStyle="Normal 2"/>
    <tableColumn id="8723" xr3:uid="{E8B85AE3-798B-41E9-B152-681E1849EBEA}" name="Column8708" dataCellStyle="Normal 2"/>
    <tableColumn id="8724" xr3:uid="{2AAE5DA7-E311-4068-B610-940AE5259382}" name="Column8709" dataCellStyle="Normal 2"/>
    <tableColumn id="8725" xr3:uid="{58AB2ABF-92AF-4BA0-9FD4-CD2E5C7E31F8}" name="Column8710" dataCellStyle="Normal 2"/>
    <tableColumn id="8726" xr3:uid="{37D69B86-5BF8-4D66-B453-C53C9C797A89}" name="Column8711" dataCellStyle="Normal 2"/>
    <tableColumn id="8727" xr3:uid="{9DB46982-3B8B-4C42-9BC7-C6BA3306E1AF}" name="Column8712" dataCellStyle="Normal 2"/>
    <tableColumn id="8728" xr3:uid="{1EDB2146-D91D-4C27-A5E4-E193B58DDCBB}" name="Column8713" dataCellStyle="Normal 2"/>
    <tableColumn id="8729" xr3:uid="{1C5FC08F-AA89-47EF-B5F4-F095486AB27C}" name="Column8714" dataCellStyle="Normal 2"/>
    <tableColumn id="8730" xr3:uid="{B77DEB84-C6AF-4212-9653-C20598CBBE0B}" name="Column8715" dataCellStyle="Normal 2"/>
    <tableColumn id="8731" xr3:uid="{56FE452E-2302-47C7-97EE-27EFA8710319}" name="Column8716" dataCellStyle="Normal 2"/>
    <tableColumn id="8732" xr3:uid="{28AD6096-F251-4AA6-9A83-8B8A25002AB3}" name="Column8717" dataCellStyle="Normal 2"/>
    <tableColumn id="8733" xr3:uid="{EDB43C92-1604-461A-892E-688AB5487F1B}" name="Column8718" dataCellStyle="Normal 2"/>
    <tableColumn id="8734" xr3:uid="{4448DB80-E123-4A1B-ADDE-879789308EA8}" name="Column8719" dataCellStyle="Normal 2"/>
    <tableColumn id="8735" xr3:uid="{C561271E-CE86-4124-A627-298C0C284A25}" name="Column8720" dataCellStyle="Normal 2"/>
    <tableColumn id="8736" xr3:uid="{D43BBC14-BBA5-4B45-B83E-1BB0AD370B8B}" name="Column8721" dataCellStyle="Normal 2"/>
    <tableColumn id="8737" xr3:uid="{9E9F3E38-B03D-4556-A550-C7BC60DE8695}" name="Column8722" dataCellStyle="Normal 2"/>
    <tableColumn id="8738" xr3:uid="{7F34DB38-EA2B-4A3F-BA75-316C45974A6E}" name="Column8723" dataCellStyle="Normal 2"/>
    <tableColumn id="8739" xr3:uid="{EC17AB52-E4B8-4A2D-A824-5C093136D767}" name="Column8724" dataCellStyle="Normal 2"/>
    <tableColumn id="8740" xr3:uid="{7FC90BC8-CF0F-48FB-9311-639F9C0EE28C}" name="Column8725" dataCellStyle="Normal 2"/>
    <tableColumn id="8741" xr3:uid="{82BAEEF0-BDB3-45E5-A2B0-6126890972CA}" name="Column8726" dataCellStyle="Normal 2"/>
    <tableColumn id="8742" xr3:uid="{E4616D84-E65E-4F97-BB0E-E7E5633BA3DA}" name="Column8727" dataCellStyle="Normal 2"/>
    <tableColumn id="8743" xr3:uid="{D880C74E-8669-416E-A15C-872D99FFEE42}" name="Column8728" dataCellStyle="Normal 2"/>
    <tableColumn id="8744" xr3:uid="{9CD4F2DF-AE48-4873-81BF-15D27D8C0C0F}" name="Column8729" dataCellStyle="Normal 2"/>
    <tableColumn id="8745" xr3:uid="{F527DE85-E136-4E42-8F0A-00FD56B68F5B}" name="Column8730" dataCellStyle="Normal 2"/>
    <tableColumn id="8746" xr3:uid="{76D8DC2C-D24B-4768-ABDF-6CF70C4E3C35}" name="Column8731" dataCellStyle="Normal 2"/>
    <tableColumn id="8747" xr3:uid="{358BFB42-874E-4A28-B9D6-6D95C5FB1FA1}" name="Column8732" dataCellStyle="Normal 2"/>
    <tableColumn id="8748" xr3:uid="{C758C908-66DA-47E2-834D-962BE8A79C27}" name="Column8733" dataCellStyle="Normal 2"/>
    <tableColumn id="8749" xr3:uid="{F5FD44A6-CF18-4E25-BC74-F422843B4046}" name="Column8734" dataCellStyle="Normal 2"/>
    <tableColumn id="8750" xr3:uid="{B186D382-6235-44C1-A59E-B5B09225FD16}" name="Column8735" dataCellStyle="Normal 2"/>
    <tableColumn id="8751" xr3:uid="{A795EF8C-6C3E-456D-9569-3DA469683E9F}" name="Column8736" dataCellStyle="Normal 2"/>
    <tableColumn id="8752" xr3:uid="{18EDEF6F-0945-4E4D-9B4B-E5209A224910}" name="Column8737" dataCellStyle="Normal 2"/>
    <tableColumn id="8753" xr3:uid="{D4550306-E7F6-4172-BF74-002E6899BDF5}" name="Column8738" dataCellStyle="Normal 2"/>
    <tableColumn id="8754" xr3:uid="{0670AF84-D0B8-4695-BA86-9988E2227562}" name="Column8739" dataCellStyle="Normal 2"/>
    <tableColumn id="8755" xr3:uid="{F7285925-1272-49D9-ADA5-BFC411605BD2}" name="Column8740" dataCellStyle="Normal 2"/>
    <tableColumn id="8756" xr3:uid="{13DD44DB-0DE0-4D01-8EF3-DF6025E8BD4C}" name="Column8741" dataCellStyle="Normal 2"/>
    <tableColumn id="8757" xr3:uid="{70F679E5-31E1-4CCA-BA00-94861DFEC185}" name="Column8742" dataCellStyle="Normal 2"/>
    <tableColumn id="8758" xr3:uid="{837BCEE9-3C9B-4F25-9C23-2C5D08719472}" name="Column8743" dataCellStyle="Normal 2"/>
    <tableColumn id="8759" xr3:uid="{EA7A6480-9D1E-4EFA-A6DC-D2E8E906D570}" name="Column8744" dataCellStyle="Normal 2"/>
    <tableColumn id="8760" xr3:uid="{82B8AD2F-0AB4-4293-B1E1-076714FB8A30}" name="Column8745" dataCellStyle="Normal 2"/>
    <tableColumn id="8761" xr3:uid="{60517E19-F0DF-4D00-93BE-C6FFCEE5E24B}" name="Column8746" dataCellStyle="Normal 2"/>
    <tableColumn id="8762" xr3:uid="{26D2011F-0032-414F-BFE5-3EF97BDD6E39}" name="Column8747" dataCellStyle="Normal 2"/>
    <tableColumn id="8763" xr3:uid="{26C6E650-A736-483F-A825-463C42A05325}" name="Column8748" dataCellStyle="Normal 2"/>
    <tableColumn id="8764" xr3:uid="{78D0B193-CF8D-406D-A0CF-7F229ECB61E2}" name="Column8749" dataCellStyle="Normal 2"/>
    <tableColumn id="8765" xr3:uid="{70499313-F75C-4822-97A5-B1D40D5CCC0E}" name="Column8750" dataCellStyle="Normal 2"/>
    <tableColumn id="8766" xr3:uid="{105D5ED0-CECD-4460-8F3D-F11F709EDD72}" name="Column8751" dataCellStyle="Normal 2"/>
    <tableColumn id="8767" xr3:uid="{956CE072-2DCF-4EE4-93EE-2E09B8E1EAB1}" name="Column8752" dataCellStyle="Normal 2"/>
    <tableColumn id="8768" xr3:uid="{4C047A60-4DDD-456D-B22C-4FBDF6C15BFD}" name="Column8753" dataCellStyle="Normal 2"/>
    <tableColumn id="8769" xr3:uid="{D44C2994-8A37-4687-BDDC-0360352E3AEF}" name="Column8754" dataCellStyle="Normal 2"/>
    <tableColumn id="8770" xr3:uid="{F024B63E-58B3-40EB-8E0F-0901C7D68A89}" name="Column8755" dataCellStyle="Normal 2"/>
    <tableColumn id="8771" xr3:uid="{B675813A-6F14-4151-B9AA-E957DC408711}" name="Column8756" dataCellStyle="Normal 2"/>
    <tableColumn id="8772" xr3:uid="{7C19E707-80B3-4A8F-AD8B-1563E67A53EC}" name="Column8757" dataCellStyle="Normal 2"/>
    <tableColumn id="8773" xr3:uid="{AC19BE8E-E7BD-4086-9A12-7B89DBD5E720}" name="Column8758" dataCellStyle="Normal 2"/>
    <tableColumn id="8774" xr3:uid="{C16D5F09-0D09-4B41-8AB3-08C982D75C5A}" name="Column8759" dataCellStyle="Normal 2"/>
    <tableColumn id="8775" xr3:uid="{01A1E5CD-82FB-404E-8FA4-B87357F3BE5D}" name="Column8760" dataCellStyle="Normal 2"/>
    <tableColumn id="8776" xr3:uid="{C1CBBBE0-7067-48E3-BC33-EA2B7BFA3B85}" name="Column8761" dataCellStyle="Normal 2"/>
    <tableColumn id="8777" xr3:uid="{14318D25-78C2-40F0-A086-5817410647C7}" name="Column8762" dataCellStyle="Normal 2"/>
    <tableColumn id="8778" xr3:uid="{98A7B099-4989-4249-9E53-7D4D206A1A19}" name="Column8763" dataCellStyle="Normal 2"/>
    <tableColumn id="8779" xr3:uid="{2B5A5CD1-C748-4428-AC50-14DDF555BBDE}" name="Column8764" dataCellStyle="Normal 2"/>
    <tableColumn id="8780" xr3:uid="{7A61042F-C451-457E-9F1A-5B7A1506D32D}" name="Column8765" dataCellStyle="Normal 2"/>
    <tableColumn id="8781" xr3:uid="{87049A86-85B3-4E10-A81B-61037EF0E0C1}" name="Column8766" dataCellStyle="Normal 2"/>
    <tableColumn id="8782" xr3:uid="{C8E2BB5F-0BAA-4707-BC3F-BD57F95B9663}" name="Column8767" dataCellStyle="Normal 2"/>
    <tableColumn id="8783" xr3:uid="{52A2A53E-6036-44EB-AF92-5D3EFD9FDB30}" name="Column8768" dataCellStyle="Normal 2"/>
    <tableColumn id="8784" xr3:uid="{1333101A-F4B1-4BD7-AB6B-5AC6C5DE2126}" name="Column8769" dataCellStyle="Normal 2"/>
    <tableColumn id="8785" xr3:uid="{9F62D2AD-5DA0-4B46-A665-667111D14B9F}" name="Column8770" dataCellStyle="Normal 2"/>
    <tableColumn id="8786" xr3:uid="{5BBCC522-EAF7-4DFA-AE28-C22EFC78B65E}" name="Column8771" dataCellStyle="Normal 2"/>
    <tableColumn id="8787" xr3:uid="{0F1A0982-8FE1-4F1E-B4B0-DF1A8DEB419D}" name="Column8772" dataCellStyle="Normal 2"/>
    <tableColumn id="8788" xr3:uid="{8589C163-E1FF-4C0A-8D64-2288C0FC8DF6}" name="Column8773" dataCellStyle="Normal 2"/>
    <tableColumn id="8789" xr3:uid="{83875E44-5F87-4EFC-9B50-E312CCD35BF6}" name="Column8774" dataCellStyle="Normal 2"/>
    <tableColumn id="8790" xr3:uid="{72022115-A503-41DF-B124-A82E967D65F4}" name="Column8775" dataCellStyle="Normal 2"/>
    <tableColumn id="8791" xr3:uid="{1BE0D3CE-51EC-4C6C-97F7-A44A6E0B133E}" name="Column8776" dataCellStyle="Normal 2"/>
    <tableColumn id="8792" xr3:uid="{575DB76E-78D1-46A1-A5E6-B17C41DCB67A}" name="Column8777" dataCellStyle="Normal 2"/>
    <tableColumn id="8793" xr3:uid="{F8EDF778-BC9C-47DF-B4F0-DAD48B63237E}" name="Column8778" dataCellStyle="Normal 2"/>
    <tableColumn id="8794" xr3:uid="{0DEDF046-3E3E-4E24-A2B9-5DD384047380}" name="Column8779" dataCellStyle="Normal 2"/>
    <tableColumn id="8795" xr3:uid="{812348D9-A36E-4343-AF7D-75347811FE01}" name="Column8780" dataCellStyle="Normal 2"/>
    <tableColumn id="8796" xr3:uid="{4163CCF9-F37B-4FEE-B662-2F9CFFE4CEB0}" name="Column8781" dataCellStyle="Normal 2"/>
    <tableColumn id="8797" xr3:uid="{EB02579B-AB2D-466C-B457-EDEB1F249A1E}" name="Column8782" dataCellStyle="Normal 2"/>
    <tableColumn id="8798" xr3:uid="{415650D8-20A4-41D9-87D4-EB63670B9D77}" name="Column8783" dataCellStyle="Normal 2"/>
    <tableColumn id="8799" xr3:uid="{AAEEFA85-8CCE-4587-B4DA-0DB8F09CC795}" name="Column8784" dataCellStyle="Normal 2"/>
    <tableColumn id="8800" xr3:uid="{B1BF722A-39BB-44E5-B1C2-99BA5A7F8190}" name="Column8785" dataCellStyle="Normal 2"/>
    <tableColumn id="8801" xr3:uid="{C30C1A98-ED4B-41F8-8E40-1B83F3CE3DDC}" name="Column8786" dataCellStyle="Normal 2"/>
    <tableColumn id="8802" xr3:uid="{AA789239-77EB-465D-AE87-F6933104018B}" name="Column8787" dataCellStyle="Normal 2"/>
    <tableColumn id="8803" xr3:uid="{D65F887D-9FCB-414F-82F4-06FA53267608}" name="Column8788" dataCellStyle="Normal 2"/>
    <tableColumn id="8804" xr3:uid="{1BB38C48-65C6-4A2E-A45D-C2D2CB20DE6A}" name="Column8789" dataCellStyle="Normal 2"/>
    <tableColumn id="8805" xr3:uid="{19D014EC-53CF-4456-B73C-883A49866E10}" name="Column8790" dataCellStyle="Normal 2"/>
    <tableColumn id="8806" xr3:uid="{F9BCED62-FAE0-4EF9-8F84-A607BE4B0EC8}" name="Column8791" dataCellStyle="Normal 2"/>
    <tableColumn id="8807" xr3:uid="{483FCB82-A775-48CE-91D7-BA17B75E629A}" name="Column8792" dataCellStyle="Normal 2"/>
    <tableColumn id="8808" xr3:uid="{D2691B3D-2349-4EBA-8D0E-8B0C6B902DA2}" name="Column8793" dataCellStyle="Normal 2"/>
    <tableColumn id="8809" xr3:uid="{7457F924-B102-441A-87F1-281F8CF59F89}" name="Column8794" dataCellStyle="Normal 2"/>
    <tableColumn id="8810" xr3:uid="{F41171D3-1508-4378-8AB1-9A34DEBCA332}" name="Column8795" dataCellStyle="Normal 2"/>
    <tableColumn id="8811" xr3:uid="{126FD91A-93ED-4010-B9E6-68351D0ADD85}" name="Column8796" dataCellStyle="Normal 2"/>
    <tableColumn id="8812" xr3:uid="{5F87049D-1835-4424-B115-552D2B20A51E}" name="Column8797" dataCellStyle="Normal 2"/>
    <tableColumn id="8813" xr3:uid="{B52F694E-8966-4807-A28F-08B9DE1BD9CB}" name="Column8798" dataCellStyle="Normal 2"/>
    <tableColumn id="8814" xr3:uid="{1B1A437F-8AF4-487B-9FF3-CFACC1B66C62}" name="Column8799" dataCellStyle="Normal 2"/>
    <tableColumn id="8815" xr3:uid="{1E1A29DE-D93A-43B3-A6BD-2050645D7489}" name="Column8800" dataCellStyle="Normal 2"/>
    <tableColumn id="8816" xr3:uid="{158ADB57-670B-430B-B762-4736DC1614C1}" name="Column8801" dataCellStyle="Normal 2"/>
    <tableColumn id="8817" xr3:uid="{A94A5161-A221-4929-92C6-C57A6831D677}" name="Column8802" dataCellStyle="Normal 2"/>
    <tableColumn id="8818" xr3:uid="{9071A855-7597-48E4-983E-D0E3EEBEE584}" name="Column8803" dataCellStyle="Normal 2"/>
    <tableColumn id="8819" xr3:uid="{79A0997E-4429-42FF-91CC-4594A8AC7D32}" name="Column8804" dataCellStyle="Normal 2"/>
    <tableColumn id="8820" xr3:uid="{C44F456A-8698-4B5E-B1C9-A04D9188AAC7}" name="Column8805" dataCellStyle="Normal 2"/>
    <tableColumn id="8821" xr3:uid="{6E7A234A-D8ED-459C-99E9-990305CDA145}" name="Column8806" dataCellStyle="Normal 2"/>
    <tableColumn id="8822" xr3:uid="{25236E06-8220-4FF6-B31C-4FF62783C1FC}" name="Column8807" dataCellStyle="Normal 2"/>
    <tableColumn id="8823" xr3:uid="{249D5833-2060-4E2A-B204-1C96F8F00E19}" name="Column8808" dataCellStyle="Normal 2"/>
    <tableColumn id="8824" xr3:uid="{DF14DC72-95EA-47C0-865D-36714D67A9C0}" name="Column8809" dataCellStyle="Normal 2"/>
    <tableColumn id="8825" xr3:uid="{1939A904-DA00-4075-B273-A45BD7C99ED7}" name="Column8810" dataCellStyle="Normal 2"/>
    <tableColumn id="8826" xr3:uid="{A030064B-C4EA-4DB9-89B2-261CBE62338A}" name="Column8811" dataCellStyle="Normal 2"/>
    <tableColumn id="8827" xr3:uid="{4D7079C4-AE52-4ED8-A054-3BFF4223E3E2}" name="Column8812" dataCellStyle="Normal 2"/>
    <tableColumn id="8828" xr3:uid="{467E6CA8-F622-41DB-81C4-75549B36A928}" name="Column8813" dataCellStyle="Normal 2"/>
    <tableColumn id="8829" xr3:uid="{29536119-E64E-45C6-8478-2548A40B8B52}" name="Column8814" dataCellStyle="Normal 2"/>
    <tableColumn id="8830" xr3:uid="{6F407BA9-E830-4051-B231-7E5E55509AC4}" name="Column8815" dataCellStyle="Normal 2"/>
    <tableColumn id="8831" xr3:uid="{E2065FDE-9275-4D97-8B2C-61AD53A69FAE}" name="Column8816" dataCellStyle="Normal 2"/>
    <tableColumn id="8832" xr3:uid="{8D63DE54-FF1E-4C3F-9706-0541F1B0F201}" name="Column8817" dataCellStyle="Normal 2"/>
    <tableColumn id="8833" xr3:uid="{9DE77100-180F-4CF9-A7C1-03AFB2C94B7E}" name="Column8818" dataCellStyle="Normal 2"/>
    <tableColumn id="8834" xr3:uid="{2CB66E7A-A25F-41B1-9629-DCFA7E329842}" name="Column8819" dataCellStyle="Normal 2"/>
    <tableColumn id="8835" xr3:uid="{F60D276C-C519-410A-908E-01BF191160C2}" name="Column8820" dataCellStyle="Normal 2"/>
    <tableColumn id="8836" xr3:uid="{C310ED85-185F-45BB-A90B-12AACD0788EF}" name="Column8821" dataCellStyle="Normal 2"/>
    <tableColumn id="8837" xr3:uid="{327FF15E-C786-468D-95CB-8847211BF71C}" name="Column8822" dataCellStyle="Normal 2"/>
    <tableColumn id="8838" xr3:uid="{5DDB42FD-AC2D-44A7-A097-01AAF98DBBD1}" name="Column8823" dataCellStyle="Normal 2"/>
    <tableColumn id="8839" xr3:uid="{7B08E5D2-E5C4-4F66-BE4F-853B9B8D720C}" name="Column8824" dataCellStyle="Normal 2"/>
    <tableColumn id="8840" xr3:uid="{21C3B6BB-5415-4E58-8F0A-5A72D80B1678}" name="Column8825" dataCellStyle="Normal 2"/>
    <tableColumn id="8841" xr3:uid="{0E9E07D3-5DD4-4A19-AF85-DCF552D85221}" name="Column8826" dataCellStyle="Normal 2"/>
    <tableColumn id="8842" xr3:uid="{127D37D4-1278-477B-B886-10E5139483A2}" name="Column8827" dataCellStyle="Normal 2"/>
    <tableColumn id="8843" xr3:uid="{7F21423D-3DCC-4892-84BE-D54DDF37A21A}" name="Column8828" dataCellStyle="Normal 2"/>
    <tableColumn id="8844" xr3:uid="{41F89815-822B-49CA-B95B-66E724967C31}" name="Column8829" dataCellStyle="Normal 2"/>
    <tableColumn id="8845" xr3:uid="{7D1B632C-CC12-4B8D-8860-B31B2F536AA4}" name="Column8830" dataCellStyle="Normal 2"/>
    <tableColumn id="8846" xr3:uid="{E0FC4371-CEBD-44AD-AF1A-6F3289DCF8DD}" name="Column8831" dataCellStyle="Normal 2"/>
    <tableColumn id="8847" xr3:uid="{B802C1FB-D54F-4D2B-B26A-54E4DCEEE93F}" name="Column8832" dataCellStyle="Normal 2"/>
    <tableColumn id="8848" xr3:uid="{BD9944FE-F29D-4A12-B5DC-C59DF1053FEA}" name="Column8833" dataCellStyle="Normal 2"/>
    <tableColumn id="8849" xr3:uid="{F734C416-95FD-4267-A033-705A5C3A63D3}" name="Column8834" dataCellStyle="Normal 2"/>
    <tableColumn id="8850" xr3:uid="{C7B03038-E5D6-4175-8092-2B3C08B57DC5}" name="Column8835" dataCellStyle="Normal 2"/>
    <tableColumn id="8851" xr3:uid="{A2C18654-8905-4680-ACBE-78F14E006863}" name="Column8836" dataCellStyle="Normal 2"/>
    <tableColumn id="8852" xr3:uid="{C4851116-71B1-48CB-BCE7-59E03B4256F6}" name="Column8837" dataCellStyle="Normal 2"/>
    <tableColumn id="8853" xr3:uid="{57B41E4A-14B1-4CC8-B835-FDAA6BE85BD7}" name="Column8838" dataCellStyle="Normal 2"/>
    <tableColumn id="8854" xr3:uid="{D2F1A03F-1BB3-49FD-97CB-51B7C1FDE41F}" name="Column8839" dataCellStyle="Normal 2"/>
    <tableColumn id="8855" xr3:uid="{A5ED0180-16A9-46DA-B1E6-B3B2C1FF8325}" name="Column8840" dataCellStyle="Normal 2"/>
    <tableColumn id="8856" xr3:uid="{DC11C7F7-845C-4CDA-BCA4-01413EADEC19}" name="Column8841" dataCellStyle="Normal 2"/>
    <tableColumn id="8857" xr3:uid="{175A3584-D877-4482-B77A-C262346378F4}" name="Column8842" dataCellStyle="Normal 2"/>
    <tableColumn id="8858" xr3:uid="{1DF1FD27-54C5-41C6-AA8B-2A426058DE00}" name="Column8843" dataCellStyle="Normal 2"/>
    <tableColumn id="8859" xr3:uid="{13F4BA5D-7AC4-49DB-9664-DDD9C8EFEC38}" name="Column8844" dataCellStyle="Normal 2"/>
    <tableColumn id="8860" xr3:uid="{DC7733C4-F40A-42C0-A601-B9F5E2292478}" name="Column8845" dataCellStyle="Normal 2"/>
    <tableColumn id="8861" xr3:uid="{318AF4A8-A873-4E22-9B31-24E0592F5A7F}" name="Column8846" dataCellStyle="Normal 2"/>
    <tableColumn id="8862" xr3:uid="{682BFFA4-757D-4903-A07B-4A4176387C1A}" name="Column8847" dataCellStyle="Normal 2"/>
    <tableColumn id="8863" xr3:uid="{9019F441-EDC6-40A0-8DF1-EE2EEFF80FEC}" name="Column8848" dataCellStyle="Normal 2"/>
    <tableColumn id="8864" xr3:uid="{3BB30CC3-98EC-46ED-9A26-2BCCE91D395E}" name="Column8849" dataCellStyle="Normal 2"/>
    <tableColumn id="8865" xr3:uid="{7EDAED7B-44ED-469B-AC17-690B06514B5E}" name="Column8850" dataCellStyle="Normal 2"/>
    <tableColumn id="8866" xr3:uid="{C3DAC929-258E-4CCC-91A1-98E0B964C6B9}" name="Column8851" dataCellStyle="Normal 2"/>
    <tableColumn id="8867" xr3:uid="{C3E1FD49-39F7-4070-BA72-68092CF1FE42}" name="Column8852" dataCellStyle="Normal 2"/>
    <tableColumn id="8868" xr3:uid="{4E408B30-98FE-4EFA-8708-3C9FBDD71412}" name="Column8853" dataCellStyle="Normal 2"/>
    <tableColumn id="8869" xr3:uid="{B1B270D5-E129-4C1D-8041-929DCF579200}" name="Column8854" dataCellStyle="Normal 2"/>
    <tableColumn id="8870" xr3:uid="{8E3860FC-B33D-42A3-891F-F60EAFA34AEC}" name="Column8855" dataCellStyle="Normal 2"/>
    <tableColumn id="8871" xr3:uid="{66C63891-818B-4019-958F-80754B93D23A}" name="Column8856" dataCellStyle="Normal 2"/>
    <tableColumn id="8872" xr3:uid="{1FBCBDBC-B507-40D1-942F-6F4DD81F48C1}" name="Column8857" dataCellStyle="Normal 2"/>
    <tableColumn id="8873" xr3:uid="{E4211BBE-8999-4BE3-9F7A-E429870A43BB}" name="Column8858" dataCellStyle="Normal 2"/>
    <tableColumn id="8874" xr3:uid="{C3719888-6026-453B-83C8-C2FF0D27F289}" name="Column8859" dataCellStyle="Normal 2"/>
    <tableColumn id="8875" xr3:uid="{F3E64C69-4142-46F9-9535-261F696E6374}" name="Column8860" dataCellStyle="Normal 2"/>
    <tableColumn id="8876" xr3:uid="{4B028693-3802-46D1-B415-CDF280D246DD}" name="Column8861" dataCellStyle="Normal 2"/>
    <tableColumn id="8877" xr3:uid="{12A43C35-954B-4A0A-A36D-9AC224B3A204}" name="Column8862" dataCellStyle="Normal 2"/>
    <tableColumn id="8878" xr3:uid="{B1E02261-CC28-4C65-9125-6F6479A79D9D}" name="Column8863" dataCellStyle="Normal 2"/>
    <tableColumn id="8879" xr3:uid="{32C1C67D-EE4E-4BDF-8EA5-658739531B49}" name="Column8864" dataCellStyle="Normal 2"/>
    <tableColumn id="8880" xr3:uid="{5AB9523C-6FB6-4C0A-B279-04EF48D4DAB8}" name="Column8865" dataCellStyle="Normal 2"/>
    <tableColumn id="8881" xr3:uid="{99A154AC-6426-481C-9B90-E7361EB57B9F}" name="Column8866" dataCellStyle="Normal 2"/>
    <tableColumn id="8882" xr3:uid="{1849DC89-9BA7-4542-83B6-F26E86EBDFEB}" name="Column8867" dataCellStyle="Normal 2"/>
    <tableColumn id="8883" xr3:uid="{D4C9CF2C-D68C-4260-A8AD-047BB11C0F43}" name="Column8868" dataCellStyle="Normal 2"/>
    <tableColumn id="8884" xr3:uid="{7ACDEB4A-26F0-4709-AFBC-C1281BBC8085}" name="Column8869" dataCellStyle="Normal 2"/>
    <tableColumn id="8885" xr3:uid="{3F9AC906-4C42-400D-BAFF-800A6B7E8EBE}" name="Column8870" dataCellStyle="Normal 2"/>
    <tableColumn id="8886" xr3:uid="{99A9008B-A93B-4894-9022-70FC345E261C}" name="Column8871" dataCellStyle="Normal 2"/>
    <tableColumn id="8887" xr3:uid="{14FAE71B-41C1-4FCA-9F08-D29430460D51}" name="Column8872" dataCellStyle="Normal 2"/>
    <tableColumn id="8888" xr3:uid="{3EC8C7A8-F0A7-41BF-A045-4F9F155EBF5B}" name="Column8873" dataCellStyle="Normal 2"/>
    <tableColumn id="8889" xr3:uid="{C2819D17-37D8-4818-BD0E-2603E1CB9490}" name="Column8874" dataCellStyle="Normal 2"/>
    <tableColumn id="8890" xr3:uid="{27A8186B-FE3F-45BF-84EA-9BA2942A19CE}" name="Column8875" dataCellStyle="Normal 2"/>
    <tableColumn id="8891" xr3:uid="{693BB97B-4C3C-4815-BC12-AEAE04CCCB29}" name="Column8876" dataCellStyle="Normal 2"/>
    <tableColumn id="8892" xr3:uid="{30039C28-E43F-4233-90EA-BADEA4B54845}" name="Column8877" dataCellStyle="Normal 2"/>
    <tableColumn id="8893" xr3:uid="{E2E7A08E-6E8D-4DD1-AB19-31268301B958}" name="Column8878" dataCellStyle="Normal 2"/>
    <tableColumn id="8894" xr3:uid="{401567F8-EFEE-4AFF-8445-86F9FF2BF5F6}" name="Column8879" dataCellStyle="Normal 2"/>
    <tableColumn id="8895" xr3:uid="{A4D54E0B-CC19-4B9A-9F1C-F9E5B0044FFF}" name="Column8880" dataCellStyle="Normal 2"/>
    <tableColumn id="8896" xr3:uid="{1642AC8A-9B7E-4341-81B3-00D5D8FF4734}" name="Column8881" dataCellStyle="Normal 2"/>
    <tableColumn id="8897" xr3:uid="{5574E5E0-BB37-4895-A9C2-85D55C2DCCD9}" name="Column8882" dataCellStyle="Normal 2"/>
    <tableColumn id="8898" xr3:uid="{B6E20036-8D6D-4CF8-BC05-A352A98840F8}" name="Column8883" dataCellStyle="Normal 2"/>
    <tableColumn id="8899" xr3:uid="{9D06576F-0884-4EED-8290-473CEFCAECA9}" name="Column8884" dataCellStyle="Normal 2"/>
    <tableColumn id="8900" xr3:uid="{4A67CC13-2E92-493A-8B96-E7B9D5DCF868}" name="Column8885" dataCellStyle="Normal 2"/>
    <tableColumn id="8901" xr3:uid="{65AAFFBE-89C8-4DE0-859F-8ED6263DF4A0}" name="Column8886" dataCellStyle="Normal 2"/>
    <tableColumn id="8902" xr3:uid="{0AE24E0A-65EE-42A4-91B5-0AED43A47738}" name="Column8887" dataCellStyle="Normal 2"/>
    <tableColumn id="8903" xr3:uid="{CFA3C81C-7AB2-483A-B42B-3475A7BDB085}" name="Column8888" dataCellStyle="Normal 2"/>
    <tableColumn id="8904" xr3:uid="{5BDA8EBE-9586-4BD3-8C7D-933F7CDD9237}" name="Column8889" dataCellStyle="Normal 2"/>
    <tableColumn id="8905" xr3:uid="{74AF82BF-8F8A-4275-AFA4-10EB03319894}" name="Column8890" dataCellStyle="Normal 2"/>
    <tableColumn id="8906" xr3:uid="{65890D6C-40B3-4F66-94A4-98464BA3919E}" name="Column8891" dataCellStyle="Normal 2"/>
    <tableColumn id="8907" xr3:uid="{DD476FBC-C9BF-4D64-962C-32BCBB54565D}" name="Column8892" dataCellStyle="Normal 2"/>
    <tableColumn id="8908" xr3:uid="{F985E573-9349-4E8A-BE34-DEFFD66C886D}" name="Column8893" dataCellStyle="Normal 2"/>
    <tableColumn id="8909" xr3:uid="{F0E301DF-2732-440C-8B8E-489946E00C25}" name="Column8894" dataCellStyle="Normal 2"/>
    <tableColumn id="8910" xr3:uid="{409A4703-FCE9-4CB7-B28D-EE6FC3648A20}" name="Column8895" dataCellStyle="Normal 2"/>
    <tableColumn id="8911" xr3:uid="{A7949163-B892-4EA2-AD56-1AB2906022A9}" name="Column8896" dataCellStyle="Normal 2"/>
    <tableColumn id="8912" xr3:uid="{09D81364-C393-4CB1-B4B7-42AD3F087831}" name="Column8897" dataCellStyle="Normal 2"/>
    <tableColumn id="8913" xr3:uid="{0303077A-4558-4EFF-9722-F796F034774B}" name="Column8898" dataCellStyle="Normal 2"/>
    <tableColumn id="8914" xr3:uid="{2A365504-27C9-429D-9F9F-69CCC8A7C679}" name="Column8899" dataCellStyle="Normal 2"/>
    <tableColumn id="8915" xr3:uid="{B34B00C9-BF7F-4F17-8999-F3A9B0BAA2FD}" name="Column8900" dataCellStyle="Normal 2"/>
    <tableColumn id="8916" xr3:uid="{73942826-137C-4767-8606-6E89BC412B4B}" name="Column8901" dataCellStyle="Normal 2"/>
    <tableColumn id="8917" xr3:uid="{CE08A7E6-1667-4B0F-A02E-595EA8D09D9E}" name="Column8902" dataCellStyle="Normal 2"/>
    <tableColumn id="8918" xr3:uid="{5229D517-C8C8-4ECF-85B5-2F97EF4EA317}" name="Column8903" dataCellStyle="Normal 2"/>
    <tableColumn id="8919" xr3:uid="{D529A7EE-7523-40D3-A7FE-4D924CFE396E}" name="Column8904" dataCellStyle="Normal 2"/>
    <tableColumn id="8920" xr3:uid="{FC464ABE-F0A2-4247-A9D8-622324E4784C}" name="Column8905" dataCellStyle="Normal 2"/>
    <tableColumn id="8921" xr3:uid="{51A3E70B-E8B8-4BCC-B302-524901454466}" name="Column8906" dataCellStyle="Normal 2"/>
    <tableColumn id="8922" xr3:uid="{5599AA44-36CC-4CB4-9E15-54D6A21607CB}" name="Column8907" dataCellStyle="Normal 2"/>
    <tableColumn id="8923" xr3:uid="{1594EEF6-4697-41F5-99FD-13B194797A32}" name="Column8908" dataCellStyle="Normal 2"/>
    <tableColumn id="8924" xr3:uid="{7F130AB1-B2DF-4F62-ADFC-1D1B53DF5616}" name="Column8909" dataCellStyle="Normal 2"/>
    <tableColumn id="8925" xr3:uid="{13E4DD60-2A93-4ACB-81D8-40FCF71E9583}" name="Column8910" dataCellStyle="Normal 2"/>
    <tableColumn id="8926" xr3:uid="{0B0AFA6D-3664-443E-AB18-D1D2C955999B}" name="Column8911" dataCellStyle="Normal 2"/>
    <tableColumn id="8927" xr3:uid="{040C3DBD-FA48-406C-8FE6-EA19277EA53F}" name="Column8912" dataCellStyle="Normal 2"/>
    <tableColumn id="8928" xr3:uid="{C4978B8C-F5EF-4C50-B82D-F347C68F4723}" name="Column8913" dataCellStyle="Normal 2"/>
    <tableColumn id="8929" xr3:uid="{58C7713C-6B69-4B9F-A3D8-A9D8C13859F2}" name="Column8914" dataCellStyle="Normal 2"/>
    <tableColumn id="8930" xr3:uid="{3AABD391-19C1-4692-8DEF-91A4145C4962}" name="Column8915" dataCellStyle="Normal 2"/>
    <tableColumn id="8931" xr3:uid="{86EC5D9E-18CD-4975-AF13-012FE4C3F6AC}" name="Column8916" dataCellStyle="Normal 2"/>
    <tableColumn id="8932" xr3:uid="{F5C8A45D-DB43-4876-9EDC-EF364E93F3B0}" name="Column8917" dataCellStyle="Normal 2"/>
    <tableColumn id="8933" xr3:uid="{7F1A59BC-57EE-4AC1-AF36-B4CB64E9C128}" name="Column8918" dataCellStyle="Normal 2"/>
    <tableColumn id="8934" xr3:uid="{4EA45F12-5FE6-49F4-A03E-05781E53FF89}" name="Column8919" dataCellStyle="Normal 2"/>
    <tableColumn id="8935" xr3:uid="{18200D65-F74C-443A-84EE-8C592C744CCF}" name="Column8920" dataCellStyle="Normal 2"/>
    <tableColumn id="8936" xr3:uid="{66E63D2E-2B7C-4CB6-87B1-1EE1F9DB02CA}" name="Column8921" dataCellStyle="Normal 2"/>
    <tableColumn id="8937" xr3:uid="{4AD19A7C-4EE0-4C35-AC4B-D31B6283818A}" name="Column8922" dataCellStyle="Normal 2"/>
    <tableColumn id="8938" xr3:uid="{723C2E93-0322-4F34-8F09-EDE3C431652F}" name="Column8923" dataCellStyle="Normal 2"/>
    <tableColumn id="8939" xr3:uid="{6CDD9E06-21D3-4F85-962F-9982898B1387}" name="Column8924" dataCellStyle="Normal 2"/>
    <tableColumn id="8940" xr3:uid="{C673C5A4-DF02-47B7-B059-7DC25323B112}" name="Column8925" dataCellStyle="Normal 2"/>
    <tableColumn id="8941" xr3:uid="{3A1B49E9-BAF6-4F0F-BEBB-EF9EE6EF75BF}" name="Column8926" dataCellStyle="Normal 2"/>
    <tableColumn id="8942" xr3:uid="{BCC6E550-FFA5-4ECC-8D9E-B3957412A349}" name="Column8927" dataCellStyle="Normal 2"/>
    <tableColumn id="8943" xr3:uid="{2045FCE8-C6AB-4F88-BB99-F06BAA5C4FB1}" name="Column8928" dataCellStyle="Normal 2"/>
    <tableColumn id="8944" xr3:uid="{D5690391-8695-4C55-917F-97A5523952BA}" name="Column8929" dataCellStyle="Normal 2"/>
    <tableColumn id="8945" xr3:uid="{3595B971-7C8A-44E6-89CF-663DDFE2FA6E}" name="Column8930" dataCellStyle="Normal 2"/>
    <tableColumn id="8946" xr3:uid="{3A6B68CA-547D-451C-BB58-4AEB8F3B3F13}" name="Column8931" dataCellStyle="Normal 2"/>
    <tableColumn id="8947" xr3:uid="{3CEA74AF-6F34-4732-AF73-FB2BAC7544F9}" name="Column8932" dataCellStyle="Normal 2"/>
    <tableColumn id="8948" xr3:uid="{60CC6854-D9AA-4685-86F6-8CDF94909E92}" name="Column8933" dataCellStyle="Normal 2"/>
    <tableColumn id="8949" xr3:uid="{EC48D385-1057-4B08-A6C7-1A6C0CFD6568}" name="Column8934" dataCellStyle="Normal 2"/>
    <tableColumn id="8950" xr3:uid="{6C7BE21E-F748-47A0-9161-001EE1081480}" name="Column8935" dataCellStyle="Normal 2"/>
    <tableColumn id="8951" xr3:uid="{8D40DC58-257C-4F7A-817E-E55F9EADE3EC}" name="Column8936" dataCellStyle="Normal 2"/>
    <tableColumn id="8952" xr3:uid="{6593E602-8E6B-4BA0-AE75-8D03A397727C}" name="Column8937" dataCellStyle="Normal 2"/>
    <tableColumn id="8953" xr3:uid="{D2C23873-6F89-4F34-96FD-85EB6B39984B}" name="Column8938" dataCellStyle="Normal 2"/>
    <tableColumn id="8954" xr3:uid="{1A0634D9-ED64-4E5A-ACD7-8FA9BF46B3D5}" name="Column8939" dataCellStyle="Normal 2"/>
    <tableColumn id="8955" xr3:uid="{BAB21565-07DE-4464-AA62-CEA478203C46}" name="Column8940" dataCellStyle="Normal 2"/>
    <tableColumn id="8956" xr3:uid="{855AFE8A-D7F5-4153-A1BC-1B20CB89B1B2}" name="Column8941" dataCellStyle="Normal 2"/>
    <tableColumn id="8957" xr3:uid="{03154264-D579-42C8-9243-5AB4E37ADD53}" name="Column8942" dataCellStyle="Normal 2"/>
    <tableColumn id="8958" xr3:uid="{93CD5CE2-5C9C-4672-BD97-A59126B7C4D6}" name="Column8943" dataCellStyle="Normal 2"/>
    <tableColumn id="8959" xr3:uid="{937AC19A-675C-4C91-A02A-ACEDC9DA8FEC}" name="Column8944" dataCellStyle="Normal 2"/>
    <tableColumn id="8960" xr3:uid="{4A7A581E-EF79-4678-9CC8-459C482B79DA}" name="Column8945" dataCellStyle="Normal 2"/>
    <tableColumn id="8961" xr3:uid="{4A14BC56-E384-4AA0-89B8-34A322D2F5C8}" name="Column8946" dataCellStyle="Normal 2"/>
    <tableColumn id="8962" xr3:uid="{8892CFBA-5542-4C85-8FDF-19560A6C6162}" name="Column8947" dataCellStyle="Normal 2"/>
    <tableColumn id="8963" xr3:uid="{82628373-F65D-4060-8192-41BB8867C96B}" name="Column8948" dataCellStyle="Normal 2"/>
    <tableColumn id="8964" xr3:uid="{17B5C261-1332-4E5F-908D-991AA08D4F66}" name="Column8949" dataCellStyle="Normal 2"/>
    <tableColumn id="8965" xr3:uid="{A39A8B31-3A07-4E5A-BD29-63E87349630C}" name="Column8950" dataCellStyle="Normal 2"/>
    <tableColumn id="8966" xr3:uid="{4D43D50E-8545-44DD-8392-EA130BC855FD}" name="Column8951" dataCellStyle="Normal 2"/>
    <tableColumn id="8967" xr3:uid="{3F2281E9-181C-4B3A-8545-ACC9AB84A124}" name="Column8952" dataCellStyle="Normal 2"/>
    <tableColumn id="8968" xr3:uid="{61CBBB9C-A861-4DCE-B9C7-4D83C65857E0}" name="Column8953" dataCellStyle="Normal 2"/>
    <tableColumn id="8969" xr3:uid="{4DDEB05E-7A7A-4527-8DCC-9E9E7FFD5A35}" name="Column8954" dataCellStyle="Normal 2"/>
    <tableColumn id="8970" xr3:uid="{A8B1EA9E-7D93-425C-8633-193D0476C363}" name="Column8955" dataCellStyle="Normal 2"/>
    <tableColumn id="8971" xr3:uid="{4419340E-3AA7-45AB-A723-76829FC3701C}" name="Column8956" dataCellStyle="Normal 2"/>
    <tableColumn id="8972" xr3:uid="{AAB19139-0BB0-43F1-96C1-D9E9FB42CF72}" name="Column8957" dataCellStyle="Normal 2"/>
    <tableColumn id="8973" xr3:uid="{937973BB-8BB3-4D1A-8D14-C4EE1099448D}" name="Column8958" dataCellStyle="Normal 2"/>
    <tableColumn id="8974" xr3:uid="{F9EEE4BF-9839-4FBC-B021-B45EE822B0D5}" name="Column8959" dataCellStyle="Normal 2"/>
    <tableColumn id="8975" xr3:uid="{BFD2CFF8-8A9D-48B2-84D8-BFB8F5EE03C6}" name="Column8960" dataCellStyle="Normal 2"/>
    <tableColumn id="8976" xr3:uid="{8112177C-0A64-4604-BE2C-784F8FCC14D9}" name="Column8961" dataCellStyle="Normal 2"/>
    <tableColumn id="8977" xr3:uid="{B244C546-3D47-4398-8B6A-7BB7FCB878C0}" name="Column8962" dataCellStyle="Normal 2"/>
    <tableColumn id="8978" xr3:uid="{9D3F7CF8-066D-4906-AF99-71A1EC72F707}" name="Column8963" dataCellStyle="Normal 2"/>
    <tableColumn id="8979" xr3:uid="{4EC7C033-4E17-43E3-B553-8182F6D0321A}" name="Column8964" dataCellStyle="Normal 2"/>
    <tableColumn id="8980" xr3:uid="{57BF6478-C2A5-4539-BD74-E7EAE5174FA8}" name="Column8965" dataCellStyle="Normal 2"/>
    <tableColumn id="8981" xr3:uid="{F0E6EDB9-E618-4213-84ED-EA07400A6829}" name="Column8966" dataCellStyle="Normal 2"/>
    <tableColumn id="8982" xr3:uid="{997AD847-95F2-4E05-B04B-C5D7A4614B7F}" name="Column8967" dataCellStyle="Normal 2"/>
    <tableColumn id="8983" xr3:uid="{FF67A8A1-ACED-4BB0-8CD7-4C606E4CB0A3}" name="Column8968" dataCellStyle="Normal 2"/>
    <tableColumn id="8984" xr3:uid="{E7814532-114F-435C-9162-ECC4BCD1BC4F}" name="Column8969" dataCellStyle="Normal 2"/>
    <tableColumn id="8985" xr3:uid="{D22A543C-2DDD-4B28-9E01-4D251E5F4F54}" name="Column8970" dataCellStyle="Normal 2"/>
    <tableColumn id="8986" xr3:uid="{B319ABCC-E43C-473B-AAF4-C97838894AD5}" name="Column8971" dataCellStyle="Normal 2"/>
    <tableColumn id="8987" xr3:uid="{4A96AC01-112B-4900-ADBE-FDF12C2D3E57}" name="Column8972" dataCellStyle="Normal 2"/>
    <tableColumn id="8988" xr3:uid="{CB998DDE-E155-496C-BD1B-33705DEAC654}" name="Column8973" dataCellStyle="Normal 2"/>
    <tableColumn id="8989" xr3:uid="{8E2651F8-8BAF-4446-B0ED-6E78316AD1E0}" name="Column8974" dataCellStyle="Normal 2"/>
    <tableColumn id="8990" xr3:uid="{FCA10F85-A6E7-4212-9CFA-35FF7F3045FC}" name="Column8975" dataCellStyle="Normal 2"/>
    <tableColumn id="8991" xr3:uid="{C20A90E0-6F93-4FBE-B6C1-AAD0281B8434}" name="Column8976" dataCellStyle="Normal 2"/>
    <tableColumn id="8992" xr3:uid="{2F3657D9-A5D2-400E-A4C4-0538DED8D16F}" name="Column8977" dataCellStyle="Normal 2"/>
    <tableColumn id="8993" xr3:uid="{6CAD6F88-9F88-4487-A6A9-F9D2E9403DAC}" name="Column8978" dataCellStyle="Normal 2"/>
    <tableColumn id="8994" xr3:uid="{35A32679-0321-4126-98F7-4D0EFBE2A340}" name="Column8979" dataCellStyle="Normal 2"/>
    <tableColumn id="8995" xr3:uid="{6CE59454-AC94-4DC5-A453-CE058696269B}" name="Column8980" dataCellStyle="Normal 2"/>
    <tableColumn id="8996" xr3:uid="{1D4DFFE7-D189-4352-AB20-16423389CE33}" name="Column8981" dataCellStyle="Normal 2"/>
    <tableColumn id="8997" xr3:uid="{7D91CC4D-FAE1-4536-AF39-CD44110F5EB3}" name="Column8982" dataCellStyle="Normal 2"/>
    <tableColumn id="8998" xr3:uid="{6472F989-5215-4CC6-B2FC-E264463B438F}" name="Column8983" dataCellStyle="Normal 2"/>
    <tableColumn id="8999" xr3:uid="{35081A00-DE00-48F2-A472-D8F2862BE03B}" name="Column8984" dataCellStyle="Normal 2"/>
    <tableColumn id="9000" xr3:uid="{CBD12790-25F7-4CEB-96F2-484005A0AC57}" name="Column8985" dataCellStyle="Normal 2"/>
    <tableColumn id="9001" xr3:uid="{5B8E4042-5EC8-45AA-9752-D717904A24D0}" name="Column8986" dataCellStyle="Normal 2"/>
    <tableColumn id="9002" xr3:uid="{7B824BEA-2645-4529-B3F3-D07176A96DC0}" name="Column8987" dataCellStyle="Normal 2"/>
    <tableColumn id="9003" xr3:uid="{50AC7E7B-4E73-4877-9224-FF0235F7B7ED}" name="Column8988" dataCellStyle="Normal 2"/>
    <tableColumn id="9004" xr3:uid="{2D42D0DE-2B9C-4F5B-BD31-964FD379E627}" name="Column8989" dataCellStyle="Normal 2"/>
    <tableColumn id="9005" xr3:uid="{65F808B6-801C-4F1A-BFDF-7D79D95BDD45}" name="Column8990" dataCellStyle="Normal 2"/>
    <tableColumn id="9006" xr3:uid="{E3E08730-872B-4B14-A7D0-65236A57DC94}" name="Column8991" dataCellStyle="Normal 2"/>
    <tableColumn id="9007" xr3:uid="{AF08DA2C-D2EC-4CEA-86CA-8D5323B9C591}" name="Column8992" dataCellStyle="Normal 2"/>
    <tableColumn id="9008" xr3:uid="{6ADEAC38-52FC-4BE8-9925-F0ABF9D0546B}" name="Column8993" dataCellStyle="Normal 2"/>
    <tableColumn id="9009" xr3:uid="{3F7B821E-A409-4888-9626-4D317DF230FA}" name="Column8994" dataCellStyle="Normal 2"/>
    <tableColumn id="9010" xr3:uid="{85AE097E-C960-4CCB-8F7A-2FEB010945B1}" name="Column8995" dataCellStyle="Normal 2"/>
    <tableColumn id="9011" xr3:uid="{EA2A6411-C8AD-4F3B-9E06-45920B9E689B}" name="Column8996" dataCellStyle="Normal 2"/>
    <tableColumn id="9012" xr3:uid="{0282AA8A-0CB1-4970-B018-63CEDE43DDD1}" name="Column8997" dataCellStyle="Normal 2"/>
    <tableColumn id="9013" xr3:uid="{BA2C023E-1EFA-4ECD-8293-5AA871CA1E9E}" name="Column8998" dataCellStyle="Normal 2"/>
    <tableColumn id="9014" xr3:uid="{6A87B7A0-0518-412F-AA69-461F26CCFB74}" name="Column8999" dataCellStyle="Normal 2"/>
    <tableColumn id="9015" xr3:uid="{9D1458AD-6A37-4F13-9F76-F5CD034D97C3}" name="Column9000" dataCellStyle="Normal 2"/>
    <tableColumn id="9016" xr3:uid="{2371DD87-B43A-46DD-A15D-4B5090885997}" name="Column9001" dataCellStyle="Normal 2"/>
    <tableColumn id="9017" xr3:uid="{8D8080FE-A36E-4C27-A8E4-989BF49281E1}" name="Column9002" dataCellStyle="Normal 2"/>
    <tableColumn id="9018" xr3:uid="{2AC46701-1210-46DF-833E-BCA0B6601015}" name="Column9003" dataCellStyle="Normal 2"/>
    <tableColumn id="9019" xr3:uid="{A47060A1-03E1-4911-85B2-D9F170F2CE4D}" name="Column9004" dataCellStyle="Normal 2"/>
    <tableColumn id="9020" xr3:uid="{0948517C-F765-4304-90C5-B34FA4AF6723}" name="Column9005" dataCellStyle="Normal 2"/>
    <tableColumn id="9021" xr3:uid="{E21A57F9-2F6F-4113-A542-2ADF7FBCE5BF}" name="Column9006" dataCellStyle="Normal 2"/>
    <tableColumn id="9022" xr3:uid="{AF5DA1E6-0F95-4E9B-8BDA-4FB0B657BADF}" name="Column9007" dataCellStyle="Normal 2"/>
    <tableColumn id="9023" xr3:uid="{B18D46E4-55E7-440F-B145-C91CB56A0155}" name="Column9008" dataCellStyle="Normal 2"/>
    <tableColumn id="9024" xr3:uid="{0BF182E7-185D-444C-93B3-EAAAF5172F0B}" name="Column9009" dataCellStyle="Normal 2"/>
    <tableColumn id="9025" xr3:uid="{DC8838ED-70C5-421D-9F2C-D3C704A2C1FC}" name="Column9010" dataCellStyle="Normal 2"/>
    <tableColumn id="9026" xr3:uid="{DE0FFE3F-9327-4B23-ADCF-9CC978164707}" name="Column9011" dataCellStyle="Normal 2"/>
    <tableColumn id="9027" xr3:uid="{289579DD-546B-4056-8EFB-8B1CEFBFA0F6}" name="Column9012" dataCellStyle="Normal 2"/>
    <tableColumn id="9028" xr3:uid="{459CDECE-C5F4-43DA-AB56-7A84EA77331C}" name="Column9013" dataCellStyle="Normal 2"/>
    <tableColumn id="9029" xr3:uid="{942D2AE1-3CD9-463D-8B0A-6836515322DD}" name="Column9014" dataCellStyle="Normal 2"/>
    <tableColumn id="9030" xr3:uid="{563992FA-285D-4ED6-AD17-8C4523AF2553}" name="Column9015" dataCellStyle="Normal 2"/>
    <tableColumn id="9031" xr3:uid="{02906686-477E-451C-B97A-D2EB07521F74}" name="Column9016" dataCellStyle="Normal 2"/>
    <tableColumn id="9032" xr3:uid="{0547E562-9A0E-4728-9A58-DAC13D310B84}" name="Column9017" dataCellStyle="Normal 2"/>
    <tableColumn id="9033" xr3:uid="{746D5909-69B9-4300-A1A8-A087231CA64A}" name="Column9018" dataCellStyle="Normal 2"/>
    <tableColumn id="9034" xr3:uid="{29B14815-B267-49D9-AFC9-B9FCA66721F2}" name="Column9019" dataCellStyle="Normal 2"/>
    <tableColumn id="9035" xr3:uid="{B29ED7F7-C237-4127-A483-8F096A4DB7A2}" name="Column9020" dataCellStyle="Normal 2"/>
    <tableColumn id="9036" xr3:uid="{BFECF8FB-0D31-492B-93EF-9557812F5BDF}" name="Column9021" dataCellStyle="Normal 2"/>
    <tableColumn id="9037" xr3:uid="{A102164F-606F-4C8E-8999-17CADC127AAC}" name="Column9022" dataCellStyle="Normal 2"/>
    <tableColumn id="9038" xr3:uid="{A57EE06C-20A3-47FB-9B96-7E87E499798C}" name="Column9023" dataCellStyle="Normal 2"/>
    <tableColumn id="9039" xr3:uid="{06339DBE-7ABD-43CE-B64B-6981CCBD2A74}" name="Column9024" dataCellStyle="Normal 2"/>
    <tableColumn id="9040" xr3:uid="{526C1D2F-65BE-495B-AC3D-9BFD00FA385E}" name="Column9025" dataCellStyle="Normal 2"/>
    <tableColumn id="9041" xr3:uid="{6C52C10F-4B66-4885-8D65-2F8A9325283B}" name="Column9026" dataCellStyle="Normal 2"/>
    <tableColumn id="9042" xr3:uid="{5A277FBE-C713-464D-8A31-9E81C0EA870E}" name="Column9027" dataCellStyle="Normal 2"/>
    <tableColumn id="9043" xr3:uid="{D9CF6118-E285-4C8D-99DE-77EB18B6C6F1}" name="Column9028" dataCellStyle="Normal 2"/>
    <tableColumn id="9044" xr3:uid="{05886BB5-F74E-4437-9A53-B360A635F6A6}" name="Column9029" dataCellStyle="Normal 2"/>
    <tableColumn id="9045" xr3:uid="{DAB6A958-193F-4B5D-B6DE-64B69A65D5FD}" name="Column9030" dataCellStyle="Normal 2"/>
    <tableColumn id="9046" xr3:uid="{4F6C6091-26B3-47E1-9BA2-4900E93AD50B}" name="Column9031" dataCellStyle="Normal 2"/>
    <tableColumn id="9047" xr3:uid="{A9F9AE8A-7EE3-43D7-827F-35DE470DD7E4}" name="Column9032" dataCellStyle="Normal 2"/>
    <tableColumn id="9048" xr3:uid="{3BA7DDD1-684B-45D1-A8EF-FDAA9B14C146}" name="Column9033" dataCellStyle="Normal 2"/>
    <tableColumn id="9049" xr3:uid="{9CD6046C-7659-485F-B781-AACBC112B91E}" name="Column9034" dataCellStyle="Normal 2"/>
    <tableColumn id="9050" xr3:uid="{43824891-6416-4CE8-B910-98EA33D9A7FF}" name="Column9035" dataCellStyle="Normal 2"/>
    <tableColumn id="9051" xr3:uid="{5594CB92-7605-4BFE-9BD8-44FB6A71CF94}" name="Column9036" dataCellStyle="Normal 2"/>
    <tableColumn id="9052" xr3:uid="{297E5B9E-0503-4E7F-932E-E9DB6F309873}" name="Column9037" dataCellStyle="Normal 2"/>
    <tableColumn id="9053" xr3:uid="{90FF8684-BD4C-4FDA-AF8E-395FDF963E5B}" name="Column9038" dataCellStyle="Normal 2"/>
    <tableColumn id="9054" xr3:uid="{88DC08F3-6FEA-4E4A-A467-82AE04FF1BCA}" name="Column9039" dataCellStyle="Normal 2"/>
    <tableColumn id="9055" xr3:uid="{8AAC7062-C9D1-4443-B28F-6BB4C4664EF9}" name="Column9040" dataCellStyle="Normal 2"/>
    <tableColumn id="9056" xr3:uid="{755C870F-5C20-431F-9959-97CE8D44B937}" name="Column9041" dataCellStyle="Normal 2"/>
    <tableColumn id="9057" xr3:uid="{20CE8EA5-FD05-4E14-AA61-B8D57733B398}" name="Column9042" dataCellStyle="Normal 2"/>
    <tableColumn id="9058" xr3:uid="{2B06BAC3-5545-4F51-B72C-E1AD1A182977}" name="Column9043" dataCellStyle="Normal 2"/>
    <tableColumn id="9059" xr3:uid="{826A9B27-F6ED-4463-8858-5AC4FFB49232}" name="Column9044" dataCellStyle="Normal 2"/>
    <tableColumn id="9060" xr3:uid="{4A7B8A13-7A56-4420-B202-D0712CAB733E}" name="Column9045" dataCellStyle="Normal 2"/>
    <tableColumn id="9061" xr3:uid="{7C81CBA4-09F5-4DE5-BC52-7735575D2CFB}" name="Column9046" dataCellStyle="Normal 2"/>
    <tableColumn id="9062" xr3:uid="{2FD8327A-E3AF-4F81-B87C-00BE6BFC334A}" name="Column9047" dataCellStyle="Normal 2"/>
    <tableColumn id="9063" xr3:uid="{16F78EEE-4C07-497B-956C-D2D5D1BEBD67}" name="Column9048" dataCellStyle="Normal 2"/>
    <tableColumn id="9064" xr3:uid="{443CA7AA-1054-4A46-A7C4-1779D9C1253A}" name="Column9049" dataCellStyle="Normal 2"/>
    <tableColumn id="9065" xr3:uid="{E7320999-AB85-4083-9C17-06BDC054D5BD}" name="Column9050" dataCellStyle="Normal 2"/>
    <tableColumn id="9066" xr3:uid="{C4C3E5EA-B80E-4448-9635-4884CF0B3B85}" name="Column9051" dataCellStyle="Normal 2"/>
    <tableColumn id="9067" xr3:uid="{9CDFAAF9-6C19-4E65-95C9-8D6ACC11FFA4}" name="Column9052" dataCellStyle="Normal 2"/>
    <tableColumn id="9068" xr3:uid="{D7E8BB19-5BA8-4EC9-916F-240E5C50DC29}" name="Column9053" dataCellStyle="Normal 2"/>
    <tableColumn id="9069" xr3:uid="{ED0BDFD1-BE61-4530-9BB5-D8D8CF0FE136}" name="Column9054" dataCellStyle="Normal 2"/>
    <tableColumn id="9070" xr3:uid="{6BC182CC-2A22-4BB2-B967-89AABD46C28C}" name="Column9055" dataCellStyle="Normal 2"/>
    <tableColumn id="9071" xr3:uid="{6D5AE21B-D2F7-4970-BD0C-FCBC921FB7BC}" name="Column9056" dataCellStyle="Normal 2"/>
    <tableColumn id="9072" xr3:uid="{A4835CB3-06C4-4E67-B9D6-594918BC173B}" name="Column9057" dataCellStyle="Normal 2"/>
    <tableColumn id="9073" xr3:uid="{E2374F72-8F17-4B42-AB45-CC1518536B43}" name="Column9058" dataCellStyle="Normal 2"/>
    <tableColumn id="9074" xr3:uid="{8B4641C4-95BE-43D1-8271-200497463AFA}" name="Column9059" dataCellStyle="Normal 2"/>
    <tableColumn id="9075" xr3:uid="{8C3C7D4E-C0E4-4543-970B-183E088716BA}" name="Column9060" dataCellStyle="Normal 2"/>
    <tableColumn id="9076" xr3:uid="{F01DAF71-A445-4853-8E99-11ADB680FC5C}" name="Column9061" dataCellStyle="Normal 2"/>
    <tableColumn id="9077" xr3:uid="{92B64FB0-13B6-49B6-B9E3-1A5FD711A77D}" name="Column9062" dataCellStyle="Normal 2"/>
    <tableColumn id="9078" xr3:uid="{1941AAD5-9FAE-498A-B021-E1A0B0F73E05}" name="Column9063" dataCellStyle="Normal 2"/>
    <tableColumn id="9079" xr3:uid="{22BA7D2F-7DA9-42FB-8848-A69F0BD596B1}" name="Column9064" dataCellStyle="Normal 2"/>
    <tableColumn id="9080" xr3:uid="{59338498-3AD5-46E9-AD81-80D47406DF94}" name="Column9065" dataCellStyle="Normal 2"/>
    <tableColumn id="9081" xr3:uid="{5028D8F3-D502-475E-B1D8-5D55B170C5DC}" name="Column9066" dataCellStyle="Normal 2"/>
    <tableColumn id="9082" xr3:uid="{B23E8690-4332-46F4-B7F5-67F47A2D97CF}" name="Column9067" dataCellStyle="Normal 2"/>
    <tableColumn id="9083" xr3:uid="{43F464FC-699D-4FEB-9DA5-1E40E03A06F8}" name="Column9068" dataCellStyle="Normal 2"/>
    <tableColumn id="9084" xr3:uid="{1F1F3C50-ED06-4C40-BF5C-FF623D081038}" name="Column9069" dataCellStyle="Normal 2"/>
    <tableColumn id="9085" xr3:uid="{64767D52-C0D3-4A88-9BDD-26A104E88664}" name="Column9070" dataCellStyle="Normal 2"/>
    <tableColumn id="9086" xr3:uid="{55603620-2415-46DF-873C-A3149A0D3A53}" name="Column9071" dataCellStyle="Normal 2"/>
    <tableColumn id="9087" xr3:uid="{291F5DF5-4898-4D74-8A23-747C72DCFA91}" name="Column9072" dataCellStyle="Normal 2"/>
    <tableColumn id="9088" xr3:uid="{9CF41FC2-C739-4D7A-9EA8-BFE60081F3C0}" name="Column9073" dataCellStyle="Normal 2"/>
    <tableColumn id="9089" xr3:uid="{0D2B54FD-F7A7-4677-ABA7-469025EE7722}" name="Column9074" dataCellStyle="Normal 2"/>
    <tableColumn id="9090" xr3:uid="{0B63E7D7-2E86-4F00-BA9B-605DDFA8E663}" name="Column9075" dataCellStyle="Normal 2"/>
    <tableColumn id="9091" xr3:uid="{396E1D48-0A58-406A-908F-F6EF44F0FC90}" name="Column9076" dataCellStyle="Normal 2"/>
    <tableColumn id="9092" xr3:uid="{B51B1F70-07F2-4628-BCC3-4B05003F1572}" name="Column9077" dataCellStyle="Normal 2"/>
    <tableColumn id="9093" xr3:uid="{9A63F660-05A1-4B76-88DA-1A5ABC3F7174}" name="Column9078" dataCellStyle="Normal 2"/>
    <tableColumn id="9094" xr3:uid="{B5BE228B-D49F-4AA8-BDB2-575B4BEA0F56}" name="Column9079" dataCellStyle="Normal 2"/>
    <tableColumn id="9095" xr3:uid="{DA30D433-EBB2-4F69-84E3-14C822689648}" name="Column9080" dataCellStyle="Normal 2"/>
    <tableColumn id="9096" xr3:uid="{EDD95929-D11D-4BF0-869C-DD7552AB8045}" name="Column9081" dataCellStyle="Normal 2"/>
    <tableColumn id="9097" xr3:uid="{E868639E-F50B-42C6-B002-9C89A9691B2F}" name="Column9082" dataCellStyle="Normal 2"/>
    <tableColumn id="9098" xr3:uid="{83599504-4EEE-49A9-BE03-DCAF5F06870D}" name="Column9083" dataCellStyle="Normal 2"/>
    <tableColumn id="9099" xr3:uid="{BC89FE5C-41A6-443D-BA20-10A17ADFFD20}" name="Column9084" dataCellStyle="Normal 2"/>
    <tableColumn id="9100" xr3:uid="{233C79C8-FD94-4996-B2E5-38572D365470}" name="Column9085" dataCellStyle="Normal 2"/>
    <tableColumn id="9101" xr3:uid="{55A3FBBF-D54E-4960-9598-D997B1948E4B}" name="Column9086" dataCellStyle="Normal 2"/>
    <tableColumn id="9102" xr3:uid="{24CF1B94-0AA3-4D14-8F9D-5B407B278860}" name="Column9087" dataCellStyle="Normal 2"/>
    <tableColumn id="9103" xr3:uid="{35223A18-E653-42D5-80E1-CC638AAB83AF}" name="Column9088" dataCellStyle="Normal 2"/>
    <tableColumn id="9104" xr3:uid="{E25FA01C-ABF2-443D-B58D-25304ED3E108}" name="Column9089" dataCellStyle="Normal 2"/>
    <tableColumn id="9105" xr3:uid="{10EEEBB8-EA42-4F30-B72C-2491D50103A1}" name="Column9090" dataCellStyle="Normal 2"/>
    <tableColumn id="9106" xr3:uid="{DDF201F8-47A2-469D-B57A-6A18681AC2F9}" name="Column9091" dataCellStyle="Normal 2"/>
    <tableColumn id="9107" xr3:uid="{673A15C0-C32B-4DEF-899C-2D8A4A84A5F5}" name="Column9092" dataCellStyle="Normal 2"/>
    <tableColumn id="9108" xr3:uid="{82AE606A-8D2B-4155-98C0-AC2229D8A0EB}" name="Column9093" dataCellStyle="Normal 2"/>
    <tableColumn id="9109" xr3:uid="{9B868F06-681B-431C-8A12-CFF6EEE5A28A}" name="Column9094" dataCellStyle="Normal 2"/>
    <tableColumn id="9110" xr3:uid="{BD34863E-B18F-404C-8756-E4C84450BE4D}" name="Column9095" dataCellStyle="Normal 2"/>
    <tableColumn id="9111" xr3:uid="{923B6C8B-05E5-4E4C-B02C-C9F2D87A87AB}" name="Column9096" dataCellStyle="Normal 2"/>
    <tableColumn id="9112" xr3:uid="{03D3FA7D-8546-4E63-AEC2-0C4CB60064D4}" name="Column9097" dataCellStyle="Normal 2"/>
    <tableColumn id="9113" xr3:uid="{13179659-9AA1-4BA7-844C-E7C114305D10}" name="Column9098" dataCellStyle="Normal 2"/>
    <tableColumn id="9114" xr3:uid="{DC690614-112A-4444-A56F-BD1409FF89BB}" name="Column9099" dataCellStyle="Normal 2"/>
    <tableColumn id="9115" xr3:uid="{04B4C64D-17AE-4CCD-891C-9E38A69217AF}" name="Column9100" dataCellStyle="Normal 2"/>
    <tableColumn id="9116" xr3:uid="{77141511-BAF2-43AA-ADE2-3D411DC52688}" name="Column9101" dataCellStyle="Normal 2"/>
    <tableColumn id="9117" xr3:uid="{4D3D956B-2D97-42A0-BC45-F887AABC43B9}" name="Column9102" dataCellStyle="Normal 2"/>
    <tableColumn id="9118" xr3:uid="{47AF6C64-FD85-47D4-8CE1-D489D3D73212}" name="Column9103" dataCellStyle="Normal 2"/>
    <tableColumn id="9119" xr3:uid="{77302DBB-4C60-4DCB-81DB-2AD02A4C80E3}" name="Column9104" dataCellStyle="Normal 2"/>
    <tableColumn id="9120" xr3:uid="{3C918D86-FF00-4BB1-A520-021DCBED3673}" name="Column9105" dataCellStyle="Normal 2"/>
    <tableColumn id="9121" xr3:uid="{809DBD68-43D1-4182-A530-8735E6D7CAFB}" name="Column9106" dataCellStyle="Normal 2"/>
    <tableColumn id="9122" xr3:uid="{A94817B8-E932-4EC2-93D6-3A672603FC53}" name="Column9107" dataCellStyle="Normal 2"/>
    <tableColumn id="9123" xr3:uid="{B2BDEF1F-2913-46BC-8849-5E1D5B277EC8}" name="Column9108" dataCellStyle="Normal 2"/>
    <tableColumn id="9124" xr3:uid="{A8112ED1-A8A0-4E52-A8A6-6015F936D5C0}" name="Column9109" dataCellStyle="Normal 2"/>
    <tableColumn id="9125" xr3:uid="{04C0DC55-CD7A-49A1-9BDD-DC33C3D392ED}" name="Column9110" dataCellStyle="Normal 2"/>
    <tableColumn id="9126" xr3:uid="{1E5DA29E-2FFC-435D-8154-89F85586238E}" name="Column9111" dataCellStyle="Normal 2"/>
    <tableColumn id="9127" xr3:uid="{07B51066-C325-460F-A11A-E60CC28D99AD}" name="Column9112" dataCellStyle="Normal 2"/>
    <tableColumn id="9128" xr3:uid="{B6E12A4C-AE29-46A4-BA4C-69194624B9D1}" name="Column9113" dataCellStyle="Normal 2"/>
    <tableColumn id="9129" xr3:uid="{AEBD532D-2082-4D80-8CED-9F5EECDA7DBC}" name="Column9114" dataCellStyle="Normal 2"/>
    <tableColumn id="9130" xr3:uid="{FDF4458E-9BD0-4AC1-9320-CAB4E93F0B44}" name="Column9115" dataCellStyle="Normal 2"/>
    <tableColumn id="9131" xr3:uid="{3D71DED2-F5BA-46E2-95E9-833FBDA14DE8}" name="Column9116" dataCellStyle="Normal 2"/>
    <tableColumn id="9132" xr3:uid="{310C7786-498F-432D-A733-7DFE2B41BDBE}" name="Column9117" dataCellStyle="Normal 2"/>
    <tableColumn id="9133" xr3:uid="{33B27DE4-953E-49DA-BD78-57214DAFFAA4}" name="Column9118" dataCellStyle="Normal 2"/>
    <tableColumn id="9134" xr3:uid="{719E2139-6600-4072-B6AA-DB0F8F4722F8}" name="Column9119" dataCellStyle="Normal 2"/>
    <tableColumn id="9135" xr3:uid="{25F0962B-E1D6-4553-A372-2E735C0C3B86}" name="Column9120" dataCellStyle="Normal 2"/>
    <tableColumn id="9136" xr3:uid="{1ADD7228-20FA-411C-B630-EB9934C93FB4}" name="Column9121" dataCellStyle="Normal 2"/>
    <tableColumn id="9137" xr3:uid="{7A0EE89F-655D-4CB0-B3F7-9378018DBA17}" name="Column9122" dataCellStyle="Normal 2"/>
    <tableColumn id="9138" xr3:uid="{109F686A-7B3D-4D02-A97E-4F293BB1AA7F}" name="Column9123" dataCellStyle="Normal 2"/>
    <tableColumn id="9139" xr3:uid="{15677E93-5EE8-477D-B0D0-D0EAFB3A9C51}" name="Column9124" dataCellStyle="Normal 2"/>
    <tableColumn id="9140" xr3:uid="{AAAC2F5A-4410-493C-97CF-47233C458397}" name="Column9125" dataCellStyle="Normal 2"/>
    <tableColumn id="9141" xr3:uid="{01E18424-86D3-49D4-B845-F496E2227704}" name="Column9126" dataCellStyle="Normal 2"/>
    <tableColumn id="9142" xr3:uid="{B8FB1A60-74A0-4DAA-9A59-ED7A0C025C4B}" name="Column9127" dataCellStyle="Normal 2"/>
    <tableColumn id="9143" xr3:uid="{D3943227-D445-4242-A500-EC698E897B7F}" name="Column9128" dataCellStyle="Normal 2"/>
    <tableColumn id="9144" xr3:uid="{3DF0BE2E-8E16-4D52-A823-6256DA49C0E8}" name="Column9129" dataCellStyle="Normal 2"/>
    <tableColumn id="9145" xr3:uid="{6C6D6BC4-569A-4C9F-9499-B9A5C6632097}" name="Column9130" dataCellStyle="Normal 2"/>
    <tableColumn id="9146" xr3:uid="{4284BC93-2452-4AC2-AC02-5756C01CD863}" name="Column9131" dataCellStyle="Normal 2"/>
    <tableColumn id="9147" xr3:uid="{DB18792B-8FC9-4095-82BF-DC001B6536DB}" name="Column9132" dataCellStyle="Normal 2"/>
    <tableColumn id="9148" xr3:uid="{96099D7A-0C0F-4EAE-9F43-50202E0A36F0}" name="Column9133" dataCellStyle="Normal 2"/>
    <tableColumn id="9149" xr3:uid="{0E4744DB-EBFD-43A0-8747-E867BCCAF637}" name="Column9134" dataCellStyle="Normal 2"/>
    <tableColumn id="9150" xr3:uid="{1D47CD2C-1DAB-463B-BF8A-B8C455B34234}" name="Column9135" dataCellStyle="Normal 2"/>
    <tableColumn id="9151" xr3:uid="{BA4B8267-1CB3-4396-958C-8C91B64DB246}" name="Column9136" dataCellStyle="Normal 2"/>
    <tableColumn id="9152" xr3:uid="{A90DFD8D-0C35-4ED4-9CCC-7E5AB2740C09}" name="Column9137" dataCellStyle="Normal 2"/>
    <tableColumn id="9153" xr3:uid="{F5458885-8EB5-48BC-A55D-3E351C4F8E7B}" name="Column9138" dataCellStyle="Normal 2"/>
    <tableColumn id="9154" xr3:uid="{6263A461-C82C-42F5-877C-76DAFA977129}" name="Column9139" dataCellStyle="Normal 2"/>
    <tableColumn id="9155" xr3:uid="{4E74C20E-43D8-44C7-BB97-331A284F9030}" name="Column9140" dataCellStyle="Normal 2"/>
    <tableColumn id="9156" xr3:uid="{D452CACB-67E5-405D-A2E1-1C1D04C84BF1}" name="Column9141" dataCellStyle="Normal 2"/>
    <tableColumn id="9157" xr3:uid="{8149BAF2-9DAA-4A5D-8F12-539567993BE7}" name="Column9142" dataCellStyle="Normal 2"/>
    <tableColumn id="9158" xr3:uid="{67A9B145-451B-4C34-9A14-8C06CC60B4D2}" name="Column9143" dataCellStyle="Normal 2"/>
    <tableColumn id="9159" xr3:uid="{49C0C1AB-48CF-4E63-8BED-049978764C91}" name="Column9144" dataCellStyle="Normal 2"/>
    <tableColumn id="9160" xr3:uid="{15EBABF2-7F4F-4487-8885-DD5D0BC2D28B}" name="Column9145" dataCellStyle="Normal 2"/>
    <tableColumn id="9161" xr3:uid="{C2FDB3FB-1966-4BB7-8FFD-C1A489F33831}" name="Column9146" dataCellStyle="Normal 2"/>
    <tableColumn id="9162" xr3:uid="{55577BE6-47D2-41D3-B5B5-991A56D027C1}" name="Column9147" dataCellStyle="Normal 2"/>
    <tableColumn id="9163" xr3:uid="{2562BF57-88E7-48A3-9D30-B2830BC03229}" name="Column9148" dataCellStyle="Normal 2"/>
    <tableColumn id="9164" xr3:uid="{79D41BAE-0475-4E07-9660-14484E726AC1}" name="Column9149" dataCellStyle="Normal 2"/>
    <tableColumn id="9165" xr3:uid="{4B0EFFC3-C1FD-4AE2-8F72-1C01E75BB7A2}" name="Column9150" dataCellStyle="Normal 2"/>
    <tableColumn id="9166" xr3:uid="{7E6B4539-18AE-4B0B-8324-99332518A189}" name="Column9151" dataCellStyle="Normal 2"/>
    <tableColumn id="9167" xr3:uid="{1F8011EC-5AC9-4FEA-AACB-3A4F7CA73D7D}" name="Column9152" dataCellStyle="Normal 2"/>
    <tableColumn id="9168" xr3:uid="{B769DBDC-74E2-4982-8091-58F342912F7D}" name="Column9153" dataCellStyle="Normal 2"/>
    <tableColumn id="9169" xr3:uid="{150DF44D-4454-4922-A03D-673146BB37D6}" name="Column9154" dataCellStyle="Normal 2"/>
    <tableColumn id="9170" xr3:uid="{3B817F76-EE95-4F09-A0B0-AE15994748D1}" name="Column9155" dataCellStyle="Normal 2"/>
    <tableColumn id="9171" xr3:uid="{31C66044-A282-4B06-9B02-EE0EB844A374}" name="Column9156" dataCellStyle="Normal 2"/>
    <tableColumn id="9172" xr3:uid="{59649ADE-4D10-4895-963E-9DDB2BD65FFA}" name="Column9157" dataCellStyle="Normal 2"/>
    <tableColumn id="9173" xr3:uid="{957E78D7-3550-44F4-95B3-0728DF11AF16}" name="Column9158" dataCellStyle="Normal 2"/>
    <tableColumn id="9174" xr3:uid="{3929D0E0-4841-4A84-A840-8E8206A70995}" name="Column9159" dataCellStyle="Normal 2"/>
    <tableColumn id="9175" xr3:uid="{E1640C13-8FBA-4FFE-8158-7CDE02D9CEAE}" name="Column9160" dataCellStyle="Normal 2"/>
    <tableColumn id="9176" xr3:uid="{AF1F8782-BC24-496C-93FD-71F68F416D90}" name="Column9161" dataCellStyle="Normal 2"/>
    <tableColumn id="9177" xr3:uid="{90B21811-E2B8-4FB6-9FBC-2823F31E47FE}" name="Column9162" dataCellStyle="Normal 2"/>
    <tableColumn id="9178" xr3:uid="{3277A30F-16BC-4E3F-95B9-C9DB34933A27}" name="Column9163" dataCellStyle="Normal 2"/>
    <tableColumn id="9179" xr3:uid="{82CF1968-656D-488D-9F1F-B3A576DA2309}" name="Column9164" dataCellStyle="Normal 2"/>
    <tableColumn id="9180" xr3:uid="{335A9A27-F86F-459F-8CE6-4E152A958E12}" name="Column9165" dataCellStyle="Normal 2"/>
    <tableColumn id="9181" xr3:uid="{F2AC7A75-5383-4DED-9711-28187C5C9CFD}" name="Column9166" dataCellStyle="Normal 2"/>
    <tableColumn id="9182" xr3:uid="{807CD3CB-CFA4-4558-AADF-16F4E92BE2BA}" name="Column9167" dataCellStyle="Normal 2"/>
    <tableColumn id="9183" xr3:uid="{1F7EDFF4-F159-4EB0-A0B4-0CEEB810D14A}" name="Column9168" dataCellStyle="Normal 2"/>
    <tableColumn id="9184" xr3:uid="{CE43F4CA-728A-4D8B-8C1F-D7C4B1400C89}" name="Column9169" dataCellStyle="Normal 2"/>
    <tableColumn id="9185" xr3:uid="{97ECF7E8-65BF-4F33-B8F3-51053F0EFBB5}" name="Column9170" dataCellStyle="Normal 2"/>
    <tableColumn id="9186" xr3:uid="{58579B4E-AC81-47AD-8C01-CB48427B72F5}" name="Column9171" dataCellStyle="Normal 2"/>
    <tableColumn id="9187" xr3:uid="{BE8CE277-1FEF-4DCB-8648-284671F1130C}" name="Column9172" dataCellStyle="Normal 2"/>
    <tableColumn id="9188" xr3:uid="{DF3002D2-277A-42DB-BA8C-15CB037E4E98}" name="Column9173" dataCellStyle="Normal 2"/>
    <tableColumn id="9189" xr3:uid="{272EE72C-6281-4651-BC07-3713C0342A7A}" name="Column9174" dataCellStyle="Normal 2"/>
    <tableColumn id="9190" xr3:uid="{3681C1C4-3001-4E68-B712-CC73AF86BF72}" name="Column9175" dataCellStyle="Normal 2"/>
    <tableColumn id="9191" xr3:uid="{75410CFB-1A91-4BF0-830F-5C0FEE04D3B3}" name="Column9176" dataCellStyle="Normal 2"/>
    <tableColumn id="9192" xr3:uid="{B9506A4A-403A-4469-B789-B52A167A335C}" name="Column9177" dataCellStyle="Normal 2"/>
    <tableColumn id="9193" xr3:uid="{191E8093-23C5-4BBC-92CD-B8B3542C0DDD}" name="Column9178" dataCellStyle="Normal 2"/>
    <tableColumn id="9194" xr3:uid="{60E75C7A-83B9-4606-A856-A8AEFFB3806C}" name="Column9179" dataCellStyle="Normal 2"/>
    <tableColumn id="9195" xr3:uid="{AA8CE4F9-0131-4828-8D25-0AC42E828051}" name="Column9180" dataCellStyle="Normal 2"/>
    <tableColumn id="9196" xr3:uid="{06468ADD-D9EF-4989-9B75-7958C49346B0}" name="Column9181" dataCellStyle="Normal 2"/>
    <tableColumn id="9197" xr3:uid="{1023D326-C46B-47DB-A102-1C8A102EAFF0}" name="Column9182" dataCellStyle="Normal 2"/>
    <tableColumn id="9198" xr3:uid="{7CF02F95-E97E-4FB5-94DA-1D05D9238C17}" name="Column9183" dataCellStyle="Normal 2"/>
    <tableColumn id="9199" xr3:uid="{BF71178D-2AAC-4817-BEF9-CE79BC130D41}" name="Column9184" dataCellStyle="Normal 2"/>
    <tableColumn id="9200" xr3:uid="{ED765EB8-E315-42DE-8AA0-D09BE0218538}" name="Column9185" dataCellStyle="Normal 2"/>
    <tableColumn id="9201" xr3:uid="{2331805D-8CAA-4DE1-B013-9EC3B86D1C95}" name="Column9186" dataCellStyle="Normal 2"/>
    <tableColumn id="9202" xr3:uid="{60EC973B-6E82-4844-9391-45BEF08D9D28}" name="Column9187" dataCellStyle="Normal 2"/>
    <tableColumn id="9203" xr3:uid="{9B99F8C4-2181-4869-B751-58B1E0560CCD}" name="Column9188" dataCellStyle="Normal 2"/>
    <tableColumn id="9204" xr3:uid="{55A19678-A3C4-464F-966B-9933B9ED0643}" name="Column9189" dataCellStyle="Normal 2"/>
    <tableColumn id="9205" xr3:uid="{0838F95D-4EEE-4A35-8B36-3BB547D044FC}" name="Column9190" dataCellStyle="Normal 2"/>
    <tableColumn id="9206" xr3:uid="{6C4B0B0F-8FC4-4559-B011-89238AA928B9}" name="Column9191" dataCellStyle="Normal 2"/>
    <tableColumn id="9207" xr3:uid="{80424568-F0A9-4FA4-8EDE-1DE44504741E}" name="Column9192" dataCellStyle="Normal 2"/>
    <tableColumn id="9208" xr3:uid="{852FA608-7C7A-4A03-A82D-9707A8F04798}" name="Column9193" dataCellStyle="Normal 2"/>
    <tableColumn id="9209" xr3:uid="{032CA294-B071-4A90-BA91-D342579BE4BB}" name="Column9194" dataCellStyle="Normal 2"/>
    <tableColumn id="9210" xr3:uid="{A46C0A59-8836-472F-A9A7-77F2E24DC83F}" name="Column9195" dataCellStyle="Normal 2"/>
    <tableColumn id="9211" xr3:uid="{57EC1582-E56F-4DCD-9F1F-E51ED371E2B2}" name="Column9196" dataCellStyle="Normal 2"/>
    <tableColumn id="9212" xr3:uid="{3432F1A8-0EEA-4B2C-A792-936AABA1DA24}" name="Column9197" dataCellStyle="Normal 2"/>
    <tableColumn id="9213" xr3:uid="{C59F5ABE-ECB8-46CD-B993-76C7B5F57273}" name="Column9198" dataCellStyle="Normal 2"/>
    <tableColumn id="9214" xr3:uid="{6AC6F74E-228F-49C5-871F-B3146C664149}" name="Column9199" dataCellStyle="Normal 2"/>
    <tableColumn id="9215" xr3:uid="{6563D808-3E45-46C1-91A9-6BACF37015CD}" name="Column9200" dataCellStyle="Normal 2"/>
    <tableColumn id="9216" xr3:uid="{24644C73-8B4A-4AD2-A466-BD493571E911}" name="Column9201" dataCellStyle="Normal 2"/>
    <tableColumn id="9217" xr3:uid="{42610B82-C81E-42C5-8905-3153F893DCA1}" name="Column9202" dataCellStyle="Normal 2"/>
    <tableColumn id="9218" xr3:uid="{8283D814-0813-417C-A3CD-BD1A76D176B0}" name="Column9203" dataCellStyle="Normal 2"/>
    <tableColumn id="9219" xr3:uid="{FBF70822-B71C-4BCE-A26F-A5B2E276AE28}" name="Column9204" dataCellStyle="Normal 2"/>
    <tableColumn id="9220" xr3:uid="{9B77F84D-96AE-4569-A681-F220BC1419FB}" name="Column9205" dataCellStyle="Normal 2"/>
    <tableColumn id="9221" xr3:uid="{B4AFCDA5-FA53-43BC-BF58-67E58D5BDA56}" name="Column9206" dataCellStyle="Normal 2"/>
    <tableColumn id="9222" xr3:uid="{76F11170-0C7B-469B-8388-1CB7F604672E}" name="Column9207" dataCellStyle="Normal 2"/>
    <tableColumn id="9223" xr3:uid="{8345C096-293D-4850-932C-D989CAB45DF7}" name="Column9208" dataCellStyle="Normal 2"/>
    <tableColumn id="9224" xr3:uid="{3CB50BE7-A2DA-4A26-933E-CCB8569C9C22}" name="Column9209" dataCellStyle="Normal 2"/>
    <tableColumn id="9225" xr3:uid="{F94220A0-EFE6-4E28-808A-A46EE6F067B2}" name="Column9210" dataCellStyle="Normal 2"/>
    <tableColumn id="9226" xr3:uid="{E7C2F27B-CA3F-4FE1-9E38-A9B07AF7C0B6}" name="Column9211" dataCellStyle="Normal 2"/>
    <tableColumn id="9227" xr3:uid="{ED66ED4B-5A6C-4E7C-8D11-AAC101ABDBCF}" name="Column9212" dataCellStyle="Normal 2"/>
    <tableColumn id="9228" xr3:uid="{803F3A47-A26B-4BE0-BE9D-0C6461D1A69F}" name="Column9213" dataCellStyle="Normal 2"/>
    <tableColumn id="9229" xr3:uid="{B6814483-07F3-4250-B6B5-F50C19D53DB0}" name="Column9214" dataCellStyle="Normal 2"/>
    <tableColumn id="9230" xr3:uid="{85BD0A46-2495-4BF3-801D-9BA6F6CEBB34}" name="Column9215" dataCellStyle="Normal 2"/>
    <tableColumn id="9231" xr3:uid="{0AA698B8-E4B5-4990-9D2E-13CDB329C6C9}" name="Column9216" dataCellStyle="Normal 2"/>
    <tableColumn id="9232" xr3:uid="{1D305661-EF06-4125-81E0-9D380A337116}" name="Column9217" dataCellStyle="Normal 2"/>
    <tableColumn id="9233" xr3:uid="{FC109D85-F911-4FCC-ADA8-DEFB7F4AF1B9}" name="Column9218" dataCellStyle="Normal 2"/>
    <tableColumn id="9234" xr3:uid="{1A93D7F1-2597-4E02-AAC3-9094F4CD4006}" name="Column9219" dataCellStyle="Normal 2"/>
    <tableColumn id="9235" xr3:uid="{00A95072-7930-4CC5-9950-B48EA243C2CF}" name="Column9220" dataCellStyle="Normal 2"/>
    <tableColumn id="9236" xr3:uid="{8605DA54-CD58-4B77-83FA-20FA26D1DA2A}" name="Column9221" dataCellStyle="Normal 2"/>
    <tableColumn id="9237" xr3:uid="{2A053968-8390-4688-8FEF-9F8EC9F41129}" name="Column9222" dataCellStyle="Normal 2"/>
    <tableColumn id="9238" xr3:uid="{D3B5D3E5-E184-4078-BF48-F3D57727F664}" name="Column9223" dataCellStyle="Normal 2"/>
    <tableColumn id="9239" xr3:uid="{FACF3658-EDAC-4591-B629-63C4F884723F}" name="Column9224" dataCellStyle="Normal 2"/>
    <tableColumn id="9240" xr3:uid="{C512C167-4224-40BB-8E9D-3400AD5AAB61}" name="Column9225" dataCellStyle="Normal 2"/>
    <tableColumn id="9241" xr3:uid="{4D97C909-664C-4782-B21F-05A185C84063}" name="Column9226" dataCellStyle="Normal 2"/>
    <tableColumn id="9242" xr3:uid="{6AE2E4B9-9CFC-48E1-AAA0-E967A86ECB04}" name="Column9227" dataCellStyle="Normal 2"/>
    <tableColumn id="9243" xr3:uid="{E3CC003B-C046-4253-98D8-85E8889F1805}" name="Column9228" dataCellStyle="Normal 2"/>
    <tableColumn id="9244" xr3:uid="{B97A4F72-4602-403A-A87B-388DB2BD9B53}" name="Column9229" dataCellStyle="Normal 2"/>
    <tableColumn id="9245" xr3:uid="{0226E352-1F3A-4FFB-906A-253108FD0663}" name="Column9230" dataCellStyle="Normal 2"/>
    <tableColumn id="9246" xr3:uid="{758EECD5-0CF9-4450-B194-C0D7AE62BC05}" name="Column9231" dataCellStyle="Normal 2"/>
    <tableColumn id="9247" xr3:uid="{1287A3A5-F5EC-4497-B504-FFF8837557F9}" name="Column9232" dataCellStyle="Normal 2"/>
    <tableColumn id="9248" xr3:uid="{E4901945-F8B9-4D33-936B-DA89D5892240}" name="Column9233" dataCellStyle="Normal 2"/>
    <tableColumn id="9249" xr3:uid="{122F760C-6F1B-4F89-B5E1-32C5A2845EBE}" name="Column9234" dataCellStyle="Normal 2"/>
    <tableColumn id="9250" xr3:uid="{8FDCC8FC-2B8B-4A12-89F3-5AC5F529C11B}" name="Column9235" dataCellStyle="Normal 2"/>
    <tableColumn id="9251" xr3:uid="{B14BEA4F-27CC-42EE-9857-366F7D67010D}" name="Column9236" dataCellStyle="Normal 2"/>
    <tableColumn id="9252" xr3:uid="{509FEFBC-D710-4862-953D-E5EB5B152165}" name="Column9237" dataCellStyle="Normal 2"/>
    <tableColumn id="9253" xr3:uid="{51285293-B49A-4C1D-ABBE-7CACB4180DF2}" name="Column9238" dataCellStyle="Normal 2"/>
    <tableColumn id="9254" xr3:uid="{40C173F1-7EA4-4E04-A8A7-6D1666B4CCDC}" name="Column9239" dataCellStyle="Normal 2"/>
    <tableColumn id="9255" xr3:uid="{C7EDB419-2105-4F81-8842-3034E6B1BC68}" name="Column9240" dataCellStyle="Normal 2"/>
    <tableColumn id="9256" xr3:uid="{D977013D-E1F2-48F2-93A4-D042EE00B530}" name="Column9241" dataCellStyle="Normal 2"/>
    <tableColumn id="9257" xr3:uid="{2C71095C-5A71-4842-BB9B-FCC8CEB37ED7}" name="Column9242" dataCellStyle="Normal 2"/>
    <tableColumn id="9258" xr3:uid="{B9F625CE-F972-4A8E-B18E-67D8239DEF1C}" name="Column9243" dataCellStyle="Normal 2"/>
    <tableColumn id="9259" xr3:uid="{DB06F25F-49D0-4ADF-A831-F45E577A92D3}" name="Column9244" dataCellStyle="Normal 2"/>
    <tableColumn id="9260" xr3:uid="{8CE5D24F-BB3C-4413-AFC7-0013EBAFF8A1}" name="Column9245" dataCellStyle="Normal 2"/>
    <tableColumn id="9261" xr3:uid="{8F2CF415-2E65-45D8-9813-C5C010B7C3AB}" name="Column9246" dataCellStyle="Normal 2"/>
    <tableColumn id="9262" xr3:uid="{A0338275-F779-4A0A-9042-0A16286E5F6E}" name="Column9247" dataCellStyle="Normal 2"/>
    <tableColumn id="9263" xr3:uid="{6EF73B8B-4510-43C5-9240-846622765DDF}" name="Column9248" dataCellStyle="Normal 2"/>
    <tableColumn id="9264" xr3:uid="{5040F294-6093-47D4-8DB0-0BD648A32227}" name="Column9249" dataCellStyle="Normal 2"/>
    <tableColumn id="9265" xr3:uid="{E102BB1D-DDBA-4FA3-8B23-79D59A4C4D29}" name="Column9250" dataCellStyle="Normal 2"/>
    <tableColumn id="9266" xr3:uid="{3547A4EC-0279-45C7-808E-94EB0B6188BC}" name="Column9251" dataCellStyle="Normal 2"/>
    <tableColumn id="9267" xr3:uid="{32077F0C-FF91-4C35-AA94-A0E1D6224B8B}" name="Column9252" dataCellStyle="Normal 2"/>
    <tableColumn id="9268" xr3:uid="{D80F72E5-45CF-4983-9AB9-09FDA12CF85A}" name="Column9253" dataCellStyle="Normal 2"/>
    <tableColumn id="9269" xr3:uid="{B87056FE-CC5A-45DC-B184-24F0371093A8}" name="Column9254" dataCellStyle="Normal 2"/>
    <tableColumn id="9270" xr3:uid="{1A28C89D-3F43-48F2-AFAE-35D706A66904}" name="Column9255" dataCellStyle="Normal 2"/>
    <tableColumn id="9271" xr3:uid="{86A79566-1723-4EC8-A33E-1C29CF902071}" name="Column9256" dataCellStyle="Normal 2"/>
    <tableColumn id="9272" xr3:uid="{011F2758-1C92-4F75-A22E-4FAEBA956B71}" name="Column9257" dataCellStyle="Normal 2"/>
    <tableColumn id="9273" xr3:uid="{A91F1B76-6AB1-4AD3-AFD4-F01C45AEA0FA}" name="Column9258" dataCellStyle="Normal 2"/>
    <tableColumn id="9274" xr3:uid="{DBAD0032-FD18-40AE-94C1-149CAEA80E16}" name="Column9259" dataCellStyle="Normal 2"/>
    <tableColumn id="9275" xr3:uid="{3BDDB936-19AA-4976-AC96-617F42F07FEE}" name="Column9260" dataCellStyle="Normal 2"/>
    <tableColumn id="9276" xr3:uid="{DB1A8ABA-66DB-4787-B50A-D929AB62122B}" name="Column9261" dataCellStyle="Normal 2"/>
    <tableColumn id="9277" xr3:uid="{26C9045D-F692-4549-800A-59C2C5D30B0D}" name="Column9262" dataCellStyle="Normal 2"/>
    <tableColumn id="9278" xr3:uid="{1532B4CE-911D-406E-B488-41A7D7888CD9}" name="Column9263" dataCellStyle="Normal 2"/>
    <tableColumn id="9279" xr3:uid="{F84AFD8A-183C-4889-84C2-59008398D1B7}" name="Column9264" dataCellStyle="Normal 2"/>
    <tableColumn id="9280" xr3:uid="{DCE06930-80B9-445A-B09D-151CD49A0C9F}" name="Column9265" dataCellStyle="Normal 2"/>
    <tableColumn id="9281" xr3:uid="{4EAD7127-17C7-426E-83DE-FB977D955F07}" name="Column9266" dataCellStyle="Normal 2"/>
    <tableColumn id="9282" xr3:uid="{12C18BFB-8623-4B61-99F4-3171117E1BFC}" name="Column9267" dataCellStyle="Normal 2"/>
    <tableColumn id="9283" xr3:uid="{9BF6D3B8-10D8-4F45-A859-414C32E4B00D}" name="Column9268" dataCellStyle="Normal 2"/>
    <tableColumn id="9284" xr3:uid="{9C8DA526-FE8E-46BD-A0B3-5ECEE3109841}" name="Column9269" dataCellStyle="Normal 2"/>
    <tableColumn id="9285" xr3:uid="{43163B0E-5287-4B0D-A7B7-B897921BA880}" name="Column9270" dataCellStyle="Normal 2"/>
    <tableColumn id="9286" xr3:uid="{2488CC02-9FE9-4EC2-AB9E-FD0AC8BADAD2}" name="Column9271" dataCellStyle="Normal 2"/>
    <tableColumn id="9287" xr3:uid="{D7E22359-B028-4E11-BD7F-C27DDF2F7578}" name="Column9272" dataCellStyle="Normal 2"/>
    <tableColumn id="9288" xr3:uid="{F9977D5C-780D-4F5E-844E-8418CF966D8F}" name="Column9273" dataCellStyle="Normal 2"/>
    <tableColumn id="9289" xr3:uid="{295E27C3-0FE2-4759-A482-0C51EF8A63E0}" name="Column9274" dataCellStyle="Normal 2"/>
    <tableColumn id="9290" xr3:uid="{A2A30686-5C60-4E00-A8AE-CE4E566147C3}" name="Column9275" dataCellStyle="Normal 2"/>
    <tableColumn id="9291" xr3:uid="{A74E7435-EF04-44C6-BF49-8137FAB059E6}" name="Column9276" dataCellStyle="Normal 2"/>
    <tableColumn id="9292" xr3:uid="{4873CF6E-AFEE-42A8-82E8-1B837D9F1949}" name="Column9277" dataCellStyle="Normal 2"/>
    <tableColumn id="9293" xr3:uid="{0EF39F49-65CF-4E29-B020-46A5B62DC435}" name="Column9278" dataCellStyle="Normal 2"/>
    <tableColumn id="9294" xr3:uid="{602E3F33-2ADD-447C-8BE8-2ED83F30333D}" name="Column9279" dataCellStyle="Normal 2"/>
    <tableColumn id="9295" xr3:uid="{40A99966-FBDC-448F-A1EE-2FF5554F84B9}" name="Column9280" dataCellStyle="Normal 2"/>
    <tableColumn id="9296" xr3:uid="{F2C7AF3B-A30E-426A-BE26-33CA560CA179}" name="Column9281" dataCellStyle="Normal 2"/>
    <tableColumn id="9297" xr3:uid="{A0513A44-C540-4291-A7D5-B81A0D9A6909}" name="Column9282" dataCellStyle="Normal 2"/>
    <tableColumn id="9298" xr3:uid="{47F16AA6-1E87-4DB0-83A3-46F549906E9D}" name="Column9283" dataCellStyle="Normal 2"/>
    <tableColumn id="9299" xr3:uid="{9EF7DFB6-D45D-4A52-A50B-C3299AD60D65}" name="Column9284" dataCellStyle="Normal 2"/>
    <tableColumn id="9300" xr3:uid="{C5879B09-2ED9-48D1-9F64-289F65C8F5E2}" name="Column9285" dataCellStyle="Normal 2"/>
    <tableColumn id="9301" xr3:uid="{CDFFC249-25ED-411F-9BF2-072F0BFEA9AD}" name="Column9286" dataCellStyle="Normal 2"/>
    <tableColumn id="9302" xr3:uid="{66EFAE35-B3BD-43E4-8BE9-6ACE1B933480}" name="Column9287" dataCellStyle="Normal 2"/>
    <tableColumn id="9303" xr3:uid="{5FADF233-3F0F-42DF-9B52-0A4A0F0AC3F7}" name="Column9288" dataCellStyle="Normal 2"/>
    <tableColumn id="9304" xr3:uid="{80A78086-3286-40DD-A551-78F6A3CB8BA7}" name="Column9289" dataCellStyle="Normal 2"/>
    <tableColumn id="9305" xr3:uid="{1564476C-D66C-4323-B6F7-F50F473C049F}" name="Column9290" dataCellStyle="Normal 2"/>
    <tableColumn id="9306" xr3:uid="{B39E2F43-7339-4D2B-91B8-7D7D514113DC}" name="Column9291" dataCellStyle="Normal 2"/>
    <tableColumn id="9307" xr3:uid="{C06A4E5A-FFC8-4EC7-9524-072FFB59061A}" name="Column9292" dataCellStyle="Normal 2"/>
    <tableColumn id="9308" xr3:uid="{2CCF47C7-03B2-47AD-B71F-F5D8222D9D58}" name="Column9293" dataCellStyle="Normal 2"/>
    <tableColumn id="9309" xr3:uid="{0E3C8B67-71F8-4486-9DAC-05555F0F2729}" name="Column9294" dataCellStyle="Normal 2"/>
    <tableColumn id="9310" xr3:uid="{525EBF55-30E4-4E04-8C24-542275724815}" name="Column9295" dataCellStyle="Normal 2"/>
    <tableColumn id="9311" xr3:uid="{D0AE5333-2CA5-4E63-87B8-1A2A417A97F2}" name="Column9296" dataCellStyle="Normal 2"/>
    <tableColumn id="9312" xr3:uid="{B1307AC0-19F2-48AA-91E0-FEE6C23A4579}" name="Column9297" dataCellStyle="Normal 2"/>
    <tableColumn id="9313" xr3:uid="{97137367-C881-489C-A387-9F3713BEF68B}" name="Column9298" dataCellStyle="Normal 2"/>
    <tableColumn id="9314" xr3:uid="{1CC223EB-CF68-4D78-9C4D-0203242DC04A}" name="Column9299" dataCellStyle="Normal 2"/>
    <tableColumn id="9315" xr3:uid="{360B5457-AD99-4461-9AC6-3677870C1FBB}" name="Column9300" dataCellStyle="Normal 2"/>
    <tableColumn id="9316" xr3:uid="{A64C9648-D51F-412A-B982-27D6E470D076}" name="Column9301" dataCellStyle="Normal 2"/>
    <tableColumn id="9317" xr3:uid="{45ABB80F-06A3-4016-9142-1E41B4AD4CD9}" name="Column9302" dataCellStyle="Normal 2"/>
    <tableColumn id="9318" xr3:uid="{8CA87F9A-6E4A-4C71-8083-2A12CC64B191}" name="Column9303" dataCellStyle="Normal 2"/>
    <tableColumn id="9319" xr3:uid="{CD314635-DDF8-4E1A-9082-65583F6AE770}" name="Column9304" dataCellStyle="Normal 2"/>
    <tableColumn id="9320" xr3:uid="{ED6579BF-60B9-4D0B-9A55-1BCBE0991AED}" name="Column9305" dataCellStyle="Normal 2"/>
    <tableColumn id="9321" xr3:uid="{AD9B0F0E-EF13-4615-B3EC-FE62492492C4}" name="Column9306" dataCellStyle="Normal 2"/>
    <tableColumn id="9322" xr3:uid="{35A96099-B795-49A1-9603-671B78E9C392}" name="Column9307" dataCellStyle="Normal 2"/>
    <tableColumn id="9323" xr3:uid="{A658446E-F1F6-4AB9-8679-4115FD8EB219}" name="Column9308" dataCellStyle="Normal 2"/>
    <tableColumn id="9324" xr3:uid="{5E4F1EFA-FF50-4879-92AC-0EAB55DAAABD}" name="Column9309" dataCellStyle="Normal 2"/>
    <tableColumn id="9325" xr3:uid="{08420F05-397D-41AF-8688-28FC3B8ECBE9}" name="Column9310" dataCellStyle="Normal 2"/>
    <tableColumn id="9326" xr3:uid="{AE851498-2458-4A25-BC69-0EE046DC218D}" name="Column9311" dataCellStyle="Normal 2"/>
    <tableColumn id="9327" xr3:uid="{BDECA27F-957F-4F27-97E6-D3E1A081700C}" name="Column9312" dataCellStyle="Normal 2"/>
    <tableColumn id="9328" xr3:uid="{D694A414-848C-4551-B4CB-A6FF1932F874}" name="Column9313" dataCellStyle="Normal 2"/>
    <tableColumn id="9329" xr3:uid="{256CFE01-F966-45D1-862C-758E0CC94A16}" name="Column9314" dataCellStyle="Normal 2"/>
    <tableColumn id="9330" xr3:uid="{8F58719D-6622-456A-A7BE-E9C8847604CB}" name="Column9315" dataCellStyle="Normal 2"/>
    <tableColumn id="9331" xr3:uid="{25B66E2D-EDC1-409D-B397-1FE75E1B004C}" name="Column9316" dataCellStyle="Normal 2"/>
    <tableColumn id="9332" xr3:uid="{9DDCF7BE-B1BB-4D37-9034-7EEF930F9E5B}" name="Column9317" dataCellStyle="Normal 2"/>
    <tableColumn id="9333" xr3:uid="{BC3A950B-8658-4831-80CD-6F552923FB0B}" name="Column9318" dataCellStyle="Normal 2"/>
    <tableColumn id="9334" xr3:uid="{E0FE98F7-DF78-4A31-B071-86DA813109A1}" name="Column9319" dataCellStyle="Normal 2"/>
    <tableColumn id="9335" xr3:uid="{7809DFA8-921A-471B-A80C-2F512386A977}" name="Column9320" dataCellStyle="Normal 2"/>
    <tableColumn id="9336" xr3:uid="{1D79176A-55BB-4D62-B1A0-D9F7E8A24C96}" name="Column9321" dataCellStyle="Normal 2"/>
    <tableColumn id="9337" xr3:uid="{C26A44C1-350D-4AC4-AB28-574DDBC60516}" name="Column9322" dataCellStyle="Normal 2"/>
    <tableColumn id="9338" xr3:uid="{D9FD6FD0-491D-4EF9-BBC6-7425F20DAA90}" name="Column9323" dataCellStyle="Normal 2"/>
    <tableColumn id="9339" xr3:uid="{22DAC2AD-D69B-4C99-934B-2CB50DE7925A}" name="Column9324" dataCellStyle="Normal 2"/>
    <tableColumn id="9340" xr3:uid="{330E4C17-7DC8-48ED-B61D-25A944BA1F7D}" name="Column9325" dataCellStyle="Normal 2"/>
    <tableColumn id="9341" xr3:uid="{688A4295-CD33-4C61-8AD5-ACAD9FD99592}" name="Column9326" dataCellStyle="Normal 2"/>
    <tableColumn id="9342" xr3:uid="{3619F9D7-C166-4F39-8E73-9D379BB693E7}" name="Column9327" dataCellStyle="Normal 2"/>
    <tableColumn id="9343" xr3:uid="{606C2882-DBAE-4E33-A7DA-7A0D9328A12E}" name="Column9328" dataCellStyle="Normal 2"/>
    <tableColumn id="9344" xr3:uid="{8CBAC616-7F9C-4A15-8C6A-C38281CFD7AE}" name="Column9329" dataCellStyle="Normal 2"/>
    <tableColumn id="9345" xr3:uid="{5674B6B8-2E1E-4752-BAC6-FC62263B7B10}" name="Column9330" dataCellStyle="Normal 2"/>
    <tableColumn id="9346" xr3:uid="{F9E91F72-D9D8-4298-868D-D090F71414B1}" name="Column9331" dataCellStyle="Normal 2"/>
    <tableColumn id="9347" xr3:uid="{DAE782CD-A8AD-4D73-AD40-14242BB95F54}" name="Column9332" dataCellStyle="Normal 2"/>
    <tableColumn id="9348" xr3:uid="{3A6C3DC5-61FC-44E3-82E9-99F014AAAF98}" name="Column9333" dataCellStyle="Normal 2"/>
    <tableColumn id="9349" xr3:uid="{63F74227-5057-45C7-AEFB-056A49123CB8}" name="Column9334" dataCellStyle="Normal 2"/>
    <tableColumn id="9350" xr3:uid="{15C6203E-AA78-451E-BD10-F78A06A6BD25}" name="Column9335" dataCellStyle="Normal 2"/>
    <tableColumn id="9351" xr3:uid="{1FA294F4-D6B7-46CC-A2D2-EB0BE8CE92D9}" name="Column9336" dataCellStyle="Normal 2"/>
    <tableColumn id="9352" xr3:uid="{3010A606-94C3-4134-B511-DC27B2AAE846}" name="Column9337" dataCellStyle="Normal 2"/>
    <tableColumn id="9353" xr3:uid="{1493C5F7-5EB6-4B29-A73B-D61EC980FA2D}" name="Column9338" dataCellStyle="Normal 2"/>
    <tableColumn id="9354" xr3:uid="{B80E0AE1-DB3E-45D7-BE24-E3A3B1430E09}" name="Column9339" dataCellStyle="Normal 2"/>
    <tableColumn id="9355" xr3:uid="{EBF80D24-D878-4BAB-9504-90072B08CEF1}" name="Column9340" dataCellStyle="Normal 2"/>
    <tableColumn id="9356" xr3:uid="{96A39FDB-956F-45EE-80DA-9944284AC3B3}" name="Column9341" dataCellStyle="Normal 2"/>
    <tableColumn id="9357" xr3:uid="{35D6A184-83BD-46CF-9552-910DEBEC0B31}" name="Column9342" dataCellStyle="Normal 2"/>
    <tableColumn id="9358" xr3:uid="{3F835157-B782-456D-9731-EA51D1C1F4BD}" name="Column9343" dataCellStyle="Normal 2"/>
    <tableColumn id="9359" xr3:uid="{69C287E0-589C-421E-86E9-9A3B233F7309}" name="Column9344" dataCellStyle="Normal 2"/>
    <tableColumn id="9360" xr3:uid="{52845ED3-98EE-4F8D-824F-AF1785DF9F07}" name="Column9345" dataCellStyle="Normal 2"/>
    <tableColumn id="9361" xr3:uid="{66D35125-D1FB-4AC8-A819-32C3838D8E33}" name="Column9346" dataCellStyle="Normal 2"/>
    <tableColumn id="9362" xr3:uid="{B7991CB4-DD17-4FC3-B4B0-66879D6765C0}" name="Column9347" dataCellStyle="Normal 2"/>
    <tableColumn id="9363" xr3:uid="{7544DB4F-3145-4E91-97C3-AFCDF06C99C9}" name="Column9348" dataCellStyle="Normal 2"/>
    <tableColumn id="9364" xr3:uid="{D0310D12-80C9-48F9-8A80-81381E313740}" name="Column9349" dataCellStyle="Normal 2"/>
    <tableColumn id="9365" xr3:uid="{268E340B-DB5B-49CE-9F34-6A0642FFE4E5}" name="Column9350" dataCellStyle="Normal 2"/>
    <tableColumn id="9366" xr3:uid="{AE86A871-E318-4976-9AB7-31FBCA198E67}" name="Column9351" dataCellStyle="Normal 2"/>
    <tableColumn id="9367" xr3:uid="{DC29A661-2D17-46AD-8AA5-D86DE0DED283}" name="Column9352" dataCellStyle="Normal 2"/>
    <tableColumn id="9368" xr3:uid="{1FE77ACF-E228-4740-912C-9E5AB194772F}" name="Column9353" dataCellStyle="Normal 2"/>
    <tableColumn id="9369" xr3:uid="{650E07A4-0015-494D-950B-14293A48BAAE}" name="Column9354" dataCellStyle="Normal 2"/>
    <tableColumn id="9370" xr3:uid="{25483EAE-7F3A-40B9-9C83-138ECF5A8C69}" name="Column9355" dataCellStyle="Normal 2"/>
    <tableColumn id="9371" xr3:uid="{89885F75-B296-4EBC-93A9-DDB96C04B5B5}" name="Column9356" dataCellStyle="Normal 2"/>
    <tableColumn id="9372" xr3:uid="{992DDC28-2970-46F5-8D1E-E6D3FDBCEE80}" name="Column9357" dataCellStyle="Normal 2"/>
    <tableColumn id="9373" xr3:uid="{00D8EFBB-CC59-42CF-8A1D-6EB62AF50887}" name="Column9358" dataCellStyle="Normal 2"/>
    <tableColumn id="9374" xr3:uid="{68948A25-DDEE-4DF0-A3E7-179DC5211B8E}" name="Column9359" dataCellStyle="Normal 2"/>
    <tableColumn id="9375" xr3:uid="{CC56592A-ED06-41C5-90A2-8D5F3D7C33F9}" name="Column9360" dataCellStyle="Normal 2"/>
    <tableColumn id="9376" xr3:uid="{715EC9CE-98FC-4E41-B5AF-354156A2FEA9}" name="Column9361" dataCellStyle="Normal 2"/>
    <tableColumn id="9377" xr3:uid="{A70E8F62-A5D5-4B45-82A9-E7F9A8873087}" name="Column9362" dataCellStyle="Normal 2"/>
    <tableColumn id="9378" xr3:uid="{B28DCC9F-948E-47FD-AF56-BA1C8953F2E0}" name="Column9363" dataCellStyle="Normal 2"/>
    <tableColumn id="9379" xr3:uid="{3A9E937C-13DC-42F6-A3CF-AC4352601425}" name="Column9364" dataCellStyle="Normal 2"/>
    <tableColumn id="9380" xr3:uid="{0857F348-5DBA-4781-909B-B9885DCF8094}" name="Column9365" dataCellStyle="Normal 2"/>
    <tableColumn id="9381" xr3:uid="{DEF4976A-FFB8-464B-BF84-F087D1C4621F}" name="Column9366" dataCellStyle="Normal 2"/>
    <tableColumn id="9382" xr3:uid="{5F711D9C-725C-4E26-B4FF-7E7BF5908455}" name="Column9367" dataCellStyle="Normal 2"/>
    <tableColumn id="9383" xr3:uid="{838259CD-CDB8-41F0-8629-651B5D689A48}" name="Column9368" dataCellStyle="Normal 2"/>
    <tableColumn id="9384" xr3:uid="{EABA6027-6E9A-469F-BAC1-F151C5D41D64}" name="Column9369" dataCellStyle="Normal 2"/>
    <tableColumn id="9385" xr3:uid="{E830B769-7081-4AB4-BE12-787EA76035CD}" name="Column9370" dataCellStyle="Normal 2"/>
    <tableColumn id="9386" xr3:uid="{A0F13EC0-084F-47B5-9F5B-E4FDA2F4481D}" name="Column9371" dataCellStyle="Normal 2"/>
    <tableColumn id="9387" xr3:uid="{F0E19A7F-4DED-42A8-B36A-891311EAF792}" name="Column9372" dataCellStyle="Normal 2"/>
    <tableColumn id="9388" xr3:uid="{051F340C-94A7-4CDD-AE4B-1A533FDD4F2F}" name="Column9373" dataCellStyle="Normal 2"/>
    <tableColumn id="9389" xr3:uid="{B7306C49-F03B-4976-BEDF-91548F5B7E09}" name="Column9374" dataCellStyle="Normal 2"/>
    <tableColumn id="9390" xr3:uid="{2F4C19E0-5422-490B-9280-EF82C7A8E73C}" name="Column9375" dataCellStyle="Normal 2"/>
    <tableColumn id="9391" xr3:uid="{FAF5794A-E348-448E-9024-FA47032E7D33}" name="Column9376" dataCellStyle="Normal 2"/>
    <tableColumn id="9392" xr3:uid="{843C3E0F-A874-41BC-922B-FBED8CE01C8F}" name="Column9377" dataCellStyle="Normal 2"/>
    <tableColumn id="9393" xr3:uid="{6511AE76-6C2C-44B0-B134-0C7814C58FBB}" name="Column9378" dataCellStyle="Normal 2"/>
    <tableColumn id="9394" xr3:uid="{FF1AB2EE-2790-4B89-BD15-71257EB7E4BF}" name="Column9379" dataCellStyle="Normal 2"/>
    <tableColumn id="9395" xr3:uid="{5A7689EC-CB0E-40AA-97D4-D99D97390FDB}" name="Column9380" dataCellStyle="Normal 2"/>
    <tableColumn id="9396" xr3:uid="{7F628CEE-7D34-40BB-9A91-3F82ADF197FF}" name="Column9381" dataCellStyle="Normal 2"/>
    <tableColumn id="9397" xr3:uid="{49E98695-464F-45B4-9EBC-C8FC5DFC0DFF}" name="Column9382" dataCellStyle="Normal 2"/>
    <tableColumn id="9398" xr3:uid="{9351741F-CE7B-40AB-8C03-F4BF3F171E70}" name="Column9383" dataCellStyle="Normal 2"/>
    <tableColumn id="9399" xr3:uid="{01C96649-5F78-4FB5-9C90-D0E68F7C5AB8}" name="Column9384" dataCellStyle="Normal 2"/>
    <tableColumn id="9400" xr3:uid="{3B9D9276-D55B-4C09-B978-B3EC1EED087A}" name="Column9385" dataCellStyle="Normal 2"/>
    <tableColumn id="9401" xr3:uid="{9EEE63E4-88F2-419E-AE14-BE141F50FA6C}" name="Column9386" dataCellStyle="Normal 2"/>
    <tableColumn id="9402" xr3:uid="{841758CB-4240-4AB7-8CE6-23BC2F59D4CB}" name="Column9387" dataCellStyle="Normal 2"/>
    <tableColumn id="9403" xr3:uid="{72D771C9-E9E5-4434-ABA7-7591A5969CD1}" name="Column9388" dataCellStyle="Normal 2"/>
    <tableColumn id="9404" xr3:uid="{22BB6375-B787-46A3-B2A4-BDDF6CF5E54C}" name="Column9389" dataCellStyle="Normal 2"/>
    <tableColumn id="9405" xr3:uid="{4D01C98C-94A7-421C-B644-37C60EB60B3D}" name="Column9390" dataCellStyle="Normal 2"/>
    <tableColumn id="9406" xr3:uid="{F3BD10C4-A867-46F4-884D-A576ED07432C}" name="Column9391" dataCellStyle="Normal 2"/>
    <tableColumn id="9407" xr3:uid="{7C556081-0D7B-4B4B-9E75-ADD6696BDA02}" name="Column9392" dataCellStyle="Normal 2"/>
    <tableColumn id="9408" xr3:uid="{46E4DEF0-1FC0-42DB-A4DB-BCFB83DE4C71}" name="Column9393" dataCellStyle="Normal 2"/>
    <tableColumn id="9409" xr3:uid="{731AB18C-2CAA-40D0-A9B9-28A56E9843BC}" name="Column9394" dataCellStyle="Normal 2"/>
    <tableColumn id="9410" xr3:uid="{B0ADF4D8-23A9-4547-A7C7-19674C942BEE}" name="Column9395" dataCellStyle="Normal 2"/>
    <tableColumn id="9411" xr3:uid="{769AAFFD-7865-46E9-96F9-8379D55A87B7}" name="Column9396" dataCellStyle="Normal 2"/>
    <tableColumn id="9412" xr3:uid="{B3C5D3FC-9A63-442D-B7A7-831F7C2C8880}" name="Column9397" dataCellStyle="Normal 2"/>
    <tableColumn id="9413" xr3:uid="{4C603CF4-DE22-4C27-8107-E6075E396DC6}" name="Column9398" dataCellStyle="Normal 2"/>
    <tableColumn id="9414" xr3:uid="{542D8FB9-2781-40A5-8AE9-7CED8A65C50F}" name="Column9399" dataCellStyle="Normal 2"/>
    <tableColumn id="9415" xr3:uid="{580FB037-DDB3-46C5-AF3A-639864B7015A}" name="Column9400" dataCellStyle="Normal 2"/>
    <tableColumn id="9416" xr3:uid="{6DDD4A69-D694-4F17-A1A3-F445E28C382C}" name="Column9401" dataCellStyle="Normal 2"/>
    <tableColumn id="9417" xr3:uid="{6CAC9927-F67F-4D14-8AFB-166ED8CBE707}" name="Column9402" dataCellStyle="Normal 2"/>
    <tableColumn id="9418" xr3:uid="{8F410991-7C32-439A-9B47-E1CEDD830BB6}" name="Column9403" dataCellStyle="Normal 2"/>
    <tableColumn id="9419" xr3:uid="{6C8D7A5B-9371-4536-8427-D19986AB801D}" name="Column9404" dataCellStyle="Normal 2"/>
    <tableColumn id="9420" xr3:uid="{42E9D034-B737-4CB6-8B44-3DFEEBD55A8D}" name="Column9405" dataCellStyle="Normal 2"/>
    <tableColumn id="9421" xr3:uid="{0BA5D9B9-5863-4C86-86DC-40CD11CD653E}" name="Column9406" dataCellStyle="Normal 2"/>
    <tableColumn id="9422" xr3:uid="{BE89C7C0-1056-44BC-8438-DD980BAC3919}" name="Column9407" dataCellStyle="Normal 2"/>
    <tableColumn id="9423" xr3:uid="{C901762E-74FC-4FB7-BB07-6D33B7AC8C37}" name="Column9408" dataCellStyle="Normal 2"/>
    <tableColumn id="9424" xr3:uid="{CB8CB56D-E4C4-4BB3-8412-0DE4F8EC438E}" name="Column9409" dataCellStyle="Normal 2"/>
    <tableColumn id="9425" xr3:uid="{6139F0B2-29F9-4496-AA02-B382C62A1333}" name="Column9410" dataCellStyle="Normal 2"/>
    <tableColumn id="9426" xr3:uid="{A65FF01E-0CC5-4256-8DB9-04176156439E}" name="Column9411" dataCellStyle="Normal 2"/>
    <tableColumn id="9427" xr3:uid="{23F97F35-2C29-42B3-A5CC-CD34AE39DE58}" name="Column9412" dataCellStyle="Normal 2"/>
    <tableColumn id="9428" xr3:uid="{3DECD38B-C967-4543-BA22-70E6F9912E8A}" name="Column9413" dataCellStyle="Normal 2"/>
    <tableColumn id="9429" xr3:uid="{2D164FCA-B1B0-422A-BBA9-3C0FB90B8478}" name="Column9414" dataCellStyle="Normal 2"/>
    <tableColumn id="9430" xr3:uid="{0F705C28-0E3E-4CA2-9019-6BBF4061708F}" name="Column9415" dataCellStyle="Normal 2"/>
    <tableColumn id="9431" xr3:uid="{BE3738D5-DEBE-48A6-B553-5F2C9E77F8AB}" name="Column9416" dataCellStyle="Normal 2"/>
    <tableColumn id="9432" xr3:uid="{4CEF801C-6EEF-48F4-9956-B37C72C2A67E}" name="Column9417" dataCellStyle="Normal 2"/>
    <tableColumn id="9433" xr3:uid="{F276D30B-3588-4AFC-A2DB-7774EB5C6171}" name="Column9418" dataCellStyle="Normal 2"/>
    <tableColumn id="9434" xr3:uid="{53AEFC0A-8F8A-416A-B13F-EE89C7AC0B9E}" name="Column9419" dataCellStyle="Normal 2"/>
    <tableColumn id="9435" xr3:uid="{3CACA83D-BD03-47C7-9358-F5DFD20E99D5}" name="Column9420" dataCellStyle="Normal 2"/>
    <tableColumn id="9436" xr3:uid="{C97EC7E1-AA22-4721-BCF6-F9B065A6F65F}" name="Column9421" dataCellStyle="Normal 2"/>
    <tableColumn id="9437" xr3:uid="{B8DD421C-18BF-49AF-ABD0-D1541689C6F5}" name="Column9422" dataCellStyle="Normal 2"/>
    <tableColumn id="9438" xr3:uid="{234560AD-E2D1-4DE2-AEE3-636F208A331B}" name="Column9423" dataCellStyle="Normal 2"/>
    <tableColumn id="9439" xr3:uid="{8AB6DC7A-B59F-4D5F-84B4-BD1747385875}" name="Column9424" dataCellStyle="Normal 2"/>
    <tableColumn id="9440" xr3:uid="{F58B2C11-1538-40B6-8BF8-776A7565D948}" name="Column9425" dataCellStyle="Normal 2"/>
    <tableColumn id="9441" xr3:uid="{96ECAA88-2983-4F1F-A679-4351C35E796E}" name="Column9426" dataCellStyle="Normal 2"/>
    <tableColumn id="9442" xr3:uid="{57200EB9-ACB8-412C-B903-AAF9EB7E15AE}" name="Column9427" dataCellStyle="Normal 2"/>
    <tableColumn id="9443" xr3:uid="{888499FF-7B55-4604-BFCE-695624FDCA8C}" name="Column9428" dataCellStyle="Normal 2"/>
    <tableColumn id="9444" xr3:uid="{247DC612-E239-4FC8-83E0-2C8805588091}" name="Column9429" dataCellStyle="Normal 2"/>
    <tableColumn id="9445" xr3:uid="{76784CA8-537C-44F6-B498-1B9F6C16FB72}" name="Column9430" dataCellStyle="Normal 2"/>
    <tableColumn id="9446" xr3:uid="{70E2AF10-2174-4E78-B604-626A9FA14DE2}" name="Column9431" dataCellStyle="Normal 2"/>
    <tableColumn id="9447" xr3:uid="{3ED2645A-FDB2-4D6C-8124-5C0B476597C1}" name="Column9432" dataCellStyle="Normal 2"/>
    <tableColumn id="9448" xr3:uid="{D14AC94C-5DB9-4F6A-8238-4CAD4AE7CF19}" name="Column9433" dataCellStyle="Normal 2"/>
    <tableColumn id="9449" xr3:uid="{ECCEBA75-9E26-45CD-96DC-AC7ED252A059}" name="Column9434" dataCellStyle="Normal 2"/>
    <tableColumn id="9450" xr3:uid="{4B7DAF61-90BC-4019-96D5-84CD81D50001}" name="Column9435" dataCellStyle="Normal 2"/>
    <tableColumn id="9451" xr3:uid="{D11CACEB-4278-4166-A361-AB6B3A378001}" name="Column9436" dataCellStyle="Normal 2"/>
    <tableColumn id="9452" xr3:uid="{F6909C60-DC35-4106-BCBF-048E789881C3}" name="Column9437" dataCellStyle="Normal 2"/>
    <tableColumn id="9453" xr3:uid="{1F34A173-BB42-46C7-89D0-CF9BFE5682B2}" name="Column9438" dataCellStyle="Normal 2"/>
    <tableColumn id="9454" xr3:uid="{8E015F09-DCEE-438E-AB8B-56906D8F7E8F}" name="Column9439" dataCellStyle="Normal 2"/>
    <tableColumn id="9455" xr3:uid="{C1690892-E01D-4D31-804A-C96AFC4EAF33}" name="Column9440" dataCellStyle="Normal 2"/>
    <tableColumn id="9456" xr3:uid="{4CD743A7-3B74-4517-902C-FD126997914C}" name="Column9441" dataCellStyle="Normal 2"/>
    <tableColumn id="9457" xr3:uid="{E9EFDF24-71E9-4167-91EF-220AFC29FA8C}" name="Column9442" dataCellStyle="Normal 2"/>
    <tableColumn id="9458" xr3:uid="{96CA87D6-8494-4FEE-9D23-8EAFDF31C64F}" name="Column9443" dataCellStyle="Normal 2"/>
    <tableColumn id="9459" xr3:uid="{17763DD3-BDCA-4B9F-82E2-9BE00A264020}" name="Column9444" dataCellStyle="Normal 2"/>
    <tableColumn id="9460" xr3:uid="{8E10CB7F-2F02-4A1A-88D4-75C76B851A91}" name="Column9445" dataCellStyle="Normal 2"/>
    <tableColumn id="9461" xr3:uid="{6BD808E0-4893-4D5D-8AAE-F4336BAD279A}" name="Column9446" dataCellStyle="Normal 2"/>
    <tableColumn id="9462" xr3:uid="{F80D951A-00C0-4C11-BD7B-C0C09ABED51C}" name="Column9447" dataCellStyle="Normal 2"/>
    <tableColumn id="9463" xr3:uid="{F6311770-3030-49FE-95C8-A789BE3E27DF}" name="Column9448" dataCellStyle="Normal 2"/>
    <tableColumn id="9464" xr3:uid="{7131141D-69D4-4D1D-97D5-7BB7CED20A4E}" name="Column9449" dataCellStyle="Normal 2"/>
    <tableColumn id="9465" xr3:uid="{21647189-D66E-47F6-BBBF-6F76FB2B7632}" name="Column9450" dataCellStyle="Normal 2"/>
    <tableColumn id="9466" xr3:uid="{12E77FDE-A584-4255-9FE7-FE6C104F9EBC}" name="Column9451" dataCellStyle="Normal 2"/>
    <tableColumn id="9467" xr3:uid="{D910D915-3402-4806-BAC6-6F6DD00C0545}" name="Column9452" dataCellStyle="Normal 2"/>
    <tableColumn id="9468" xr3:uid="{0C527E23-8B45-4888-BE9F-847890F3D4A8}" name="Column9453" dataCellStyle="Normal 2"/>
    <tableColumn id="9469" xr3:uid="{247D1A80-7FA6-4925-9CA5-7EEC7BB13D31}" name="Column9454" dataCellStyle="Normal 2"/>
    <tableColumn id="9470" xr3:uid="{22BA06C5-4A24-4C5B-B4C4-E031EB762AAE}" name="Column9455" dataCellStyle="Normal 2"/>
    <tableColumn id="9471" xr3:uid="{BA9DC5F9-D3D8-4DD3-A68F-BE916D7116B3}" name="Column9456" dataCellStyle="Normal 2"/>
    <tableColumn id="9472" xr3:uid="{3197FFB3-DC16-4FFA-8514-532C96E83DDC}" name="Column9457" dataCellStyle="Normal 2"/>
    <tableColumn id="9473" xr3:uid="{F5ADC9E6-1284-4C48-AF8F-F0EB4697DAAB}" name="Column9458" dataCellStyle="Normal 2"/>
    <tableColumn id="9474" xr3:uid="{146050DB-A80D-486C-9A00-8F073D149D45}" name="Column9459" dataCellStyle="Normal 2"/>
    <tableColumn id="9475" xr3:uid="{3EF5A015-4651-4A69-8874-6AC9074D5C4A}" name="Column9460" dataCellStyle="Normal 2"/>
    <tableColumn id="9476" xr3:uid="{8D00A783-9870-47D7-8922-99A5E8BA584B}" name="Column9461" dataCellStyle="Normal 2"/>
    <tableColumn id="9477" xr3:uid="{AC15E9A2-17C1-4384-8A41-5BCA243FD07A}" name="Column9462" dataCellStyle="Normal 2"/>
    <tableColumn id="9478" xr3:uid="{614692F3-3050-4C4A-9D14-14A0C55F3469}" name="Column9463" dataCellStyle="Normal 2"/>
    <tableColumn id="9479" xr3:uid="{DB124552-1880-4416-A716-CDA2625178AB}" name="Column9464" dataCellStyle="Normal 2"/>
    <tableColumn id="9480" xr3:uid="{CB5AEC04-B33E-4E38-BDF9-3D1046F3F47C}" name="Column9465" dataCellStyle="Normal 2"/>
    <tableColumn id="9481" xr3:uid="{5563CB55-27DF-4E1F-85CE-AF4000B2C450}" name="Column9466" dataCellStyle="Normal 2"/>
    <tableColumn id="9482" xr3:uid="{921216FE-71CE-4B8D-969F-DD6F9E161594}" name="Column9467" dataCellStyle="Normal 2"/>
    <tableColumn id="9483" xr3:uid="{6A89D263-54AA-4CE6-8DBA-F17845CEEDD1}" name="Column9468" dataCellStyle="Normal 2"/>
    <tableColumn id="9484" xr3:uid="{FD3B6499-1450-4468-BA82-99A440403B63}" name="Column9469" dataCellStyle="Normal 2"/>
    <tableColumn id="9485" xr3:uid="{3902810B-11E7-45CD-9B9A-4AF7FB837E72}" name="Column9470" dataCellStyle="Normal 2"/>
    <tableColumn id="9486" xr3:uid="{2BA34735-633C-494C-A5A6-C853AEF9B2F1}" name="Column9471" dataCellStyle="Normal 2"/>
    <tableColumn id="9487" xr3:uid="{597BB23A-9814-46D7-92E8-603D13211706}" name="Column9472" dataCellStyle="Normal 2"/>
    <tableColumn id="9488" xr3:uid="{62479324-66D3-4C72-9FA4-70CD9666C92C}" name="Column9473" dataCellStyle="Normal 2"/>
    <tableColumn id="9489" xr3:uid="{5A79355D-FBDE-4FAC-BB4E-4601A0E1259D}" name="Column9474" dataCellStyle="Normal 2"/>
    <tableColumn id="9490" xr3:uid="{A1DB4001-51AF-45FC-B6E5-0F48E0385A35}" name="Column9475" dataCellStyle="Normal 2"/>
    <tableColumn id="9491" xr3:uid="{266AED30-B24D-44F5-A5DF-CF7E8BEB30EA}" name="Column9476" dataCellStyle="Normal 2"/>
    <tableColumn id="9492" xr3:uid="{4D6D8AF9-00DD-4870-A961-A89BC9FC51F2}" name="Column9477" dataCellStyle="Normal 2"/>
    <tableColumn id="9493" xr3:uid="{188D0044-E9E5-4461-B772-F0A5A7914CCD}" name="Column9478" dataCellStyle="Normal 2"/>
    <tableColumn id="9494" xr3:uid="{9564F058-5EF9-4A34-A932-7C3EF709AA6E}" name="Column9479" dataCellStyle="Normal 2"/>
    <tableColumn id="9495" xr3:uid="{6B595E0C-9967-4C5E-82AE-21E48E103494}" name="Column9480" dataCellStyle="Normal 2"/>
    <tableColumn id="9496" xr3:uid="{3F098409-1391-441F-BCAC-A488F0FB2262}" name="Column9481" dataCellStyle="Normal 2"/>
    <tableColumn id="9497" xr3:uid="{0CAA295F-2D82-45D6-A839-8247CECAE67A}" name="Column9482" dataCellStyle="Normal 2"/>
    <tableColumn id="9498" xr3:uid="{AB036D5D-B29D-42AC-B535-84FC1EE2D051}" name="Column9483" dataCellStyle="Normal 2"/>
    <tableColumn id="9499" xr3:uid="{CD2E9025-B16A-4B41-9EE6-2920F7521FBE}" name="Column9484" dataCellStyle="Normal 2"/>
    <tableColumn id="9500" xr3:uid="{C1D29EC4-93F5-467E-B5CA-C940C40E8A53}" name="Column9485" dataCellStyle="Normal 2"/>
    <tableColumn id="9501" xr3:uid="{643518E5-090E-4771-9C7E-AF2747A72EB8}" name="Column9486" dataCellStyle="Normal 2"/>
    <tableColumn id="9502" xr3:uid="{C3A08F44-DC37-43D8-8CFE-82BAD41DB46E}" name="Column9487" dataCellStyle="Normal 2"/>
    <tableColumn id="9503" xr3:uid="{522B5BBB-99C0-4D81-B030-F62690A4D622}" name="Column9488" dataCellStyle="Normal 2"/>
    <tableColumn id="9504" xr3:uid="{BB7F4C11-3498-4FEC-9912-C15B38568E26}" name="Column9489" dataCellStyle="Normal 2"/>
    <tableColumn id="9505" xr3:uid="{CD08B254-57FC-46F5-8CD0-33084720936F}" name="Column9490" dataCellStyle="Normal 2"/>
    <tableColumn id="9506" xr3:uid="{C26F7988-1375-4A27-A908-C37283333F93}" name="Column9491" dataCellStyle="Normal 2"/>
    <tableColumn id="9507" xr3:uid="{2D728190-2C96-4302-A07B-032F0C89EC6D}" name="Column9492" dataCellStyle="Normal 2"/>
    <tableColumn id="9508" xr3:uid="{A800CB1A-F915-4416-9DA2-3A4A5CC8C34B}" name="Column9493" dataCellStyle="Normal 2"/>
    <tableColumn id="9509" xr3:uid="{3A63AD44-7F1F-48DF-896E-569D63657B4C}" name="Column9494" dataCellStyle="Normal 2"/>
    <tableColumn id="9510" xr3:uid="{00A0B6B7-729B-401F-9983-F47F8CD2F981}" name="Column9495" dataCellStyle="Normal 2"/>
    <tableColumn id="9511" xr3:uid="{FC9243D0-19F0-4B77-98CC-B78B8F7B74FE}" name="Column9496" dataCellStyle="Normal 2"/>
    <tableColumn id="9512" xr3:uid="{91EEE6A0-8123-4E43-A17D-5089D4FC4862}" name="Column9497" dataCellStyle="Normal 2"/>
    <tableColumn id="9513" xr3:uid="{868BFDF6-9ECE-4C86-BF8E-DE71B15675D3}" name="Column9498" dataCellStyle="Normal 2"/>
    <tableColumn id="9514" xr3:uid="{D97AF4E8-4849-4055-B3BD-190249915527}" name="Column9499" dataCellStyle="Normal 2"/>
    <tableColumn id="9515" xr3:uid="{8565FD36-971D-4432-ADAB-1CEFB7BCC381}" name="Column9500" dataCellStyle="Normal 2"/>
    <tableColumn id="9516" xr3:uid="{2239516F-4DCB-4DFC-8623-1751A078A0F8}" name="Column9501" dataCellStyle="Normal 2"/>
    <tableColumn id="9517" xr3:uid="{E0CF95CC-ED43-49FB-B4F2-13A0FF20163A}" name="Column9502" dataCellStyle="Normal 2"/>
    <tableColumn id="9518" xr3:uid="{9AA4C43F-7035-48F7-9A31-37AE2448D45F}" name="Column9503" dataCellStyle="Normal 2"/>
    <tableColumn id="9519" xr3:uid="{549D89CF-9F3F-4D49-9D00-74866D8C231D}" name="Column9504" dataCellStyle="Normal 2"/>
    <tableColumn id="9520" xr3:uid="{F7F00BF3-33D2-4B36-88D5-9B947AA08A2D}" name="Column9505" dataCellStyle="Normal 2"/>
    <tableColumn id="9521" xr3:uid="{BB430BBF-44AB-42E7-BA29-964855010CD6}" name="Column9506" dataCellStyle="Normal 2"/>
    <tableColumn id="9522" xr3:uid="{F2F544F8-8D77-4D07-A328-8A8ECF55F636}" name="Column9507" dataCellStyle="Normal 2"/>
    <tableColumn id="9523" xr3:uid="{4786E598-C8AE-4548-868C-997E45F0AE18}" name="Column9508" dataCellStyle="Normal 2"/>
    <tableColumn id="9524" xr3:uid="{EA06F777-91D2-4269-8CF3-23EADB462BA2}" name="Column9509" dataCellStyle="Normal 2"/>
    <tableColumn id="9525" xr3:uid="{5C170D9A-0940-4E70-86C3-920E0E5F1E06}" name="Column9510" dataCellStyle="Normal 2"/>
    <tableColumn id="9526" xr3:uid="{FD2EF2F7-2C4C-4C00-B64C-355EA5B11480}" name="Column9511" dataCellStyle="Normal 2"/>
    <tableColumn id="9527" xr3:uid="{06087406-D8C4-4F6E-856E-0D8EB7F96166}" name="Column9512" dataCellStyle="Normal 2"/>
    <tableColumn id="9528" xr3:uid="{880399D9-EF2A-4A52-AB3D-4A46799EF67E}" name="Column9513" dataCellStyle="Normal 2"/>
    <tableColumn id="9529" xr3:uid="{D5486993-DF11-4E21-A7AC-29B4BC3F7996}" name="Column9514" dataCellStyle="Normal 2"/>
    <tableColumn id="9530" xr3:uid="{DF577161-2A1B-4C89-803D-42E3750508E4}" name="Column9515" dataCellStyle="Normal 2"/>
    <tableColumn id="9531" xr3:uid="{009AE2BB-56CC-4C43-87E8-19CEEB6CF43F}" name="Column9516" dataCellStyle="Normal 2"/>
    <tableColumn id="9532" xr3:uid="{ABA88A70-1DC7-450D-B3A5-6D9150C02897}" name="Column9517" dataCellStyle="Normal 2"/>
    <tableColumn id="9533" xr3:uid="{1FDD0327-8403-4928-B8BF-EB70B026080C}" name="Column9518" dataCellStyle="Normal 2"/>
    <tableColumn id="9534" xr3:uid="{BB1E1D95-2004-4A9F-8C23-A85D647BE4C0}" name="Column9519" dataCellStyle="Normal 2"/>
    <tableColumn id="9535" xr3:uid="{F4A8FA79-A5D4-4E2D-9ED4-1C9EBEA26FA6}" name="Column9520" dataCellStyle="Normal 2"/>
    <tableColumn id="9536" xr3:uid="{3F1E1CEB-CC56-4DAE-89C0-D9A010E17BA4}" name="Column9521" dataCellStyle="Normal 2"/>
    <tableColumn id="9537" xr3:uid="{290A91DE-5C37-43E9-8BAF-9B47E0972279}" name="Column9522" dataCellStyle="Normal 2"/>
    <tableColumn id="9538" xr3:uid="{C86542CF-8F24-4752-939D-2BFBFD1066D5}" name="Column9523" dataCellStyle="Normal 2"/>
    <tableColumn id="9539" xr3:uid="{1FD55B7B-D8C0-4456-A747-5633B5544C1D}" name="Column9524" dataCellStyle="Normal 2"/>
    <tableColumn id="9540" xr3:uid="{1DE06F8B-BB33-4554-B7A8-26A0C66465E9}" name="Column9525" dataCellStyle="Normal 2"/>
    <tableColumn id="9541" xr3:uid="{3C510A10-B19D-489B-8BEE-14F1B1160644}" name="Column9526" dataCellStyle="Normal 2"/>
    <tableColumn id="9542" xr3:uid="{68CB3762-B569-4434-A118-FE0256EDA5D2}" name="Column9527" dataCellStyle="Normal 2"/>
    <tableColumn id="9543" xr3:uid="{4919DD61-6286-4D10-AB73-27240BC473CE}" name="Column9528" dataCellStyle="Normal 2"/>
    <tableColumn id="9544" xr3:uid="{E669A552-6A61-4EEC-8195-AD6A13E65B02}" name="Column9529" dataCellStyle="Normal 2"/>
    <tableColumn id="9545" xr3:uid="{093EC5BE-0F86-498B-97CC-D6937EB04018}" name="Column9530" dataCellStyle="Normal 2"/>
    <tableColumn id="9546" xr3:uid="{E5D67F01-E675-4807-B2B6-8ED97F856874}" name="Column9531" dataCellStyle="Normal 2"/>
    <tableColumn id="9547" xr3:uid="{E574EC40-D24B-41BC-9E08-E393398D6708}" name="Column9532" dataCellStyle="Normal 2"/>
    <tableColumn id="9548" xr3:uid="{511A2A98-6936-47CC-85FC-7DA010D94B17}" name="Column9533" dataCellStyle="Normal 2"/>
    <tableColumn id="9549" xr3:uid="{3DF1D26A-189E-4B58-89CE-DF43D5578C0A}" name="Column9534" dataCellStyle="Normal 2"/>
    <tableColumn id="9550" xr3:uid="{B2511160-CE78-4BFB-A437-F601DB0FEFBA}" name="Column9535" dataCellStyle="Normal 2"/>
    <tableColumn id="9551" xr3:uid="{83A15429-8025-4BFF-90E4-D44B0804538C}" name="Column9536" dataCellStyle="Normal 2"/>
    <tableColumn id="9552" xr3:uid="{DC264FD9-A3EC-46AD-B1AE-9E995647A123}" name="Column9537" dataCellStyle="Normal 2"/>
    <tableColumn id="9553" xr3:uid="{E8CEEE97-8C21-459C-8E5E-02F52C53C441}" name="Column9538" dataCellStyle="Normal 2"/>
    <tableColumn id="9554" xr3:uid="{AEFB98B0-A6A6-414D-9A2A-47C8C4A447CA}" name="Column9539" dataCellStyle="Normal 2"/>
    <tableColumn id="9555" xr3:uid="{A3881D1B-0B2E-4CED-BFEE-67A3DD7B9458}" name="Column9540" dataCellStyle="Normal 2"/>
    <tableColumn id="9556" xr3:uid="{FD19E675-7B79-4894-A9E1-C44E74847AB4}" name="Column9541" dataCellStyle="Normal 2"/>
    <tableColumn id="9557" xr3:uid="{CA575B4B-72FC-46E2-BFD4-D8086A23DB59}" name="Column9542" dataCellStyle="Normal 2"/>
    <tableColumn id="9558" xr3:uid="{E1F48A58-F230-4544-BC66-4B18582C548C}" name="Column9543" dataCellStyle="Normal 2"/>
    <tableColumn id="9559" xr3:uid="{41C4BA8A-62D3-40F4-8D31-F6C71A9F87A5}" name="Column9544" dataCellStyle="Normal 2"/>
    <tableColumn id="9560" xr3:uid="{ED09D446-3D67-46BA-B29E-67BD327EC53E}" name="Column9545" dataCellStyle="Normal 2"/>
    <tableColumn id="9561" xr3:uid="{C3366507-27FB-4CA5-8954-6AE9A636BEBC}" name="Column9546" dataCellStyle="Normal 2"/>
    <tableColumn id="9562" xr3:uid="{2FB415CE-7109-4B15-B81D-9208C65B651E}" name="Column9547" dataCellStyle="Normal 2"/>
    <tableColumn id="9563" xr3:uid="{D4EC0BE6-4B9A-4481-8725-3F925939E39A}" name="Column9548" dataCellStyle="Normal 2"/>
    <tableColumn id="9564" xr3:uid="{99213E76-CC11-4BD8-99AD-BA92BFC95FA2}" name="Column9549" dataCellStyle="Normal 2"/>
    <tableColumn id="9565" xr3:uid="{23EFBDAC-CBA6-45BE-B3C9-F2925084E98B}" name="Column9550" dataCellStyle="Normal 2"/>
    <tableColumn id="9566" xr3:uid="{F6C9E399-2E27-4C11-BC0D-4F618AE68426}" name="Column9551" dataCellStyle="Normal 2"/>
    <tableColumn id="9567" xr3:uid="{43150473-C907-4FC6-90C8-02549C2C3932}" name="Column9552" dataCellStyle="Normal 2"/>
    <tableColumn id="9568" xr3:uid="{C762549D-5AEF-4B7E-821D-ED41CE489F63}" name="Column9553" dataCellStyle="Normal 2"/>
    <tableColumn id="9569" xr3:uid="{766BFE94-912A-4634-9802-BC86FD9A7B86}" name="Column9554" dataCellStyle="Normal 2"/>
    <tableColumn id="9570" xr3:uid="{4E704E6E-D8E7-40BD-99AE-4B5702F0E94E}" name="Column9555" dataCellStyle="Normal 2"/>
    <tableColumn id="9571" xr3:uid="{30DE7326-19F2-46B4-9494-B7B341ED1221}" name="Column9556" dataCellStyle="Normal 2"/>
    <tableColumn id="9572" xr3:uid="{972C9E24-029C-487C-80B9-52E6B3C46DF8}" name="Column9557" dataCellStyle="Normal 2"/>
    <tableColumn id="9573" xr3:uid="{4167E706-546E-4D54-A5FA-36ED075B54CC}" name="Column9558" dataCellStyle="Normal 2"/>
    <tableColumn id="9574" xr3:uid="{14A0F84C-CC78-4EE6-AC62-3076C19F29C0}" name="Column9559" dataCellStyle="Normal 2"/>
    <tableColumn id="9575" xr3:uid="{5E91D8D1-A4B5-4429-AC82-3002F1655040}" name="Column9560" dataCellStyle="Normal 2"/>
    <tableColumn id="9576" xr3:uid="{BE935044-AF75-4805-8369-7030020E8CD2}" name="Column9561" dataCellStyle="Normal 2"/>
    <tableColumn id="9577" xr3:uid="{5D90BA29-DF5D-4608-A6D3-EE7C206B4FCA}" name="Column9562" dataCellStyle="Normal 2"/>
    <tableColumn id="9578" xr3:uid="{1C56A0A6-D3FB-4311-B9ED-F8D58D7E68FD}" name="Column9563" dataCellStyle="Normal 2"/>
    <tableColumn id="9579" xr3:uid="{2F20BDCB-12E7-4066-BB5B-E7D4FE885480}" name="Column9564" dataCellStyle="Normal 2"/>
    <tableColumn id="9580" xr3:uid="{36B6A635-9FEB-4F72-8F36-34C90DDB19F6}" name="Column9565" dataCellStyle="Normal 2"/>
    <tableColumn id="9581" xr3:uid="{74C24681-AC5A-4B14-BFA5-808217A855CB}" name="Column9566" dataCellStyle="Normal 2"/>
    <tableColumn id="9582" xr3:uid="{DB97290D-BA10-4993-96C3-84B996D15E52}" name="Column9567" dataCellStyle="Normal 2"/>
    <tableColumn id="9583" xr3:uid="{34C1C1C2-ED09-4152-ACDE-E3A7C9B16630}" name="Column9568" dataCellStyle="Normal 2"/>
    <tableColumn id="9584" xr3:uid="{7C5B96AB-7886-447F-A49A-132C5936D813}" name="Column9569" dataCellStyle="Normal 2"/>
    <tableColumn id="9585" xr3:uid="{EE5EEC1F-9F98-4CD7-9D2C-5AD34A3623A4}" name="Column9570" dataCellStyle="Normal 2"/>
    <tableColumn id="9586" xr3:uid="{0DE223A4-4BBB-4022-A59A-D019EAD03ABC}" name="Column9571" dataCellStyle="Normal 2"/>
    <tableColumn id="9587" xr3:uid="{EADB7F93-9EA8-4443-9E49-E47235B94BDD}" name="Column9572" dataCellStyle="Normal 2"/>
    <tableColumn id="9588" xr3:uid="{670B0856-294D-4BEC-9023-6041B05109D1}" name="Column9573" dataCellStyle="Normal 2"/>
    <tableColumn id="9589" xr3:uid="{C3A98975-1048-4AAD-A336-95E5278918E5}" name="Column9574" dataCellStyle="Normal 2"/>
    <tableColumn id="9590" xr3:uid="{F0BED018-88F3-42CC-A663-C49337FB9A22}" name="Column9575" dataCellStyle="Normal 2"/>
    <tableColumn id="9591" xr3:uid="{9F3ACD0F-779A-4934-A799-900365397843}" name="Column9576" dataCellStyle="Normal 2"/>
    <tableColumn id="9592" xr3:uid="{08FDC0C6-8C9C-47FF-AB0A-6070B65252E2}" name="Column9577" dataCellStyle="Normal 2"/>
    <tableColumn id="9593" xr3:uid="{AD50E92B-93F0-44A5-89CE-126F9D06DC0C}" name="Column9578" dataCellStyle="Normal 2"/>
    <tableColumn id="9594" xr3:uid="{1CE95AE9-1157-45A0-B687-C8BC44511EF5}" name="Column9579" dataCellStyle="Normal 2"/>
    <tableColumn id="9595" xr3:uid="{BE16A434-DFE5-45ED-A7C9-E0CD0B02B6ED}" name="Column9580" dataCellStyle="Normal 2"/>
    <tableColumn id="9596" xr3:uid="{967D65BF-9346-4A31-A54A-A66B016EBCEE}" name="Column9581" dataCellStyle="Normal 2"/>
    <tableColumn id="9597" xr3:uid="{EBAD51B3-0DAC-4474-BC5A-67601D7DB379}" name="Column9582" dataCellStyle="Normal 2"/>
    <tableColumn id="9598" xr3:uid="{DF6C0458-89B3-4CDC-82AA-440AF6648F9B}" name="Column9583" dataCellStyle="Normal 2"/>
    <tableColumn id="9599" xr3:uid="{D13D2F32-5883-41A5-8B65-D31A07CFCEB1}" name="Column9584" dataCellStyle="Normal 2"/>
    <tableColumn id="9600" xr3:uid="{DAD51CA6-A718-4638-8EA2-B3B59FD27C5D}" name="Column9585" dataCellStyle="Normal 2"/>
    <tableColumn id="9601" xr3:uid="{D9AB3B6A-0F1D-4945-AC1E-D9EC21EBF156}" name="Column9586" dataCellStyle="Normal 2"/>
    <tableColumn id="9602" xr3:uid="{3954F60D-1166-4BEF-B86D-06D70D6C5FF5}" name="Column9587" dataCellStyle="Normal 2"/>
    <tableColumn id="9603" xr3:uid="{82463738-B02A-43B6-9C39-E00049284776}" name="Column9588" dataCellStyle="Normal 2"/>
    <tableColumn id="9604" xr3:uid="{C08A00BE-AF35-4CE7-B6B7-687C66A6ECBA}" name="Column9589" dataCellStyle="Normal 2"/>
    <tableColumn id="9605" xr3:uid="{A7C1D71C-E327-4496-8DC6-6464E3D02898}" name="Column9590" dataCellStyle="Normal 2"/>
    <tableColumn id="9606" xr3:uid="{BE2176CE-A023-4B93-B678-2E76783E0D5E}" name="Column9591" dataCellStyle="Normal 2"/>
    <tableColumn id="9607" xr3:uid="{E9CBCE56-C570-4AE4-866A-70A9CAC08215}" name="Column9592" dataCellStyle="Normal 2"/>
    <tableColumn id="9608" xr3:uid="{3188605E-571C-4484-A3E8-B82DD5F65C79}" name="Column9593" dataCellStyle="Normal 2"/>
    <tableColumn id="9609" xr3:uid="{95F3EE1E-67AA-46CA-B1D7-4918C87A0D71}" name="Column9594" dataCellStyle="Normal 2"/>
    <tableColumn id="9610" xr3:uid="{51F81489-88F1-4002-82A3-ED9CBC689DB9}" name="Column9595" dataCellStyle="Normal 2"/>
    <tableColumn id="9611" xr3:uid="{98626D87-0236-4D01-BDD6-D842B63154BE}" name="Column9596" dataCellStyle="Normal 2"/>
    <tableColumn id="9612" xr3:uid="{35B2834C-E0F2-4AD6-8188-B4E87055232A}" name="Column9597" dataCellStyle="Normal 2"/>
    <tableColumn id="9613" xr3:uid="{7EF9CCEA-6E8E-46B6-8A09-4F092FACC413}" name="Column9598" dataCellStyle="Normal 2"/>
    <tableColumn id="9614" xr3:uid="{773BE0D1-1DAD-4124-88E6-68702F0EAD1B}" name="Column9599" dataCellStyle="Normal 2"/>
    <tableColumn id="9615" xr3:uid="{91CCCEFF-03B7-466A-8128-73FE99916BD7}" name="Column9600" dataCellStyle="Normal 2"/>
    <tableColumn id="9616" xr3:uid="{AB8CECD9-517F-4551-91A3-178BE9BB782A}" name="Column9601" dataCellStyle="Normal 2"/>
    <tableColumn id="9617" xr3:uid="{6AA52789-DF94-442F-B4FC-334A4EC5C0F3}" name="Column9602" dataCellStyle="Normal 2"/>
    <tableColumn id="9618" xr3:uid="{B8B235EE-BC01-4626-B17B-30F38293EA74}" name="Column9603" dataCellStyle="Normal 2"/>
    <tableColumn id="9619" xr3:uid="{655694F0-E097-4D98-95CD-D36DB92C3719}" name="Column9604" dataCellStyle="Normal 2"/>
    <tableColumn id="9620" xr3:uid="{B46606DC-FD64-4E46-A939-DBE1B7A0CEA7}" name="Column9605" dataCellStyle="Normal 2"/>
    <tableColumn id="9621" xr3:uid="{5B98C86C-452F-4224-8190-6E631E3DE1E1}" name="Column9606" dataCellStyle="Normal 2"/>
    <tableColumn id="9622" xr3:uid="{9A963453-1AEC-4DD9-99C8-A4D37FFA673B}" name="Column9607" dataCellStyle="Normal 2"/>
    <tableColumn id="9623" xr3:uid="{D1B6CD29-F5F7-49E3-B29E-2833ECEBBDCB}" name="Column9608" dataCellStyle="Normal 2"/>
    <tableColumn id="9624" xr3:uid="{04EA57C7-216C-4326-B660-BE0D960106C7}" name="Column9609" dataCellStyle="Normal 2"/>
    <tableColumn id="9625" xr3:uid="{576FBD68-A2DA-4C04-B22B-55C3A9CEF84E}" name="Column9610" dataCellStyle="Normal 2"/>
    <tableColumn id="9626" xr3:uid="{0730DE83-4992-4F22-A8BD-9FF3F514F890}" name="Column9611" dataCellStyle="Normal 2"/>
    <tableColumn id="9627" xr3:uid="{2C5743BE-C946-4CB7-92AF-07BB9610CF06}" name="Column9612" dataCellStyle="Normal 2"/>
    <tableColumn id="9628" xr3:uid="{690ECD9D-F248-422E-960F-E968BE5F658F}" name="Column9613" dataCellStyle="Normal 2"/>
    <tableColumn id="9629" xr3:uid="{9CDE58C3-219E-41AB-8B93-EDE5E490829F}" name="Column9614" dataCellStyle="Normal 2"/>
    <tableColumn id="9630" xr3:uid="{C7B2D28F-6E1A-42E9-B739-3263374DEAFA}" name="Column9615" dataCellStyle="Normal 2"/>
    <tableColumn id="9631" xr3:uid="{647983F8-1261-4984-B681-952E47F74639}" name="Column9616" dataCellStyle="Normal 2"/>
    <tableColumn id="9632" xr3:uid="{C353D0EC-E94A-478B-AA76-1A253BA775A0}" name="Column9617" dataCellStyle="Normal 2"/>
    <tableColumn id="9633" xr3:uid="{F6769D5B-DC9D-4A7F-A6F1-355C997580B5}" name="Column9618" dataCellStyle="Normal 2"/>
    <tableColumn id="9634" xr3:uid="{DFC1A1BF-E2DC-4227-968B-75FDDD9C7410}" name="Column9619" dataCellStyle="Normal 2"/>
    <tableColumn id="9635" xr3:uid="{31C02754-C966-44BA-83E1-63BCD86B1374}" name="Column9620" dataCellStyle="Normal 2"/>
    <tableColumn id="9636" xr3:uid="{98F1D008-9402-4226-B05B-91FF1F8AF5B0}" name="Column9621" dataCellStyle="Normal 2"/>
    <tableColumn id="9637" xr3:uid="{9C75AD4F-82BB-4049-A8BA-41B3CDADB359}" name="Column9622" dataCellStyle="Normal 2"/>
    <tableColumn id="9638" xr3:uid="{3276B08E-4C92-4BD5-83B5-0568F4197D2B}" name="Column9623" dataCellStyle="Normal 2"/>
    <tableColumn id="9639" xr3:uid="{75490E16-4139-42F4-8FAE-71DA60E800CB}" name="Column9624" dataCellStyle="Normal 2"/>
    <tableColumn id="9640" xr3:uid="{109BC483-95A8-490B-80D6-F509C241AC6E}" name="Column9625" dataCellStyle="Normal 2"/>
    <tableColumn id="9641" xr3:uid="{CA49755A-C947-4704-BD94-79FF3A1278EC}" name="Column9626" dataCellStyle="Normal 2"/>
    <tableColumn id="9642" xr3:uid="{03B75588-B3C6-4653-A134-3A888487CCE2}" name="Column9627" dataCellStyle="Normal 2"/>
    <tableColumn id="9643" xr3:uid="{A41448E9-AEA5-4213-8E98-0E38F8EF0973}" name="Column9628" dataCellStyle="Normal 2"/>
    <tableColumn id="9644" xr3:uid="{E6BBBFDD-E0C1-447E-96F3-37E0F5AE71BB}" name="Column9629" dataCellStyle="Normal 2"/>
    <tableColumn id="9645" xr3:uid="{1A582119-5944-4C55-B606-A3A83B9F5FCC}" name="Column9630" dataCellStyle="Normal 2"/>
    <tableColumn id="9646" xr3:uid="{DD8E2C60-4514-470D-8B3A-3DC6BF14BB6E}" name="Column9631" dataCellStyle="Normal 2"/>
    <tableColumn id="9647" xr3:uid="{87D539A9-B8F6-464E-A46B-1C2B87412EE8}" name="Column9632" dataCellStyle="Normal 2"/>
    <tableColumn id="9648" xr3:uid="{D4166A9C-2F8B-427E-B52F-03EC60821100}" name="Column9633" dataCellStyle="Normal 2"/>
    <tableColumn id="9649" xr3:uid="{D75E1DD2-F022-418E-A212-0267A489DCE0}" name="Column9634" dataCellStyle="Normal 2"/>
    <tableColumn id="9650" xr3:uid="{11833F45-3632-4145-8F0B-E2026E390D7B}" name="Column9635" dataCellStyle="Normal 2"/>
    <tableColumn id="9651" xr3:uid="{AB35AFFA-A367-4F61-8241-CDC4E94DFCB0}" name="Column9636" dataCellStyle="Normal 2"/>
    <tableColumn id="9652" xr3:uid="{7040EDAB-6679-4CB6-B353-ED44C488274A}" name="Column9637" dataCellStyle="Normal 2"/>
    <tableColumn id="9653" xr3:uid="{E01FBFFA-0060-4682-9F89-5A24A55ABAC9}" name="Column9638" dataCellStyle="Normal 2"/>
    <tableColumn id="9654" xr3:uid="{A72FA7B0-6785-4EB4-9BC8-B516199182E0}" name="Column9639" dataCellStyle="Normal 2"/>
    <tableColumn id="9655" xr3:uid="{85FA0694-EBBC-42E4-B617-0D0978A8BD1D}" name="Column9640" dataCellStyle="Normal 2"/>
    <tableColumn id="9656" xr3:uid="{60A50233-0678-43C1-92C6-1477C9920D7A}" name="Column9641" dataCellStyle="Normal 2"/>
    <tableColumn id="9657" xr3:uid="{FCF73D96-6514-4BFE-B554-5BBFE5E2EEA2}" name="Column9642" dataCellStyle="Normal 2"/>
    <tableColumn id="9658" xr3:uid="{AFA95611-E2A5-4F1C-8493-0EDB2D66BA4A}" name="Column9643" dataCellStyle="Normal 2"/>
    <tableColumn id="9659" xr3:uid="{B81995EE-F37C-4E2B-9323-649B43EA6165}" name="Column9644" dataCellStyle="Normal 2"/>
    <tableColumn id="9660" xr3:uid="{F82FD271-588D-43E0-B261-8022D6316213}" name="Column9645" dataCellStyle="Normal 2"/>
    <tableColumn id="9661" xr3:uid="{19EDAFC2-E0FF-4BE1-AEF1-C045F9B570E7}" name="Column9646" dataCellStyle="Normal 2"/>
    <tableColumn id="9662" xr3:uid="{8D7972CC-C05C-481C-A3C5-0AD370D166B5}" name="Column9647" dataCellStyle="Normal 2"/>
    <tableColumn id="9663" xr3:uid="{F0A16260-147B-4B60-9BF0-817A71C748F7}" name="Column9648" dataCellStyle="Normal 2"/>
    <tableColumn id="9664" xr3:uid="{70E1458E-CBA6-47C6-9633-FAD2B9685752}" name="Column9649" dataCellStyle="Normal 2"/>
    <tableColumn id="9665" xr3:uid="{2BD71D0B-5C9F-403F-B6E2-123B54ADE168}" name="Column9650" dataCellStyle="Normal 2"/>
    <tableColumn id="9666" xr3:uid="{A7B7E038-05BE-4A41-A44E-CA72636A7BAD}" name="Column9651" dataCellStyle="Normal 2"/>
    <tableColumn id="9667" xr3:uid="{EB4023B8-23C6-4A95-A83F-C90D5441D41E}" name="Column9652" dataCellStyle="Normal 2"/>
    <tableColumn id="9668" xr3:uid="{C1ED3B08-2C79-4379-82A6-9BB193DEFEF8}" name="Column9653" dataCellStyle="Normal 2"/>
    <tableColumn id="9669" xr3:uid="{2873B9ED-C716-403D-A6AD-4156074B1F57}" name="Column9654" dataCellStyle="Normal 2"/>
    <tableColumn id="9670" xr3:uid="{37686135-C360-4B45-B79B-81B34E05513C}" name="Column9655" dataCellStyle="Normal 2"/>
    <tableColumn id="9671" xr3:uid="{BA496E7F-082F-4B48-B513-F6D7DBC57289}" name="Column9656" dataCellStyle="Normal 2"/>
    <tableColumn id="9672" xr3:uid="{AFD61A87-43E8-49E8-960B-8288B1EC5CB2}" name="Column9657" dataCellStyle="Normal 2"/>
    <tableColumn id="9673" xr3:uid="{F87A6CC1-0E57-48E3-9E1C-4EFE2395D5CB}" name="Column9658" dataCellStyle="Normal 2"/>
    <tableColumn id="9674" xr3:uid="{F0D4491A-DB83-426E-8842-9DD1A9022EE1}" name="Column9659" dataCellStyle="Normal 2"/>
    <tableColumn id="9675" xr3:uid="{339CE7C4-BB69-41B9-B301-63D08BDB8541}" name="Column9660" dataCellStyle="Normal 2"/>
    <tableColumn id="9676" xr3:uid="{83A7DBE2-6168-42DC-B3BF-3A6EC965E768}" name="Column9661" dataCellStyle="Normal 2"/>
    <tableColumn id="9677" xr3:uid="{E0C9428B-5384-468D-AD83-C2192D548C67}" name="Column9662" dataCellStyle="Normal 2"/>
    <tableColumn id="9678" xr3:uid="{4BC9E5E2-EC79-48C9-845E-03697258D843}" name="Column9663" dataCellStyle="Normal 2"/>
    <tableColumn id="9679" xr3:uid="{92E7C2BB-4FFE-41C4-A9A4-3AA99C1CD418}" name="Column9664" dataCellStyle="Normal 2"/>
    <tableColumn id="9680" xr3:uid="{1B222FC2-C2C9-43F8-A7BC-1E6C73FA1B08}" name="Column9665" dataCellStyle="Normal 2"/>
    <tableColumn id="9681" xr3:uid="{DD073910-6D33-44B7-AF01-E927561DABF5}" name="Column9666" dataCellStyle="Normal 2"/>
    <tableColumn id="9682" xr3:uid="{0C0DA9F9-127F-4D4E-9A42-77A27DA14CED}" name="Column9667" dataCellStyle="Normal 2"/>
    <tableColumn id="9683" xr3:uid="{8682DC99-249F-42EF-8CD0-3410960ECAA0}" name="Column9668" dataCellStyle="Normal 2"/>
    <tableColumn id="9684" xr3:uid="{EB1CB29A-C421-4CBA-A89C-6F2016A0A7F4}" name="Column9669" dataCellStyle="Normal 2"/>
    <tableColumn id="9685" xr3:uid="{4111B2E0-7001-4ABF-BC85-83D3E7C33FDB}" name="Column9670" dataCellStyle="Normal 2"/>
    <tableColumn id="9686" xr3:uid="{7B6C6AF3-9F83-4CD0-8D12-E93464F19F62}" name="Column9671" dataCellStyle="Normal 2"/>
    <tableColumn id="9687" xr3:uid="{8B53FC11-989C-4B4C-8C5B-F61EABCFC0A7}" name="Column9672" dataCellStyle="Normal 2"/>
    <tableColumn id="9688" xr3:uid="{DF37FAE7-102D-462E-A104-01AB79DB47F2}" name="Column9673" dataCellStyle="Normal 2"/>
    <tableColumn id="9689" xr3:uid="{C6F87C2F-0966-43E7-9915-3A2144765345}" name="Column9674" dataCellStyle="Normal 2"/>
    <tableColumn id="9690" xr3:uid="{F3F4EAF7-582A-4D74-999F-1CD913BB839C}" name="Column9675" dataCellStyle="Normal 2"/>
    <tableColumn id="9691" xr3:uid="{DEE787E8-43BF-44DB-89AC-AD30D9DA31D8}" name="Column9676" dataCellStyle="Normal 2"/>
    <tableColumn id="9692" xr3:uid="{A24CAC44-EC75-4167-8AF9-A60A5BA6D44C}" name="Column9677" dataCellStyle="Normal 2"/>
    <tableColumn id="9693" xr3:uid="{3E177490-BF32-4F24-948A-0AB5BAA6FB01}" name="Column9678" dataCellStyle="Normal 2"/>
    <tableColumn id="9694" xr3:uid="{3DEB6217-8703-488D-92D8-998E4366569D}" name="Column9679" dataCellStyle="Normal 2"/>
    <tableColumn id="9695" xr3:uid="{B18B5B3E-7B83-4ABC-B00F-B4D2C7CE2E2F}" name="Column9680" dataCellStyle="Normal 2"/>
    <tableColumn id="9696" xr3:uid="{CE26F8C1-4A1D-4E36-921C-F8D2E8D8B7A9}" name="Column9681" dataCellStyle="Normal 2"/>
    <tableColumn id="9697" xr3:uid="{000D968D-94F1-4675-9CE7-8E0FF3B50BA5}" name="Column9682" dataCellStyle="Normal 2"/>
    <tableColumn id="9698" xr3:uid="{05A8E789-1C51-4356-8C02-48B38E4974CE}" name="Column9683" dataCellStyle="Normal 2"/>
    <tableColumn id="9699" xr3:uid="{8D68ADCD-4F32-4F40-8B67-D92512ED8D43}" name="Column9684" dataCellStyle="Normal 2"/>
    <tableColumn id="9700" xr3:uid="{0C57141F-1660-4BAA-B32C-BD3B02DDF855}" name="Column9685" dataCellStyle="Normal 2"/>
    <tableColumn id="9701" xr3:uid="{99F1A9EF-CE03-4DD2-BE76-AA3C68D96645}" name="Column9686" dataCellStyle="Normal 2"/>
    <tableColumn id="9702" xr3:uid="{304D6541-8A21-4FCD-92BD-C7900C63A0CF}" name="Column9687" dataCellStyle="Normal 2"/>
    <tableColumn id="9703" xr3:uid="{E3279877-A18F-4673-AA96-3A9A70972215}" name="Column9688" dataCellStyle="Normal 2"/>
    <tableColumn id="9704" xr3:uid="{D2DF19E9-26CD-42EA-BAE1-1B584DB87E39}" name="Column9689" dataCellStyle="Normal 2"/>
    <tableColumn id="9705" xr3:uid="{20D862B0-B191-4F6A-8258-CA1858214614}" name="Column9690" dataCellStyle="Normal 2"/>
    <tableColumn id="9706" xr3:uid="{2C3865C0-55B6-4623-B35D-50526D55CCFB}" name="Column9691" dataCellStyle="Normal 2"/>
    <tableColumn id="9707" xr3:uid="{E555B695-2D48-4BB8-884C-49C309BA64FC}" name="Column9692" dataCellStyle="Normal 2"/>
    <tableColumn id="9708" xr3:uid="{C195411A-5A70-4CCC-AF5D-393DE5CC88F8}" name="Column9693" dataCellStyle="Normal 2"/>
    <tableColumn id="9709" xr3:uid="{81FC8FC7-E874-4791-B636-87B1AE4F3173}" name="Column9694" dataCellStyle="Normal 2"/>
    <tableColumn id="9710" xr3:uid="{3AB22249-0BFE-4E4C-85E2-6AD31BA936A6}" name="Column9695" dataCellStyle="Normal 2"/>
    <tableColumn id="9711" xr3:uid="{B8222421-B70D-40B8-B089-1868E9F958B4}" name="Column9696" dataCellStyle="Normal 2"/>
    <tableColumn id="9712" xr3:uid="{D7E95C5B-9E0B-44A5-83CC-24A6E34B0C29}" name="Column9697" dataCellStyle="Normal 2"/>
    <tableColumn id="9713" xr3:uid="{9260EF5F-DEA6-4E11-9202-547166FD3F11}" name="Column9698" dataCellStyle="Normal 2"/>
    <tableColumn id="9714" xr3:uid="{61794D18-051C-44A6-8CA7-9D9DCD57C15D}" name="Column9699" dataCellStyle="Normal 2"/>
    <tableColumn id="9715" xr3:uid="{5C7119AD-DA85-4481-B1E0-A5AA2BE3732E}" name="Column9700" dataCellStyle="Normal 2"/>
    <tableColumn id="9716" xr3:uid="{975D6B7E-2A8D-4D4F-B8B9-ED54A4A61820}" name="Column9701" dataCellStyle="Normal 2"/>
    <tableColumn id="9717" xr3:uid="{819446DA-F1EE-4F65-A805-D63EBAE24A8C}" name="Column9702" dataCellStyle="Normal 2"/>
    <tableColumn id="9718" xr3:uid="{D3541BC3-BEBC-4E00-AC9E-B494828B0498}" name="Column9703" dataCellStyle="Normal 2"/>
    <tableColumn id="9719" xr3:uid="{1EA21B70-266F-40CF-A246-245A09772892}" name="Column9704" dataCellStyle="Normal 2"/>
    <tableColumn id="9720" xr3:uid="{E0285C32-A7F3-42D0-BDB4-55EA2C93E772}" name="Column9705" dataCellStyle="Normal 2"/>
    <tableColumn id="9721" xr3:uid="{84BDFA25-19D2-4E34-8D6B-5F4ECC3B57C7}" name="Column9706" dataCellStyle="Normal 2"/>
    <tableColumn id="9722" xr3:uid="{B2AD4331-7435-4B62-A89D-1BDDC782C709}" name="Column9707" dataCellStyle="Normal 2"/>
    <tableColumn id="9723" xr3:uid="{ABB1852F-1E81-4F78-9E75-340F4ED046B2}" name="Column9708" dataCellStyle="Normal 2"/>
    <tableColumn id="9724" xr3:uid="{678F399F-F2AA-4E33-A103-77606BDCEF00}" name="Column9709" dataCellStyle="Normal 2"/>
    <tableColumn id="9725" xr3:uid="{2C13BA86-129F-4326-A48F-3409B0F778BC}" name="Column9710" dataCellStyle="Normal 2"/>
    <tableColumn id="9726" xr3:uid="{24AA102C-BF09-4E2C-9AC8-5DEB838F03E9}" name="Column9711" dataCellStyle="Normal 2"/>
    <tableColumn id="9727" xr3:uid="{A65EBDF9-37A4-42C0-9D65-EF426B47C9DB}" name="Column9712" dataCellStyle="Normal 2"/>
    <tableColumn id="9728" xr3:uid="{7DC84A5A-54BE-4024-9ED4-B87C6A8C9DAF}" name="Column9713" dataCellStyle="Normal 2"/>
    <tableColumn id="9729" xr3:uid="{72551671-B9F3-416F-8ABF-B808D64B380F}" name="Column9714" dataCellStyle="Normal 2"/>
    <tableColumn id="9730" xr3:uid="{9A73E8CD-7CC4-4A9E-9858-956BB64AF0B5}" name="Column9715" dataCellStyle="Normal 2"/>
    <tableColumn id="9731" xr3:uid="{870967A9-5940-4830-86BC-1C3C54475D21}" name="Column9716" dataCellStyle="Normal 2"/>
    <tableColumn id="9732" xr3:uid="{6B6F8BB8-4824-4409-B71B-48A6EBC3DF58}" name="Column9717" dataCellStyle="Normal 2"/>
    <tableColumn id="9733" xr3:uid="{4E8B4755-F671-4223-A3A6-B45C966FEC07}" name="Column9718" dataCellStyle="Normal 2"/>
    <tableColumn id="9734" xr3:uid="{D99CBE33-F860-4092-A26B-712A4BFDFC7C}" name="Column9719" dataCellStyle="Normal 2"/>
    <tableColumn id="9735" xr3:uid="{3DC9A42F-A5C8-4FBC-BA3E-E6DC947BD014}" name="Column9720" dataCellStyle="Normal 2"/>
    <tableColumn id="9736" xr3:uid="{BD77BABC-C301-44A0-8B1E-65500AFE31F4}" name="Column9721" dataCellStyle="Normal 2"/>
    <tableColumn id="9737" xr3:uid="{03F6BDB7-434C-4C74-987D-6D8142D617DC}" name="Column9722" dataCellStyle="Normal 2"/>
    <tableColumn id="9738" xr3:uid="{858D5B46-416D-4D83-9563-AF3DE0CA88C5}" name="Column9723" dataCellStyle="Normal 2"/>
    <tableColumn id="9739" xr3:uid="{C3DDF898-C9B5-4B0B-A17D-8157C3D668DE}" name="Column9724" dataCellStyle="Normal 2"/>
    <tableColumn id="9740" xr3:uid="{C0B3695C-BF64-4214-8C85-D079708E49F5}" name="Column9725" dataCellStyle="Normal 2"/>
    <tableColumn id="9741" xr3:uid="{AFFBEA04-D4C7-417D-9E93-E4D79C6E47D4}" name="Column9726" dataCellStyle="Normal 2"/>
    <tableColumn id="9742" xr3:uid="{571BDA02-37B2-44DE-9D13-62BDCC941491}" name="Column9727" dataCellStyle="Normal 2"/>
    <tableColumn id="9743" xr3:uid="{8153F5E0-2B04-4391-A945-47377BC0C1FE}" name="Column9728" dataCellStyle="Normal 2"/>
    <tableColumn id="9744" xr3:uid="{C260673B-28F9-40C8-8876-61A0DA42D254}" name="Column9729" dataCellStyle="Normal 2"/>
    <tableColumn id="9745" xr3:uid="{9B387809-379E-4516-961D-4C3A0808BEF4}" name="Column9730" dataCellStyle="Normal 2"/>
    <tableColumn id="9746" xr3:uid="{C39B1B9E-C770-4F1F-A513-37CE12B1BF9D}" name="Column9731" dataCellStyle="Normal 2"/>
    <tableColumn id="9747" xr3:uid="{E73824A9-CD08-4AD9-A380-1DCA98AA3D87}" name="Column9732" dataCellStyle="Normal 2"/>
    <tableColumn id="9748" xr3:uid="{E65FEB48-5E4B-4E44-BFC3-4E02A493CA9C}" name="Column9733" dataCellStyle="Normal 2"/>
    <tableColumn id="9749" xr3:uid="{5194F083-D49C-49D1-B8CC-F072342022FE}" name="Column9734" dataCellStyle="Normal 2"/>
    <tableColumn id="9750" xr3:uid="{C79C52EB-4BEF-452C-A3A7-209D995F336E}" name="Column9735" dataCellStyle="Normal 2"/>
    <tableColumn id="9751" xr3:uid="{7C0F5CB2-90D0-4A62-914C-323EC80609E0}" name="Column9736" dataCellStyle="Normal 2"/>
    <tableColumn id="9752" xr3:uid="{1D2D3570-0ED5-47D1-9720-0E314F60EDFC}" name="Column9737" dataCellStyle="Normal 2"/>
    <tableColumn id="9753" xr3:uid="{253DB2DE-E859-490E-B2FE-CC1C7B5E5C1D}" name="Column9738" dataCellStyle="Normal 2"/>
    <tableColumn id="9754" xr3:uid="{9A121912-6728-4348-A902-8F722264FE5F}" name="Column9739" dataCellStyle="Normal 2"/>
    <tableColumn id="9755" xr3:uid="{2CEB99AA-1B17-457A-9016-C4725128913E}" name="Column9740" dataCellStyle="Normal 2"/>
    <tableColumn id="9756" xr3:uid="{990A6DFC-3507-4C1D-ACA1-95477BB13092}" name="Column9741" dataCellStyle="Normal 2"/>
    <tableColumn id="9757" xr3:uid="{C2F28099-C808-49F8-8CEB-3FD32558583D}" name="Column9742" dataCellStyle="Normal 2"/>
    <tableColumn id="9758" xr3:uid="{9BF0338B-8BAB-4FD6-A781-A11E1F8BE08F}" name="Column9743" dataCellStyle="Normal 2"/>
    <tableColumn id="9759" xr3:uid="{A43D4D90-55D8-4F3B-81B7-40181340A843}" name="Column9744" dataCellStyle="Normal 2"/>
    <tableColumn id="9760" xr3:uid="{4ECC7905-AA4E-43C9-BDFB-7C511C27015C}" name="Column9745" dataCellStyle="Normal 2"/>
    <tableColumn id="9761" xr3:uid="{9757D640-41C4-444C-9B92-C9E326D5C91E}" name="Column9746" dataCellStyle="Normal 2"/>
    <tableColumn id="9762" xr3:uid="{B84EA287-AEF3-4A0A-807F-E96F2A1678F5}" name="Column9747" dataCellStyle="Normal 2"/>
    <tableColumn id="9763" xr3:uid="{C77A0237-6899-4A3E-A59B-BF9560BC1C4B}" name="Column9748" dataCellStyle="Normal 2"/>
    <tableColumn id="9764" xr3:uid="{A4F84D0A-F831-4369-B75E-90BD3FB5B794}" name="Column9749" dataCellStyle="Normal 2"/>
    <tableColumn id="9765" xr3:uid="{98F24477-C4B4-4D69-8BE7-6FDE82055E12}" name="Column9750" dataCellStyle="Normal 2"/>
    <tableColumn id="9766" xr3:uid="{3E014CC4-381F-4114-A133-950E9395789D}" name="Column9751" dataCellStyle="Normal 2"/>
    <tableColumn id="9767" xr3:uid="{7AF47C2A-C1B1-44D3-BF93-18C90696BDBC}" name="Column9752" dataCellStyle="Normal 2"/>
    <tableColumn id="9768" xr3:uid="{C1CFB6F7-4B5C-4D79-95C5-6E42C3F73A02}" name="Column9753" dataCellStyle="Normal 2"/>
    <tableColumn id="9769" xr3:uid="{A79E4BDC-A714-4B75-95D4-F6F3B1A2811B}" name="Column9754" dataCellStyle="Normal 2"/>
    <tableColumn id="9770" xr3:uid="{E716DC4F-3D2D-4696-8C53-429C5CE8DF1E}" name="Column9755" dataCellStyle="Normal 2"/>
    <tableColumn id="9771" xr3:uid="{7B26835B-92B0-4893-B72D-6FB5C4742C7E}" name="Column9756" dataCellStyle="Normal 2"/>
    <tableColumn id="9772" xr3:uid="{78D301CE-AACA-48D5-8344-0BB3641F77A7}" name="Column9757" dataCellStyle="Normal 2"/>
    <tableColumn id="9773" xr3:uid="{A52B68A4-EF85-479C-9936-B419A732D8EB}" name="Column9758" dataCellStyle="Normal 2"/>
    <tableColumn id="9774" xr3:uid="{C65420B9-272C-4D7C-A106-6AD197B78669}" name="Column9759" dataCellStyle="Normal 2"/>
    <tableColumn id="9775" xr3:uid="{5254E2AA-B5FB-462D-AC9C-3B84EDAF0CED}" name="Column9760" dataCellStyle="Normal 2"/>
    <tableColumn id="9776" xr3:uid="{A1352473-029A-406E-900E-AD99DD90B27C}" name="Column9761" dataCellStyle="Normal 2"/>
    <tableColumn id="9777" xr3:uid="{C1298781-50BA-4069-AA93-4625AFAE5419}" name="Column9762" dataCellStyle="Normal 2"/>
    <tableColumn id="9778" xr3:uid="{CE706455-A504-4A0C-B4B0-EE9CB05FC707}" name="Column9763" dataCellStyle="Normal 2"/>
    <tableColumn id="9779" xr3:uid="{26ECC1FD-AF14-4D2A-9E57-BC906DEFBD99}" name="Column9764" dataCellStyle="Normal 2"/>
    <tableColumn id="9780" xr3:uid="{B68F5F35-702E-498D-9120-99A882C6DF62}" name="Column9765" dataCellStyle="Normal 2"/>
    <tableColumn id="9781" xr3:uid="{88050F33-E3C6-4D95-A9E7-FCCA81220C45}" name="Column9766" dataCellStyle="Normal 2"/>
    <tableColumn id="9782" xr3:uid="{45F94F21-129D-4051-B8A3-931148304519}" name="Column9767" dataCellStyle="Normal 2"/>
    <tableColumn id="9783" xr3:uid="{60E3689A-0570-4F1F-900C-DD413D4312B3}" name="Column9768" dataCellStyle="Normal 2"/>
    <tableColumn id="9784" xr3:uid="{2160B4BF-C377-4C66-BC40-56DFCCA018E8}" name="Column9769" dataCellStyle="Normal 2"/>
    <tableColumn id="9785" xr3:uid="{6C0BD1EA-5DA4-4C9D-A564-ED0E67E1D7A4}" name="Column9770" dataCellStyle="Normal 2"/>
    <tableColumn id="9786" xr3:uid="{4971868F-45D5-4F42-B362-75AC7FB0FBAC}" name="Column9771" dataCellStyle="Normal 2"/>
    <tableColumn id="9787" xr3:uid="{0FC40320-52E8-496B-9EBB-023ACED29094}" name="Column9772" dataCellStyle="Normal 2"/>
    <tableColumn id="9788" xr3:uid="{4CAC053D-7EA9-4474-8773-EC1C83FE9072}" name="Column9773" dataCellStyle="Normal 2"/>
    <tableColumn id="9789" xr3:uid="{28754643-4502-4EB5-B949-41D8A2F02C11}" name="Column9774" dataCellStyle="Normal 2"/>
    <tableColumn id="9790" xr3:uid="{A9499858-2D6E-407D-AC28-6091C21AD227}" name="Column9775" dataCellStyle="Normal 2"/>
    <tableColumn id="9791" xr3:uid="{1E11E670-8AD1-4645-9ACE-AF9B2C25EABE}" name="Column9776" dataCellStyle="Normal 2"/>
    <tableColumn id="9792" xr3:uid="{72853EF3-1008-472A-9653-CB7423E3C8BA}" name="Column9777" dataCellStyle="Normal 2"/>
    <tableColumn id="9793" xr3:uid="{EC623663-44FA-4CB6-AC4E-316755205B8C}" name="Column9778" dataCellStyle="Normal 2"/>
    <tableColumn id="9794" xr3:uid="{25529139-86B3-44F5-A092-F922297AC824}" name="Column9779" dataCellStyle="Normal 2"/>
    <tableColumn id="9795" xr3:uid="{22744439-8DFF-4899-87CF-961FE7427445}" name="Column9780" dataCellStyle="Normal 2"/>
    <tableColumn id="9796" xr3:uid="{FDCA3316-BECF-4DB6-AD7D-A564D341D698}" name="Column9781" dataCellStyle="Normal 2"/>
    <tableColumn id="9797" xr3:uid="{39A39135-DAD6-4A55-9665-5C0CEB7E31FD}" name="Column9782" dataCellStyle="Normal 2"/>
    <tableColumn id="9798" xr3:uid="{1244F567-6B4D-4CB1-97A7-11F3F08EFEEE}" name="Column9783" dataCellStyle="Normal 2"/>
    <tableColumn id="9799" xr3:uid="{D28C2C25-7C47-4196-8DA4-4A60AF710C30}" name="Column9784" dataCellStyle="Normal 2"/>
    <tableColumn id="9800" xr3:uid="{EE6362AE-C92F-48B0-AD54-7B23F8FB4AB4}" name="Column9785" dataCellStyle="Normal 2"/>
    <tableColumn id="9801" xr3:uid="{2B11870E-2C8C-4591-B60A-36920D78985B}" name="Column9786" dataCellStyle="Normal 2"/>
    <tableColumn id="9802" xr3:uid="{EBA5B25F-5B5D-4A53-B969-A7909C47CEC7}" name="Column9787" dataCellStyle="Normal 2"/>
    <tableColumn id="9803" xr3:uid="{E379C0C8-9D3E-4D69-82A7-053FBD0A1E11}" name="Column9788" dataCellStyle="Normal 2"/>
    <tableColumn id="9804" xr3:uid="{9E6DBA20-3D08-4B4F-B5D9-FD244C65663F}" name="Column9789" dataCellStyle="Normal 2"/>
    <tableColumn id="9805" xr3:uid="{D59C1573-A173-426F-B02F-1DDC351D04A3}" name="Column9790" dataCellStyle="Normal 2"/>
    <tableColumn id="9806" xr3:uid="{D1D365B0-23CB-494C-9764-236000858902}" name="Column9791" dataCellStyle="Normal 2"/>
    <tableColumn id="9807" xr3:uid="{A2D903F0-C68D-4879-877C-A8574D14017A}" name="Column9792" dataCellStyle="Normal 2"/>
    <tableColumn id="9808" xr3:uid="{0E8C0157-B298-4A1A-B4BC-3ECBFF870573}" name="Column9793" dataCellStyle="Normal 2"/>
    <tableColumn id="9809" xr3:uid="{71C3C3AE-05F4-4083-A895-76EC7BC75EE0}" name="Column9794" dataCellStyle="Normal 2"/>
    <tableColumn id="9810" xr3:uid="{BD5DBB66-8C2E-412D-96BA-4AF268CE6C42}" name="Column9795" dataCellStyle="Normal 2"/>
    <tableColumn id="9811" xr3:uid="{4650E840-3F39-474C-B30F-7E977CD5D3AE}" name="Column9796" dataCellStyle="Normal 2"/>
    <tableColumn id="9812" xr3:uid="{1A13EE0F-4D1B-4F89-AE95-BD6717247AEE}" name="Column9797" dataCellStyle="Normal 2"/>
    <tableColumn id="9813" xr3:uid="{BF2BF070-74C3-4F8B-9700-F4E061A96507}" name="Column9798" dataCellStyle="Normal 2"/>
    <tableColumn id="9814" xr3:uid="{6940D241-CEB3-49DF-9DC7-1E6C15672D63}" name="Column9799" dataCellStyle="Normal 2"/>
    <tableColumn id="9815" xr3:uid="{64463754-2B4C-4CF2-932F-CEEE58B5C71B}" name="Column9800" dataCellStyle="Normal 2"/>
    <tableColumn id="9816" xr3:uid="{50374C85-A37D-4EF5-91C2-F72AC48CB065}" name="Column9801" dataCellStyle="Normal 2"/>
    <tableColumn id="9817" xr3:uid="{62AFDF00-BE80-4183-8D59-231FD13AE40F}" name="Column9802" dataCellStyle="Normal 2"/>
    <tableColumn id="9818" xr3:uid="{D4C726EF-544A-494B-A5CC-C5A4C3F26BEA}" name="Column9803" dataCellStyle="Normal 2"/>
    <tableColumn id="9819" xr3:uid="{F8D7DB70-B239-49F4-AC08-C0728D309FE2}" name="Column9804" dataCellStyle="Normal 2"/>
    <tableColumn id="9820" xr3:uid="{9E344144-B3E1-4B8E-B968-37B363E4341B}" name="Column9805" dataCellStyle="Normal 2"/>
    <tableColumn id="9821" xr3:uid="{6A8DEFB1-9272-4604-BF7D-8B743EE334B9}" name="Column9806" dataCellStyle="Normal 2"/>
    <tableColumn id="9822" xr3:uid="{0E929F77-AB86-4A54-BC8B-6445499D57B3}" name="Column9807" dataCellStyle="Normal 2"/>
    <tableColumn id="9823" xr3:uid="{A6DB87B7-24C9-45AC-9374-178127FAC134}" name="Column9808" dataCellStyle="Normal 2"/>
    <tableColumn id="9824" xr3:uid="{03ADB4AE-64E4-4B06-84AB-48BD9527FE80}" name="Column9809" dataCellStyle="Normal 2"/>
    <tableColumn id="9825" xr3:uid="{F64D33B8-1F07-4C7A-B2DC-F1BE03160909}" name="Column9810" dataCellStyle="Normal 2"/>
    <tableColumn id="9826" xr3:uid="{077A2F73-420C-4A8C-803C-30D75EE52CC6}" name="Column9811" dataCellStyle="Normal 2"/>
    <tableColumn id="9827" xr3:uid="{E64B4436-D1DF-4390-8A09-96CA2608D586}" name="Column9812" dataCellStyle="Normal 2"/>
    <tableColumn id="9828" xr3:uid="{6F4AA1C6-B53F-4998-ABF8-BCF7E1B4D95B}" name="Column9813" dataCellStyle="Normal 2"/>
    <tableColumn id="9829" xr3:uid="{DE45CA49-3EEA-47BA-BD51-B0E103073805}" name="Column9814" dataCellStyle="Normal 2"/>
    <tableColumn id="9830" xr3:uid="{F38A1FBF-50A2-4B57-87BF-80788F2A4F2E}" name="Column9815" dataCellStyle="Normal 2"/>
    <tableColumn id="9831" xr3:uid="{4289C35E-54FA-4433-8212-39CD000C7FCC}" name="Column9816" dataCellStyle="Normal 2"/>
    <tableColumn id="9832" xr3:uid="{5CD88A6A-95BB-40CC-BD99-5516384DCAC3}" name="Column9817" dataCellStyle="Normal 2"/>
    <tableColumn id="9833" xr3:uid="{2D671303-B8D6-41EB-AEF8-947D7421E440}" name="Column9818" dataCellStyle="Normal 2"/>
    <tableColumn id="9834" xr3:uid="{019331BD-D113-4346-9DF1-0057B8F1B66F}" name="Column9819" dataCellStyle="Normal 2"/>
    <tableColumn id="9835" xr3:uid="{FDDF2BF1-C163-4234-9924-C454CD4B4B96}" name="Column9820" dataCellStyle="Normal 2"/>
    <tableColumn id="9836" xr3:uid="{D3318D18-F25E-4743-A695-AF88E7840DC9}" name="Column9821" dataCellStyle="Normal 2"/>
    <tableColumn id="9837" xr3:uid="{3FE7F020-D390-4BA9-ACBC-2CA6EB229B2C}" name="Column9822" dataCellStyle="Normal 2"/>
    <tableColumn id="9838" xr3:uid="{9E8F102A-DFF1-4F3D-8D13-6B7B25BBBF4A}" name="Column9823" dataCellStyle="Normal 2"/>
    <tableColumn id="9839" xr3:uid="{7E99763B-BF05-4C24-80A6-AAE9A6D033D4}" name="Column9824" dataCellStyle="Normal 2"/>
    <tableColumn id="9840" xr3:uid="{E5DEEAD3-098A-415C-80C3-3363723DEF1B}" name="Column9825" dataCellStyle="Normal 2"/>
    <tableColumn id="9841" xr3:uid="{FBBF1682-F9B5-443F-A36B-88DDCA3FEF36}" name="Column9826" dataCellStyle="Normal 2"/>
    <tableColumn id="9842" xr3:uid="{D5BE274B-C8A1-4E71-BC0A-C36A22EE598A}" name="Column9827" dataCellStyle="Normal 2"/>
    <tableColumn id="9843" xr3:uid="{B4383382-6E43-4A9E-912F-2A99F122DAB2}" name="Column9828" dataCellStyle="Normal 2"/>
    <tableColumn id="9844" xr3:uid="{1C52C4AB-CC51-474C-B71F-E7B234E5F9DB}" name="Column9829" dataCellStyle="Normal 2"/>
    <tableColumn id="9845" xr3:uid="{E3652243-0F2A-463B-86F6-0DFF34D78557}" name="Column9830" dataCellStyle="Normal 2"/>
    <tableColumn id="9846" xr3:uid="{9E9698ED-C30E-4C9A-924B-1E80A2CF4D9A}" name="Column9831" dataCellStyle="Normal 2"/>
    <tableColumn id="9847" xr3:uid="{74FCC37F-8901-4C4B-A2E0-B56D93945D8F}" name="Column9832" dataCellStyle="Normal 2"/>
    <tableColumn id="9848" xr3:uid="{93CA452A-58FC-40D0-9553-AAD074C87602}" name="Column9833" dataCellStyle="Normal 2"/>
    <tableColumn id="9849" xr3:uid="{35F8C5F2-2B6F-4C4C-865D-C7C482DFE474}" name="Column9834" dataCellStyle="Normal 2"/>
    <tableColumn id="9850" xr3:uid="{70811567-B04D-4ED9-8D0B-9872F523BB39}" name="Column9835" dataCellStyle="Normal 2"/>
    <tableColumn id="9851" xr3:uid="{367443C9-255A-4250-B2D3-43622F2949C5}" name="Column9836" dataCellStyle="Normal 2"/>
    <tableColumn id="9852" xr3:uid="{BA4525A8-4EF9-45E5-A4E6-21305E9CB45C}" name="Column9837" dataCellStyle="Normal 2"/>
    <tableColumn id="9853" xr3:uid="{04B431D9-9338-490A-B50E-0EBB920FA412}" name="Column9838" dataCellStyle="Normal 2"/>
    <tableColumn id="9854" xr3:uid="{CB5829D8-9849-4496-94C0-CDD7E5C0CEE2}" name="Column9839" dataCellStyle="Normal 2"/>
    <tableColumn id="9855" xr3:uid="{61B6A8E3-69D0-4273-9CF3-8D91A20B4359}" name="Column9840" dataCellStyle="Normal 2"/>
    <tableColumn id="9856" xr3:uid="{60F83CA1-D752-488D-80C5-1C4B108AF897}" name="Column9841" dataCellStyle="Normal 2"/>
    <tableColumn id="9857" xr3:uid="{B6665D58-7AB7-45E0-A8DD-35B6ED5EBB23}" name="Column9842" dataCellStyle="Normal 2"/>
    <tableColumn id="9858" xr3:uid="{D200711A-3905-47A3-A49D-6E3527A11B8A}" name="Column9843" dataCellStyle="Normal 2"/>
    <tableColumn id="9859" xr3:uid="{796E284F-1CAD-4448-86D0-BC2DA04CFC91}" name="Column9844" dataCellStyle="Normal 2"/>
    <tableColumn id="9860" xr3:uid="{5B43EFC6-1740-4D2A-B6D8-6791962FB368}" name="Column9845" dataCellStyle="Normal 2"/>
    <tableColumn id="9861" xr3:uid="{8BEBDA5D-1ED9-4004-A4CC-A207B28334D3}" name="Column9846" dataCellStyle="Normal 2"/>
    <tableColumn id="9862" xr3:uid="{ED0EE974-E5B9-40EC-B08E-E7C3C4FEAF50}" name="Column9847" dataCellStyle="Normal 2"/>
    <tableColumn id="9863" xr3:uid="{5416AD20-B313-4EC0-B35B-1626B615A598}" name="Column9848" dataCellStyle="Normal 2"/>
    <tableColumn id="9864" xr3:uid="{CD47FE78-9AB5-4AC9-AFB3-8B7067DEFC65}" name="Column9849" dataCellStyle="Normal 2"/>
    <tableColumn id="9865" xr3:uid="{A5A977F6-A8A4-4A89-A064-D69A31A31D81}" name="Column9850" dataCellStyle="Normal 2"/>
    <tableColumn id="9866" xr3:uid="{D6456C7A-BC76-4EA3-9070-D3C15C819BB9}" name="Column9851" dataCellStyle="Normal 2"/>
    <tableColumn id="9867" xr3:uid="{60CBE350-4FF4-4515-9830-F7A730DB12D2}" name="Column9852" dataCellStyle="Normal 2"/>
    <tableColumn id="9868" xr3:uid="{6C1C2166-C2B6-4B82-BACC-FC8EAE799F75}" name="Column9853" dataCellStyle="Normal 2"/>
    <tableColumn id="9869" xr3:uid="{44E60F92-FFEB-499D-B495-4B43D9C84DDC}" name="Column9854" dataCellStyle="Normal 2"/>
    <tableColumn id="9870" xr3:uid="{BC917471-19CE-430B-89B4-3AAB5942D837}" name="Column9855" dataCellStyle="Normal 2"/>
    <tableColumn id="9871" xr3:uid="{70CB03A4-9BE5-42AA-884F-7D3DCEF6966C}" name="Column9856" dataCellStyle="Normal 2"/>
    <tableColumn id="9872" xr3:uid="{2C27B85B-FCC1-47B1-A611-85E77470C733}" name="Column9857" dataCellStyle="Normal 2"/>
    <tableColumn id="9873" xr3:uid="{44C5CEF2-CBC8-4BFE-A2DC-4C9234639197}" name="Column9858" dataCellStyle="Normal 2"/>
    <tableColumn id="9874" xr3:uid="{C1458281-BACD-4803-9C82-D4639285C298}" name="Column9859" dataCellStyle="Normal 2"/>
    <tableColumn id="9875" xr3:uid="{8E4599EF-C4BC-4765-9525-BC67CE17AE70}" name="Column9860" dataCellStyle="Normal 2"/>
    <tableColumn id="9876" xr3:uid="{F81241E6-7FA9-4691-9AF0-62BC6FB9FBDC}" name="Column9861" dataCellStyle="Normal 2"/>
    <tableColumn id="9877" xr3:uid="{F78E2C9C-E1E1-4FB3-B109-4EDDA0EBC898}" name="Column9862" dataCellStyle="Normal 2"/>
    <tableColumn id="9878" xr3:uid="{5423E664-DACD-46D4-ABFE-31DDF60A7160}" name="Column9863" dataCellStyle="Normal 2"/>
    <tableColumn id="9879" xr3:uid="{7C93184B-CF3E-4769-9407-8AB5D6B526B5}" name="Column9864" dataCellStyle="Normal 2"/>
    <tableColumn id="9880" xr3:uid="{8C1C2527-F340-4180-A276-BFF5B621F06C}" name="Column9865" dataCellStyle="Normal 2"/>
    <tableColumn id="9881" xr3:uid="{0F9442D3-C32D-41BC-B70C-55A8314959F3}" name="Column9866" dataCellStyle="Normal 2"/>
    <tableColumn id="9882" xr3:uid="{9B4B2C38-4C5B-41DA-99DD-21FD534AD3D1}" name="Column9867" dataCellStyle="Normal 2"/>
    <tableColumn id="9883" xr3:uid="{DBFFA259-2AC6-485E-B2C3-40DADD3869A0}" name="Column9868" dataCellStyle="Normal 2"/>
    <tableColumn id="9884" xr3:uid="{6A4CD9FE-43D3-4BD3-946D-BDBE4D4F747A}" name="Column9869" dataCellStyle="Normal 2"/>
    <tableColumn id="9885" xr3:uid="{485171A4-0449-4F6D-9263-396189220360}" name="Column9870" dataCellStyle="Normal 2"/>
    <tableColumn id="9886" xr3:uid="{22AC9C1C-D1A3-480F-B911-EC06387F9B7C}" name="Column9871" dataCellStyle="Normal 2"/>
    <tableColumn id="9887" xr3:uid="{C11A7E51-CA28-42B7-AB97-27F88F37683B}" name="Column9872" dataCellStyle="Normal 2"/>
    <tableColumn id="9888" xr3:uid="{35C6CA2E-9F3E-4E7C-824B-C118218E1622}" name="Column9873" dataCellStyle="Normal 2"/>
    <tableColumn id="9889" xr3:uid="{248471D6-AA91-42C8-803C-60DAB46BA62F}" name="Column9874" dataCellStyle="Normal 2"/>
    <tableColumn id="9890" xr3:uid="{3B4CE672-3925-4B40-A314-F7296B0A3DC0}" name="Column9875" dataCellStyle="Normal 2"/>
    <tableColumn id="9891" xr3:uid="{3B959706-DD7C-4790-BBBA-ABFAC87B4A43}" name="Column9876" dataCellStyle="Normal 2"/>
    <tableColumn id="9892" xr3:uid="{6197B27F-5946-4FE1-9CDE-5BA7A559E29E}" name="Column9877" dataCellStyle="Normal 2"/>
    <tableColumn id="9893" xr3:uid="{24886746-3BDF-4F0E-957C-8C2E33A719EB}" name="Column9878" dataCellStyle="Normal 2"/>
    <tableColumn id="9894" xr3:uid="{4385DD14-E4BC-42EB-B625-0324945E87AB}" name="Column9879" dataCellStyle="Normal 2"/>
    <tableColumn id="9895" xr3:uid="{D01F69AD-DFD4-4DA4-B318-A42C8F415AD0}" name="Column9880" dataCellStyle="Normal 2"/>
    <tableColumn id="9896" xr3:uid="{7332009D-B0F1-4CD8-A8C5-0471613D8012}" name="Column9881" dataCellStyle="Normal 2"/>
    <tableColumn id="9897" xr3:uid="{431C1632-509F-4C46-BEB9-48C9D908AE9F}" name="Column9882" dataCellStyle="Normal 2"/>
    <tableColumn id="9898" xr3:uid="{A59C359C-5380-4CAE-A3E7-CFE5C0A23AF9}" name="Column9883" dataCellStyle="Normal 2"/>
    <tableColumn id="9899" xr3:uid="{108E5599-5C23-4DE9-A4EA-F3C7B36BD5F4}" name="Column9884" dataCellStyle="Normal 2"/>
    <tableColumn id="9900" xr3:uid="{11558E34-82DD-4B1F-9005-A117495F4A0B}" name="Column9885" dataCellStyle="Normal 2"/>
    <tableColumn id="9901" xr3:uid="{9223FAAA-39D7-4734-AE04-D2ACEC931099}" name="Column9886" dataCellStyle="Normal 2"/>
    <tableColumn id="9902" xr3:uid="{63FE383F-A83A-454E-9499-9727EA262823}" name="Column9887" dataCellStyle="Normal 2"/>
    <tableColumn id="9903" xr3:uid="{E01E533F-3EAD-4E31-B42D-91B8A27BA6A8}" name="Column9888" dataCellStyle="Normal 2"/>
    <tableColumn id="9904" xr3:uid="{9F7F1B1C-C6D1-4D3B-804B-6F69ADB6DD73}" name="Column9889" dataCellStyle="Normal 2"/>
    <tableColumn id="9905" xr3:uid="{26972B71-598E-4EC0-A0F7-32B742416D24}" name="Column9890" dataCellStyle="Normal 2"/>
    <tableColumn id="9906" xr3:uid="{01356473-80E0-492A-957A-4B8BBE519F19}" name="Column9891" dataCellStyle="Normal 2"/>
    <tableColumn id="9907" xr3:uid="{41B5709E-3EE6-4674-9249-59B2991293DD}" name="Column9892" dataCellStyle="Normal 2"/>
    <tableColumn id="9908" xr3:uid="{7DE6028B-78EF-43EB-8A5C-B3B54110879C}" name="Column9893" dataCellStyle="Normal 2"/>
    <tableColumn id="9909" xr3:uid="{DF78C521-E5ED-4D84-BB5C-0CF1826B693F}" name="Column9894" dataCellStyle="Normal 2"/>
    <tableColumn id="9910" xr3:uid="{89FD5681-055D-41E0-B6E1-A69468A2602C}" name="Column9895" dataCellStyle="Normal 2"/>
    <tableColumn id="9911" xr3:uid="{1FCAFB99-0C0F-4D23-90B4-AA1F5C63C829}" name="Column9896" dataCellStyle="Normal 2"/>
    <tableColumn id="9912" xr3:uid="{BC2CAA06-111D-44BA-A106-B3FF1043E485}" name="Column9897" dataCellStyle="Normal 2"/>
    <tableColumn id="9913" xr3:uid="{81A5AA9C-9BD5-4320-9D56-D8C3B454CB33}" name="Column9898" dataCellStyle="Normal 2"/>
    <tableColumn id="9914" xr3:uid="{6F8C45AE-E311-494D-847D-399F3F732159}" name="Column9899" dataCellStyle="Normal 2"/>
    <tableColumn id="9915" xr3:uid="{987C6941-91AE-447B-A179-D40FDD47B812}" name="Column9900" dataCellStyle="Normal 2"/>
    <tableColumn id="9916" xr3:uid="{75540B32-CA4D-4710-9B58-00E04517DA94}" name="Column9901" dataCellStyle="Normal 2"/>
    <tableColumn id="9917" xr3:uid="{5B92442F-E006-4CBD-984E-DAA4A2680A3D}" name="Column9902" dataCellStyle="Normal 2"/>
    <tableColumn id="9918" xr3:uid="{DCB63E82-77CC-4019-983A-C94680FB74BF}" name="Column9903" dataCellStyle="Normal 2"/>
    <tableColumn id="9919" xr3:uid="{1489596F-DD7E-46EB-AF45-03AD61527846}" name="Column9904" dataCellStyle="Normal 2"/>
    <tableColumn id="9920" xr3:uid="{1B0571C4-7EF3-4390-86E3-8D4B715BEB0D}" name="Column9905" dataCellStyle="Normal 2"/>
    <tableColumn id="9921" xr3:uid="{8DB4AE05-5727-4973-97AE-69491D774127}" name="Column9906" dataCellStyle="Normal 2"/>
    <tableColumn id="9922" xr3:uid="{5104760E-1D49-4443-9167-CD38ABA0D5A3}" name="Column9907" dataCellStyle="Normal 2"/>
    <tableColumn id="9923" xr3:uid="{43BB4142-8D08-43A9-A5C6-7CD1CBD2840E}" name="Column9908" dataCellStyle="Normal 2"/>
    <tableColumn id="9924" xr3:uid="{2F22126A-F22E-41A6-B957-238C8CCB89A1}" name="Column9909" dataCellStyle="Normal 2"/>
    <tableColumn id="9925" xr3:uid="{BC17069D-4D70-49EF-BC02-A26D9E5C2E01}" name="Column9910" dataCellStyle="Normal 2"/>
    <tableColumn id="9926" xr3:uid="{613CCB7E-3F36-4C57-9F5A-E5AE901F2A5A}" name="Column9911" dataCellStyle="Normal 2"/>
    <tableColumn id="9927" xr3:uid="{9E0B319E-A336-4E17-BE34-500A09CB86A0}" name="Column9912" dataCellStyle="Normal 2"/>
    <tableColumn id="9928" xr3:uid="{5C489125-464E-4B63-9F79-6FED13770364}" name="Column9913" dataCellStyle="Normal 2"/>
    <tableColumn id="9929" xr3:uid="{C63FC004-D44D-414C-B4CC-971072CF26A6}" name="Column9914" dataCellStyle="Normal 2"/>
    <tableColumn id="9930" xr3:uid="{A8F7165D-3F09-45AA-960C-5EDF58C94451}" name="Column9915" dataCellStyle="Normal 2"/>
    <tableColumn id="9931" xr3:uid="{0C15D0E3-48C8-4186-9D1F-C257A5F58C88}" name="Column9916" dataCellStyle="Normal 2"/>
    <tableColumn id="9932" xr3:uid="{F163A19E-A25C-4FE6-A4E2-92D16D534A20}" name="Column9917" dataCellStyle="Normal 2"/>
    <tableColumn id="9933" xr3:uid="{B93954C3-517F-4451-A6D4-69A177532D99}" name="Column9918" dataCellStyle="Normal 2"/>
    <tableColumn id="9934" xr3:uid="{8E2302BE-12D6-407D-93F7-EAEF403A0F7B}" name="Column9919" dataCellStyle="Normal 2"/>
    <tableColumn id="9935" xr3:uid="{F40A045D-E173-46F4-80B7-F9E66DDFD55C}" name="Column9920" dataCellStyle="Normal 2"/>
    <tableColumn id="9936" xr3:uid="{F94C51DD-1421-47D1-BA70-24F26FAA93D3}" name="Column9921" dataCellStyle="Normal 2"/>
    <tableColumn id="9937" xr3:uid="{7FF8B032-9241-43C4-AACE-7E76D5C3A3E0}" name="Column9922" dataCellStyle="Normal 2"/>
    <tableColumn id="9938" xr3:uid="{F67403A2-8BBC-4B7F-96AA-BC0313890858}" name="Column9923" dataCellStyle="Normal 2"/>
    <tableColumn id="9939" xr3:uid="{10F2A276-824E-4803-A7D9-6019FA07D1BE}" name="Column9924" dataCellStyle="Normal 2"/>
    <tableColumn id="9940" xr3:uid="{94AB6481-8DA3-43D2-A385-81DEE01C8850}" name="Column9925" dataCellStyle="Normal 2"/>
    <tableColumn id="9941" xr3:uid="{99E21772-CC95-49D1-8779-8A04DE98E0AA}" name="Column9926" dataCellStyle="Normal 2"/>
    <tableColumn id="9942" xr3:uid="{2A8529FD-BE0F-4162-AC6D-69EED7C34C1F}" name="Column9927" dataCellStyle="Normal 2"/>
    <tableColumn id="9943" xr3:uid="{552D3ABB-79E0-4AC6-B835-5B32BA5F4414}" name="Column9928" dataCellStyle="Normal 2"/>
    <tableColumn id="9944" xr3:uid="{2A9812A6-2CC7-4203-A0D9-6BB759F3E0E2}" name="Column9929" dataCellStyle="Normal 2"/>
    <tableColumn id="9945" xr3:uid="{BA75F0C7-A757-4EE6-AA1D-BE8063432B50}" name="Column9930" dataCellStyle="Normal 2"/>
    <tableColumn id="9946" xr3:uid="{6109701D-980E-40BF-B0FF-C2B5F6DE85C5}" name="Column9931" dataCellStyle="Normal 2"/>
    <tableColumn id="9947" xr3:uid="{6EC63232-E2AC-422C-A424-097466A841AA}" name="Column9932" dataCellStyle="Normal 2"/>
    <tableColumn id="9948" xr3:uid="{BF21DFAB-667D-4490-850D-B858FCA884CD}" name="Column9933" dataCellStyle="Normal 2"/>
    <tableColumn id="9949" xr3:uid="{0CD9AA87-1FA8-4D64-A773-5CC301162620}" name="Column9934" dataCellStyle="Normal 2"/>
    <tableColumn id="9950" xr3:uid="{C87FF537-31B7-4CF7-84D9-95F774C9509A}" name="Column9935" dataCellStyle="Normal 2"/>
    <tableColumn id="9951" xr3:uid="{B4806439-9EF5-415E-BDFE-40EB87B0E854}" name="Column9936" dataCellStyle="Normal 2"/>
    <tableColumn id="9952" xr3:uid="{5072ECD7-C053-47CB-A0AC-4ED07175C43C}" name="Column9937" dataCellStyle="Normal 2"/>
    <tableColumn id="9953" xr3:uid="{895BB0EA-9D8C-4E52-B7AF-EB880FABA529}" name="Column9938" dataCellStyle="Normal 2"/>
    <tableColumn id="9954" xr3:uid="{06806C6C-805B-4790-8DEC-4BAC5E2AF50B}" name="Column9939" dataCellStyle="Normal 2"/>
    <tableColumn id="9955" xr3:uid="{EEFCC1A0-A751-40DD-B5CD-AE6E86A29A3B}" name="Column9940" dataCellStyle="Normal 2"/>
    <tableColumn id="9956" xr3:uid="{3C419F80-CF5E-413F-B2E4-76A2AEC18A78}" name="Column9941" dataCellStyle="Normal 2"/>
    <tableColumn id="9957" xr3:uid="{1B1DF153-BD29-4A9F-9EA4-9F8BB62B6999}" name="Column9942" dataCellStyle="Normal 2"/>
    <tableColumn id="9958" xr3:uid="{89AB4C8C-2892-4DBF-AD4D-50EFB2ECFCFC}" name="Column9943" dataCellStyle="Normal 2"/>
    <tableColumn id="9959" xr3:uid="{83B61FDF-A37E-4C15-B4D9-764F634D95CA}" name="Column9944" dataCellStyle="Normal 2"/>
    <tableColumn id="9960" xr3:uid="{A09B54F1-2C2C-4DD8-B596-1CA639A5A7E1}" name="Column9945" dataCellStyle="Normal 2"/>
    <tableColumn id="9961" xr3:uid="{CA97FCED-8A6C-417F-AFC3-94F91FB1B292}" name="Column9946" dataCellStyle="Normal 2"/>
    <tableColumn id="9962" xr3:uid="{9CE07A7D-FF38-49D0-A55F-EDB157602EA6}" name="Column9947" dataCellStyle="Normal 2"/>
    <tableColumn id="9963" xr3:uid="{A2BCE0B2-AAA0-4955-B115-F8CC03E2B3E4}" name="Column9948" dataCellStyle="Normal 2"/>
    <tableColumn id="9964" xr3:uid="{9A066DD9-FB96-4929-9392-68C431F76B8C}" name="Column9949" dataCellStyle="Normal 2"/>
    <tableColumn id="9965" xr3:uid="{E15B6CE4-8EC4-4B03-B6B4-2016A0FFCFFB}" name="Column9950" dataCellStyle="Normal 2"/>
    <tableColumn id="9966" xr3:uid="{B6547F8D-AA9A-4574-B3A2-D0C1003BFB83}" name="Column9951" dataCellStyle="Normal 2"/>
    <tableColumn id="9967" xr3:uid="{72B84EFD-A2F1-4F45-BA3B-3C62B1A73CF9}" name="Column9952" dataCellStyle="Normal 2"/>
    <tableColumn id="9968" xr3:uid="{1CAC3EE2-74FE-4A95-8746-CFCBC9D793B5}" name="Column9953" dataCellStyle="Normal 2"/>
    <tableColumn id="9969" xr3:uid="{3A0B5C3D-EB71-4F7C-A4BC-E692C4857DB5}" name="Column9954" dataCellStyle="Normal 2"/>
    <tableColumn id="9970" xr3:uid="{623C40DF-4B09-465B-A97D-DC46FCBED582}" name="Column9955" dataCellStyle="Normal 2"/>
    <tableColumn id="9971" xr3:uid="{39AB819B-DFA8-4C03-8360-590018F4DD9E}" name="Column9956" dataCellStyle="Normal 2"/>
    <tableColumn id="9972" xr3:uid="{E2D673D8-E44E-4698-9688-E3136242B2CA}" name="Column9957" dataCellStyle="Normal 2"/>
    <tableColumn id="9973" xr3:uid="{E8F9C6C8-BB23-4BD8-A330-0DDD570DC2E6}" name="Column9958" dataCellStyle="Normal 2"/>
    <tableColumn id="9974" xr3:uid="{A4B16F68-B14A-4A51-BFF2-0B11D9D6EA7D}" name="Column9959" dataCellStyle="Normal 2"/>
    <tableColumn id="9975" xr3:uid="{BE4B811A-33A8-4E2C-AEC2-548271792850}" name="Column9960" dataCellStyle="Normal 2"/>
    <tableColumn id="9976" xr3:uid="{C95C50D9-080D-415B-B48E-87B8969ACBA6}" name="Column9961" dataCellStyle="Normal 2"/>
    <tableColumn id="9977" xr3:uid="{7CB7E925-3696-4477-A30D-DAAA6FB19F10}" name="Column9962" dataCellStyle="Normal 2"/>
    <tableColumn id="9978" xr3:uid="{DF3423A5-7078-47DB-ACB3-3B617552F4BE}" name="Column9963" dataCellStyle="Normal 2"/>
    <tableColumn id="9979" xr3:uid="{4EEF148A-ECA3-4809-B2E9-C54358B42721}" name="Column9964" dataCellStyle="Normal 2"/>
    <tableColumn id="9980" xr3:uid="{CBF90732-FC0D-4D5C-8D5C-A56B288AD78C}" name="Column9965" dataCellStyle="Normal 2"/>
    <tableColumn id="9981" xr3:uid="{60F1FA56-B14E-486E-A0DB-77F76A634E0A}" name="Column9966" dataCellStyle="Normal 2"/>
    <tableColumn id="9982" xr3:uid="{D4A13043-8A2F-418B-84DE-55DBE848DB69}" name="Column9967" dataCellStyle="Normal 2"/>
    <tableColumn id="9983" xr3:uid="{695EA4E0-076D-4B72-965B-C778631CFF7F}" name="Column9968" dataCellStyle="Normal 2"/>
    <tableColumn id="9984" xr3:uid="{C2C70838-5FD7-4EEF-B08D-0227B4390CDD}" name="Column9969" dataCellStyle="Normal 2"/>
    <tableColumn id="9985" xr3:uid="{73D70C50-7C9A-4894-8EF5-A358A93EB363}" name="Column9970" dataCellStyle="Normal 2"/>
    <tableColumn id="9986" xr3:uid="{A000E532-E49D-4B87-8ACE-B6F438020605}" name="Column9971" dataCellStyle="Normal 2"/>
    <tableColumn id="9987" xr3:uid="{9ECF5628-F2AE-4B59-8F49-946F505481CD}" name="Column9972" dataCellStyle="Normal 2"/>
    <tableColumn id="9988" xr3:uid="{82FC310E-0515-44E1-A373-84CBA3684662}" name="Column9973" dataCellStyle="Normal 2"/>
    <tableColumn id="9989" xr3:uid="{05228376-010F-4E7C-9B86-77703DE7C5B2}" name="Column9974" dataCellStyle="Normal 2"/>
    <tableColumn id="9990" xr3:uid="{6655F32E-9825-4389-9899-2CB00DD39C2F}" name="Column9975" dataCellStyle="Normal 2"/>
    <tableColumn id="9991" xr3:uid="{35EDB973-2E09-4572-8CDF-6868702C22BB}" name="Column9976" dataCellStyle="Normal 2"/>
    <tableColumn id="9992" xr3:uid="{7F8F5082-42CD-4922-B287-FEABF5EF063F}" name="Column9977" dataCellStyle="Normal 2"/>
    <tableColumn id="9993" xr3:uid="{4CE7E8F7-22B2-4F9C-9C86-7792D5E27013}" name="Column9978" dataCellStyle="Normal 2"/>
    <tableColumn id="9994" xr3:uid="{0B1BEE7C-5E69-489E-B086-AFF032E05780}" name="Column9979" dataCellStyle="Normal 2"/>
    <tableColumn id="9995" xr3:uid="{B2417B15-978A-4A52-925F-4277FD46CC4C}" name="Column9980" dataCellStyle="Normal 2"/>
    <tableColumn id="9996" xr3:uid="{48FE1FA9-E94E-4B7E-90AB-9E6D5464C2E6}" name="Column9981" dataCellStyle="Normal 2"/>
    <tableColumn id="9997" xr3:uid="{DA906AD5-D41C-49D7-9E27-6E0D46FE70C1}" name="Column9982" dataCellStyle="Normal 2"/>
    <tableColumn id="9998" xr3:uid="{E4135B8D-83EE-4D3D-9E55-6ECBE768D1A0}" name="Column9983" dataCellStyle="Normal 2"/>
    <tableColumn id="9999" xr3:uid="{747A9225-59FF-495C-9803-43DF6130C772}" name="Column9984" dataCellStyle="Normal 2"/>
    <tableColumn id="10000" xr3:uid="{E909A406-ED58-41CF-8D4F-9212797E9A32}" name="Column9985" dataCellStyle="Normal 2"/>
    <tableColumn id="10001" xr3:uid="{67E57D4D-5A0D-4036-A1E4-8D97D3E11C6D}" name="Column9986" dataCellStyle="Normal 2"/>
    <tableColumn id="10002" xr3:uid="{1DAC16CC-9198-46F4-AF4B-4657CE5AAE5E}" name="Column9987" dataCellStyle="Normal 2"/>
    <tableColumn id="10003" xr3:uid="{B17A99BB-A2F7-46C7-9800-DFB50A560280}" name="Column9988" dataCellStyle="Normal 2"/>
    <tableColumn id="10004" xr3:uid="{5216CE25-EF28-4C2F-A602-BA958BF8F798}" name="Column9989" dataCellStyle="Normal 2"/>
    <tableColumn id="10005" xr3:uid="{8BF903BE-6743-4DD8-B699-F27F78915FCE}" name="Column9990" dataCellStyle="Normal 2"/>
    <tableColumn id="10006" xr3:uid="{AEC8E82E-AE41-4902-8C98-C6C0C04198C0}" name="Column9991" dataCellStyle="Normal 2"/>
    <tableColumn id="10007" xr3:uid="{E9BE443B-C327-4C79-B25B-3E55C95E8E56}" name="Column9992" dataCellStyle="Normal 2"/>
    <tableColumn id="10008" xr3:uid="{24386501-ADB7-4FB6-9605-078635FAD68D}" name="Column9993" dataCellStyle="Normal 2"/>
    <tableColumn id="10009" xr3:uid="{0C075710-30DD-4F21-912B-D75008C4844E}" name="Column9994" dataCellStyle="Normal 2"/>
    <tableColumn id="10010" xr3:uid="{755501D2-BD8F-4DE1-8A56-0AF6CE8586DD}" name="Column9995" dataCellStyle="Normal 2"/>
    <tableColumn id="10011" xr3:uid="{CC863245-9FC9-43D4-944F-796165470FE5}" name="Column9996" dataCellStyle="Normal 2"/>
    <tableColumn id="10012" xr3:uid="{A192E066-4A93-4C97-A19D-7D0B1AC61717}" name="Column9997" dataCellStyle="Normal 2"/>
    <tableColumn id="10013" xr3:uid="{EED352F8-E56A-4916-BFED-509F3A72A88D}" name="Column9998" dataCellStyle="Normal 2"/>
    <tableColumn id="10014" xr3:uid="{EC55C43E-E528-4795-A088-52520BE79F61}" name="Column9999" dataCellStyle="Normal 2"/>
    <tableColumn id="10015" xr3:uid="{10D5E28B-C2B5-4F47-99AC-9BA986FBD0A9}" name="Column10000" dataCellStyle="Normal 2"/>
    <tableColumn id="10016" xr3:uid="{2C37CECE-C8F0-4CED-A60D-0CFB86520EFA}" name="Column10001" dataCellStyle="Normal 2"/>
    <tableColumn id="10017" xr3:uid="{481CBE3D-6F87-49E7-8BBE-FEB6C379709E}" name="Column10002" dataCellStyle="Normal 2"/>
    <tableColumn id="10018" xr3:uid="{C6B0D0E5-A5F6-489F-A312-F138DE302F0A}" name="Column10003" dataCellStyle="Normal 2"/>
    <tableColumn id="10019" xr3:uid="{9A7B2A00-5A6A-4E2A-99CF-ADAD77DC2A01}" name="Column10004" dataCellStyle="Normal 2"/>
    <tableColumn id="10020" xr3:uid="{61B13AD5-28ED-47EA-B6AF-95E843AB65A1}" name="Column10005" dataCellStyle="Normal 2"/>
    <tableColumn id="10021" xr3:uid="{52C09C35-07F5-4B0F-B3E9-C3C10D96794C}" name="Column10006" dataCellStyle="Normal 2"/>
    <tableColumn id="10022" xr3:uid="{1A0DE39A-F14C-44F0-991A-F106659AE869}" name="Column10007" dataCellStyle="Normal 2"/>
    <tableColumn id="10023" xr3:uid="{C8562D03-4909-4A15-9C46-A5C66AA25219}" name="Column10008" dataCellStyle="Normal 2"/>
    <tableColumn id="10024" xr3:uid="{D90C5299-B966-4523-8592-604576135ADD}" name="Column10009" dataCellStyle="Normal 2"/>
    <tableColumn id="10025" xr3:uid="{0946ACBB-28E4-4F95-AA4E-58BD9CD21E35}" name="Column10010" dataCellStyle="Normal 2"/>
    <tableColumn id="10026" xr3:uid="{63DC193B-A168-45BE-8739-7FF0B8CDE808}" name="Column10011" dataCellStyle="Normal 2"/>
    <tableColumn id="10027" xr3:uid="{376363B0-2452-487E-B29B-B114B49ECF90}" name="Column10012" dataCellStyle="Normal 2"/>
    <tableColumn id="10028" xr3:uid="{7B5DDFE3-2288-40DD-BEDE-75EEECD49393}" name="Column10013" dataCellStyle="Normal 2"/>
    <tableColumn id="10029" xr3:uid="{072493E0-275D-47DB-8A42-F6B6C4A293E9}" name="Column10014" dataCellStyle="Normal 2"/>
    <tableColumn id="10030" xr3:uid="{CB9E007B-0146-4EB3-AFF1-BCD146F07AC0}" name="Column10015" dataCellStyle="Normal 2"/>
    <tableColumn id="10031" xr3:uid="{0F1BF719-9273-4D67-8C7D-3BEAB97E9ED9}" name="Column10016" dataCellStyle="Normal 2"/>
    <tableColumn id="10032" xr3:uid="{AB8CA1BF-98DB-4A74-A531-4864435A506D}" name="Column10017" dataCellStyle="Normal 2"/>
    <tableColumn id="10033" xr3:uid="{C9B9A84B-4CF2-45E9-BB88-67A2A4B52C58}" name="Column10018" dataCellStyle="Normal 2"/>
    <tableColumn id="10034" xr3:uid="{38C29FDB-7952-4E14-8C43-C8ED3B88262C}" name="Column10019" dataCellStyle="Normal 2"/>
    <tableColumn id="10035" xr3:uid="{8E02A0AC-7D51-42A1-AA61-7149B1B73B65}" name="Column10020" dataCellStyle="Normal 2"/>
    <tableColumn id="10036" xr3:uid="{6AFBB2CA-4715-46A0-94FD-1A256D3F6896}" name="Column10021" dataCellStyle="Normal 2"/>
    <tableColumn id="10037" xr3:uid="{03A4FBDC-5A9B-43A6-B50D-A1E68A34BBA6}" name="Column10022" dataCellStyle="Normal 2"/>
    <tableColumn id="10038" xr3:uid="{066D37DF-2204-4548-AE59-4F48CFEC2111}" name="Column10023" dataCellStyle="Normal 2"/>
    <tableColumn id="10039" xr3:uid="{1F83A406-F125-4313-B021-53FD838E060C}" name="Column10024" dataCellStyle="Normal 2"/>
    <tableColumn id="10040" xr3:uid="{2E03A6DA-72A1-4BCA-BCB0-FB76251DB8AC}" name="Column10025" dataCellStyle="Normal 2"/>
    <tableColumn id="10041" xr3:uid="{BBCC86FC-7746-4985-9EBF-73E5E8302EDB}" name="Column10026" dataCellStyle="Normal 2"/>
    <tableColumn id="10042" xr3:uid="{4CB6EDCF-9A7A-45D1-947E-65CDFA495BCC}" name="Column10027" dataCellStyle="Normal 2"/>
    <tableColumn id="10043" xr3:uid="{15C2CFF9-2830-4A98-B47C-84C5C1C0EC9E}" name="Column10028" dataCellStyle="Normal 2"/>
    <tableColumn id="10044" xr3:uid="{3DD57F07-3FF7-439E-A3D7-5943DDCD8482}" name="Column10029" dataCellStyle="Normal 2"/>
    <tableColumn id="10045" xr3:uid="{3FC712B7-89D6-48B0-8B52-3FF93F582781}" name="Column10030" dataCellStyle="Normal 2"/>
    <tableColumn id="10046" xr3:uid="{AD31316F-FD44-4CA4-A526-AC96642193A7}" name="Column10031" dataCellStyle="Normal 2"/>
    <tableColumn id="10047" xr3:uid="{4C4048C5-5846-4476-9386-4A3250777032}" name="Column10032" dataCellStyle="Normal 2"/>
    <tableColumn id="10048" xr3:uid="{DEA86C57-81A8-42B2-9B09-781572AB1C16}" name="Column10033" dataCellStyle="Normal 2"/>
    <tableColumn id="10049" xr3:uid="{AB8C06F4-73B0-4DFD-8AAA-F858D3355E21}" name="Column10034" dataCellStyle="Normal 2"/>
    <tableColumn id="10050" xr3:uid="{2EBB94D6-A289-407E-A7B2-23A1BFF94CC7}" name="Column10035" dataCellStyle="Normal 2"/>
    <tableColumn id="10051" xr3:uid="{FB643043-7ABF-4462-8140-B651AD95986F}" name="Column10036" dataCellStyle="Normal 2"/>
    <tableColumn id="10052" xr3:uid="{FCBB3BA8-1D63-476E-8510-B149042BB001}" name="Column10037" dataCellStyle="Normal 2"/>
    <tableColumn id="10053" xr3:uid="{349486C3-443D-4EB9-A6CA-9B1D0E92F85E}" name="Column10038" dataCellStyle="Normal 2"/>
    <tableColumn id="10054" xr3:uid="{4480EC38-3E50-4C36-ADE3-1D8A878039C0}" name="Column10039" dataCellStyle="Normal 2"/>
    <tableColumn id="10055" xr3:uid="{49FAA851-0A17-4270-B6CE-7C9D1394C924}" name="Column10040" dataCellStyle="Normal 2"/>
    <tableColumn id="10056" xr3:uid="{66A272F1-D5F4-4937-856F-770EAE716B5E}" name="Column10041" dataCellStyle="Normal 2"/>
    <tableColumn id="10057" xr3:uid="{5FF6B743-0CC4-49BB-B763-68B53079DCEA}" name="Column10042" dataCellStyle="Normal 2"/>
    <tableColumn id="10058" xr3:uid="{E214A461-89F2-4A9C-A778-A6CE864471AD}" name="Column10043" dataCellStyle="Normal 2"/>
    <tableColumn id="10059" xr3:uid="{020E053E-FD0A-4006-86EF-22A4375C03F1}" name="Column10044" dataCellStyle="Normal 2"/>
    <tableColumn id="10060" xr3:uid="{062C3B31-30E6-4F66-9E25-754733A8A851}" name="Column10045" dataCellStyle="Normal 2"/>
    <tableColumn id="10061" xr3:uid="{53BBD4C2-02B2-44C0-A1DB-4A5813084235}" name="Column10046" dataCellStyle="Normal 2"/>
    <tableColumn id="10062" xr3:uid="{20624324-A19D-4143-9B2A-B21D3FF50331}" name="Column10047" dataCellStyle="Normal 2"/>
    <tableColumn id="10063" xr3:uid="{C62DEEF4-545A-47FE-866C-11FBA1C131C8}" name="Column10048" dataCellStyle="Normal 2"/>
    <tableColumn id="10064" xr3:uid="{C43956DF-D3AC-4E07-8999-106E8846D2A9}" name="Column10049" dataCellStyle="Normal 2"/>
    <tableColumn id="10065" xr3:uid="{54F55A1F-1828-4370-90C9-D5D29D08B7AA}" name="Column10050" dataCellStyle="Normal 2"/>
    <tableColumn id="10066" xr3:uid="{AAC4D01D-9D49-46E8-86F3-ED1C8AF551EC}" name="Column10051" dataCellStyle="Normal 2"/>
    <tableColumn id="10067" xr3:uid="{058B862E-4F73-4174-A596-76533FEA2F60}" name="Column10052" dataCellStyle="Normal 2"/>
    <tableColumn id="10068" xr3:uid="{D8DA006A-04B3-4E5D-A232-2A3A0996F705}" name="Column10053" dataCellStyle="Normal 2"/>
    <tableColumn id="10069" xr3:uid="{858B873D-216B-41C5-9E5F-F8FA0B813E39}" name="Column10054" dataCellStyle="Normal 2"/>
    <tableColumn id="10070" xr3:uid="{F29302E3-C1C4-4AD4-9947-48E2C31C989E}" name="Column10055" dataCellStyle="Normal 2"/>
    <tableColumn id="10071" xr3:uid="{3ADD933A-1353-4C04-8A4A-DFCD33D1926C}" name="Column10056" dataCellStyle="Normal 2"/>
    <tableColumn id="10072" xr3:uid="{277FA7FA-00F2-4E2F-90E7-9102C0F1A2C6}" name="Column10057" dataCellStyle="Normal 2"/>
    <tableColumn id="10073" xr3:uid="{F06B88B9-86F6-427F-B377-6DFEE3A17081}" name="Column10058" dataCellStyle="Normal 2"/>
    <tableColumn id="10074" xr3:uid="{23A13E52-224E-472A-8353-677E155924D5}" name="Column10059" dataCellStyle="Normal 2"/>
    <tableColumn id="10075" xr3:uid="{65B46551-9E40-496F-A909-1C6C1CBC6818}" name="Column10060" dataCellStyle="Normal 2"/>
    <tableColumn id="10076" xr3:uid="{9F01B432-5266-4AAC-AE57-4E178DC343E8}" name="Column10061" dataCellStyle="Normal 2"/>
    <tableColumn id="10077" xr3:uid="{E22D5BF6-9559-4834-8F4A-0CAC1EE7590A}" name="Column10062" dataCellStyle="Normal 2"/>
    <tableColumn id="10078" xr3:uid="{4BB33245-D3CD-4F95-AC95-64BA6A539FD8}" name="Column10063" dataCellStyle="Normal 2"/>
    <tableColumn id="10079" xr3:uid="{D9FF961A-91F8-4D27-87D1-D0F954ABF011}" name="Column10064" dataCellStyle="Normal 2"/>
    <tableColumn id="10080" xr3:uid="{0F1B1A5F-0005-4353-9F57-9F6943A820B7}" name="Column10065" dataCellStyle="Normal 2"/>
    <tableColumn id="10081" xr3:uid="{6BFE5F1E-2DD4-4C86-A6C9-7FDA1D6FB4A0}" name="Column10066" dataCellStyle="Normal 2"/>
    <tableColumn id="10082" xr3:uid="{560B514C-A553-4E63-9C25-18F4ABCBD23E}" name="Column10067" dataCellStyle="Normal 2"/>
    <tableColumn id="10083" xr3:uid="{BCB9D0CE-CEE1-4CD2-8A75-A8BA7DD9DBBC}" name="Column10068" dataCellStyle="Normal 2"/>
    <tableColumn id="10084" xr3:uid="{F9CDC183-6448-4DC0-81E0-A2CBE125CA1B}" name="Column10069" dataCellStyle="Normal 2"/>
    <tableColumn id="10085" xr3:uid="{8B9288CF-50BB-49CE-931C-401BEEB8DB44}" name="Column10070" dataCellStyle="Normal 2"/>
    <tableColumn id="10086" xr3:uid="{612DDDAA-A9BE-4A89-A0E2-D37616215549}" name="Column10071" dataCellStyle="Normal 2"/>
    <tableColumn id="10087" xr3:uid="{644148F1-77EA-4181-A74F-93362D7608BE}" name="Column10072" dataCellStyle="Normal 2"/>
    <tableColumn id="10088" xr3:uid="{B90A4F12-1A43-456C-8B4D-88243FC9B586}" name="Column10073" dataCellStyle="Normal 2"/>
    <tableColumn id="10089" xr3:uid="{6004A416-79A5-4D40-BDE6-2249F00AC975}" name="Column10074" dataCellStyle="Normal 2"/>
    <tableColumn id="10090" xr3:uid="{883AF49E-F8CB-49A0-8FAC-D22B9FD28A9C}" name="Column10075" dataCellStyle="Normal 2"/>
    <tableColumn id="10091" xr3:uid="{4B374DE9-4769-4CA6-B40D-4253AD444ECF}" name="Column10076" dataCellStyle="Normal 2"/>
    <tableColumn id="10092" xr3:uid="{DDABFC21-1E25-42CF-9A1A-BB622866F72E}" name="Column10077" dataCellStyle="Normal 2"/>
    <tableColumn id="10093" xr3:uid="{D6D8A228-4018-4F70-A4CE-6538D9747EC5}" name="Column10078" dataCellStyle="Normal 2"/>
    <tableColumn id="10094" xr3:uid="{D4815BA1-C4CD-4885-811E-3FD2EED14A77}" name="Column10079" dataCellStyle="Normal 2"/>
    <tableColumn id="10095" xr3:uid="{8A598582-2B93-4324-BBA8-A5DA88EA7905}" name="Column10080" dataCellStyle="Normal 2"/>
    <tableColumn id="10096" xr3:uid="{03E223F5-EBAB-4162-87E7-1C6634D3A2AA}" name="Column10081" dataCellStyle="Normal 2"/>
    <tableColumn id="10097" xr3:uid="{C29C4565-DBAA-42F4-9761-5A7B0340A4E5}" name="Column10082" dataCellStyle="Normal 2"/>
    <tableColumn id="10098" xr3:uid="{239DAF0A-99CB-47C8-9530-09FE2E3847BB}" name="Column10083" dataCellStyle="Normal 2"/>
    <tableColumn id="10099" xr3:uid="{693F880F-C9CD-434C-9175-C0445AF3EC07}" name="Column10084" dataCellStyle="Normal 2"/>
    <tableColumn id="10100" xr3:uid="{9D474925-6809-49D7-864F-92F1543ED841}" name="Column10085" dataCellStyle="Normal 2"/>
    <tableColumn id="10101" xr3:uid="{9A3B738D-AEFD-435D-B4C7-0700A4B56E59}" name="Column10086" dataCellStyle="Normal 2"/>
    <tableColumn id="10102" xr3:uid="{A38ED9F1-53A1-48F6-91FB-D51CC4D0014A}" name="Column10087" dataCellStyle="Normal 2"/>
    <tableColumn id="10103" xr3:uid="{909DEC4D-4BD9-4374-B0EC-7A6940228559}" name="Column10088" dataCellStyle="Normal 2"/>
    <tableColumn id="10104" xr3:uid="{9948EC42-68FF-4CE8-A7D2-19A26B4E773C}" name="Column10089" dataCellStyle="Normal 2"/>
    <tableColumn id="10105" xr3:uid="{AE5346A6-4698-4B09-82FD-D01262D87E27}" name="Column10090" dataCellStyle="Normal 2"/>
    <tableColumn id="10106" xr3:uid="{349ED191-4278-439A-960E-13CD9F012062}" name="Column10091" dataCellStyle="Normal 2"/>
    <tableColumn id="10107" xr3:uid="{0157F2CF-DE43-44B9-A50E-7B26D2D3D9A4}" name="Column10092" dataCellStyle="Normal 2"/>
    <tableColumn id="10108" xr3:uid="{CBA441C2-5570-4C62-B074-BE830838C4BA}" name="Column10093" dataCellStyle="Normal 2"/>
    <tableColumn id="10109" xr3:uid="{1CB52FEB-C113-4661-8075-5D8E339C7196}" name="Column10094" dataCellStyle="Normal 2"/>
    <tableColumn id="10110" xr3:uid="{A1CCF92B-C9C3-4928-A985-3FD83B3755FE}" name="Column10095" dataCellStyle="Normal 2"/>
    <tableColumn id="10111" xr3:uid="{76117272-7D6C-4A74-AE6A-433D50CF7DBB}" name="Column10096" dataCellStyle="Normal 2"/>
    <tableColumn id="10112" xr3:uid="{0298813D-396C-4AE5-8862-463B1AE1601A}" name="Column10097" dataCellStyle="Normal 2"/>
    <tableColumn id="10113" xr3:uid="{F6E8BDBC-554F-47B3-A90B-A8E7766001E7}" name="Column10098" dataCellStyle="Normal 2"/>
    <tableColumn id="10114" xr3:uid="{DA1B992A-74F5-43F0-A5EF-C84738C48395}" name="Column10099" dataCellStyle="Normal 2"/>
    <tableColumn id="10115" xr3:uid="{E96C58E7-A971-4C06-A33C-4F6623AEBCEF}" name="Column10100" dataCellStyle="Normal 2"/>
    <tableColumn id="10116" xr3:uid="{4FD6F8C8-2C35-4A04-9261-7595BAC8B980}" name="Column10101" dataCellStyle="Normal 2"/>
    <tableColumn id="10117" xr3:uid="{10A81C7B-3ACD-4ADA-AA44-546BF3909015}" name="Column10102" dataCellStyle="Normal 2"/>
    <tableColumn id="10118" xr3:uid="{5EC80AA1-91E3-4B25-AA43-21C58C3A91F1}" name="Column10103" dataCellStyle="Normal 2"/>
    <tableColumn id="10119" xr3:uid="{209088D1-0CF0-498D-9331-87A349CC871E}" name="Column10104" dataCellStyle="Normal 2"/>
    <tableColumn id="10120" xr3:uid="{45E2C6E4-C617-4D69-BDBC-8AD8A3A940D4}" name="Column10105" dataCellStyle="Normal 2"/>
    <tableColumn id="10121" xr3:uid="{8B437909-BCF1-424C-B608-AC56159882E3}" name="Column10106" dataCellStyle="Normal 2"/>
    <tableColumn id="10122" xr3:uid="{5266E118-83BE-4E06-AECC-CA088B738A5D}" name="Column10107" dataCellStyle="Normal 2"/>
    <tableColumn id="10123" xr3:uid="{D0D491E1-827D-461F-8662-B015400F65A0}" name="Column10108" dataCellStyle="Normal 2"/>
    <tableColumn id="10124" xr3:uid="{C1AE9695-2008-49B6-855F-5FFD0F03237B}" name="Column10109" dataCellStyle="Normal 2"/>
    <tableColumn id="10125" xr3:uid="{B98A4642-52FD-405B-A7B0-3BB9662435A9}" name="Column10110" dataCellStyle="Normal 2"/>
    <tableColumn id="10126" xr3:uid="{2E97DEA7-CC57-4C48-9CD8-54FE4472731E}" name="Column10111" dataCellStyle="Normal 2"/>
    <tableColumn id="10127" xr3:uid="{022F6828-C071-47E5-8948-28F7F0D269D6}" name="Column10112" dataCellStyle="Normal 2"/>
    <tableColumn id="10128" xr3:uid="{DF504143-87AE-4F17-A39D-13B7B6C1DB59}" name="Column10113" dataCellStyle="Normal 2"/>
    <tableColumn id="10129" xr3:uid="{3B512396-1662-4DE5-9114-AEBDDC1E85BF}" name="Column10114" dataCellStyle="Normal 2"/>
    <tableColumn id="10130" xr3:uid="{EA474A03-6758-47F2-B843-CC8AF0212BDE}" name="Column10115" dataCellStyle="Normal 2"/>
    <tableColumn id="10131" xr3:uid="{73411AAE-3542-4CB2-94E4-98BC96DB1E3C}" name="Column10116" dataCellStyle="Normal 2"/>
    <tableColumn id="10132" xr3:uid="{FE992934-4866-466F-AD9A-DCFB4FF360A7}" name="Column10117" dataCellStyle="Normal 2"/>
    <tableColumn id="10133" xr3:uid="{1643D992-C5A6-483B-87C2-5DE9A6130051}" name="Column10118" dataCellStyle="Normal 2"/>
    <tableColumn id="10134" xr3:uid="{86CE12DC-19E6-4F7F-A223-A6EE123AADD0}" name="Column10119" dataCellStyle="Normal 2"/>
    <tableColumn id="10135" xr3:uid="{3E6B2799-C443-4924-BCBB-68703876A470}" name="Column10120" dataCellStyle="Normal 2"/>
    <tableColumn id="10136" xr3:uid="{12638F1B-C312-4B90-91F7-809F329C5B15}" name="Column10121" dataCellStyle="Normal 2"/>
    <tableColumn id="10137" xr3:uid="{9C593ECA-24F6-4A95-A47C-AAD7E106AD08}" name="Column10122" dataCellStyle="Normal 2"/>
    <tableColumn id="10138" xr3:uid="{F8ECF848-146D-4DD1-BD02-CA34F017A2CD}" name="Column10123" dataCellStyle="Normal 2"/>
    <tableColumn id="10139" xr3:uid="{321D344E-E773-44C8-8495-D13A5591F43C}" name="Column10124" dataCellStyle="Normal 2"/>
    <tableColumn id="10140" xr3:uid="{D63377AB-3F76-4A07-A511-A61BB1C5BAD3}" name="Column10125" dataCellStyle="Normal 2"/>
    <tableColumn id="10141" xr3:uid="{92E0BD4D-B4D8-46E3-8615-CE53BC889232}" name="Column10126" dataCellStyle="Normal 2"/>
    <tableColumn id="10142" xr3:uid="{5B44EBD0-A414-4FC1-9015-E764D222B76C}" name="Column10127" dataCellStyle="Normal 2"/>
    <tableColumn id="10143" xr3:uid="{658818C1-1D7D-46D0-901C-B83FA14F67C9}" name="Column10128" dataCellStyle="Normal 2"/>
    <tableColumn id="10144" xr3:uid="{9D362CA2-2916-4077-B746-FC5C282204D8}" name="Column10129" dataCellStyle="Normal 2"/>
    <tableColumn id="10145" xr3:uid="{3B63CA27-BD6B-41A9-9641-D4ACA8AFC295}" name="Column10130" dataCellStyle="Normal 2"/>
    <tableColumn id="10146" xr3:uid="{486F741A-FCD1-4792-8FF9-46D9C52182EB}" name="Column10131" dataCellStyle="Normal 2"/>
    <tableColumn id="10147" xr3:uid="{5CC08980-ABD9-46F0-8350-40E9B8B9736C}" name="Column10132" dataCellStyle="Normal 2"/>
    <tableColumn id="10148" xr3:uid="{BA85A1F9-AF1A-464B-BA68-30C263E428B1}" name="Column10133" dataCellStyle="Normal 2"/>
    <tableColumn id="10149" xr3:uid="{8B2099CC-EFAF-4676-A22B-0BD8FC8F7239}" name="Column10134" dataCellStyle="Normal 2"/>
    <tableColumn id="10150" xr3:uid="{3B6889B9-399C-4A82-B510-C67267406300}" name="Column10135" dataCellStyle="Normal 2"/>
    <tableColumn id="10151" xr3:uid="{03FEE5AA-7F72-46B9-ACEC-CC2CC53D2723}" name="Column10136" dataCellStyle="Normal 2"/>
    <tableColumn id="10152" xr3:uid="{4E93FD08-A285-43F5-ADDB-709C8C2039D1}" name="Column10137" dataCellStyle="Normal 2"/>
    <tableColumn id="10153" xr3:uid="{76AAA498-7C5F-4195-BF82-AC4F7072188B}" name="Column10138" dataCellStyle="Normal 2"/>
    <tableColumn id="10154" xr3:uid="{4ADA908E-7A98-44EC-A54A-66D69975C5D3}" name="Column10139" dataCellStyle="Normal 2"/>
    <tableColumn id="10155" xr3:uid="{973A63C3-874C-45B0-BFD2-B67111481E18}" name="Column10140" dataCellStyle="Normal 2"/>
    <tableColumn id="10156" xr3:uid="{E508BF62-9DB5-4371-8594-D7D1B5A01B74}" name="Column10141" dataCellStyle="Normal 2"/>
    <tableColumn id="10157" xr3:uid="{C89CCDE9-0ABA-44AA-91CC-5A4304E43006}" name="Column10142" dataCellStyle="Normal 2"/>
    <tableColumn id="10158" xr3:uid="{F23D6F1D-F7C3-484F-8CD4-26036021C59B}" name="Column10143" dataCellStyle="Normal 2"/>
    <tableColumn id="10159" xr3:uid="{54CE7DC5-C843-48AE-9CED-E1D4E3F1D873}" name="Column10144" dataCellStyle="Normal 2"/>
    <tableColumn id="10160" xr3:uid="{54B7C297-F158-409B-A38F-919594241335}" name="Column10145" dataCellStyle="Normal 2"/>
    <tableColumn id="10161" xr3:uid="{CBC88A3C-7DA4-4530-ACD2-0B47D1E26CF0}" name="Column10146" dataCellStyle="Normal 2"/>
    <tableColumn id="10162" xr3:uid="{F2636ADD-6EA4-498F-8537-D7A0B16F23EC}" name="Column10147" dataCellStyle="Normal 2"/>
    <tableColumn id="10163" xr3:uid="{252DB6E0-DCF5-43DF-BD06-E39A9E1AD194}" name="Column10148" dataCellStyle="Normal 2"/>
    <tableColumn id="10164" xr3:uid="{4355B3AC-8FBE-4C61-A3DC-675FB45C8E97}" name="Column10149" dataCellStyle="Normal 2"/>
    <tableColumn id="10165" xr3:uid="{25B636EA-5E5D-4DDA-99FD-4F26C7BFE14E}" name="Column10150" dataCellStyle="Normal 2"/>
    <tableColumn id="10166" xr3:uid="{5BE7C254-4FAA-4847-8CE9-D137A8F100FD}" name="Column10151" dataCellStyle="Normal 2"/>
    <tableColumn id="10167" xr3:uid="{C34295D9-8CF2-47E8-9399-FD2C24CF6CFF}" name="Column10152" dataCellStyle="Normal 2"/>
    <tableColumn id="10168" xr3:uid="{1B1AFFE4-4A8D-4868-A3CF-D868A3BF71B6}" name="Column10153" dataCellStyle="Normal 2"/>
    <tableColumn id="10169" xr3:uid="{A7D4BFC1-5FC7-4B11-BC80-4A4C440CE0D7}" name="Column10154" dataCellStyle="Normal 2"/>
    <tableColumn id="10170" xr3:uid="{5B0F735D-2005-4633-9E04-280250ED734B}" name="Column10155" dataCellStyle="Normal 2"/>
    <tableColumn id="10171" xr3:uid="{7246DD3A-F61C-460E-A72C-5350ED72393E}" name="Column10156" dataCellStyle="Normal 2"/>
    <tableColumn id="10172" xr3:uid="{E96A80B1-E37A-4FC9-A166-01CED4CA7E71}" name="Column10157" dataCellStyle="Normal 2"/>
    <tableColumn id="10173" xr3:uid="{9465B56D-4143-43D3-933C-BD07C4E4911F}" name="Column10158" dataCellStyle="Normal 2"/>
    <tableColumn id="10174" xr3:uid="{D58830F8-ECBF-4857-A943-9F4F12778971}" name="Column10159" dataCellStyle="Normal 2"/>
    <tableColumn id="10175" xr3:uid="{38DF5C29-12F2-4DA9-9DD6-3EE71B44749C}" name="Column10160" dataCellStyle="Normal 2"/>
    <tableColumn id="10176" xr3:uid="{3DEA08DE-E6C6-4CDA-A8C2-9248BC99E86B}" name="Column10161" dataCellStyle="Normal 2"/>
    <tableColumn id="10177" xr3:uid="{2826DE1D-D5B9-49D0-A2BF-B9E115B0C4C4}" name="Column10162" dataCellStyle="Normal 2"/>
    <tableColumn id="10178" xr3:uid="{042DA4A3-601C-443A-AF2A-C0C17E66B546}" name="Column10163" dataCellStyle="Normal 2"/>
    <tableColumn id="10179" xr3:uid="{5734EC27-CA96-4468-87A7-AFA91249EC40}" name="Column10164" dataCellStyle="Normal 2"/>
    <tableColumn id="10180" xr3:uid="{2131A287-DBAC-4BF0-93E3-AA41C6D98CE2}" name="Column10165" dataCellStyle="Normal 2"/>
    <tableColumn id="10181" xr3:uid="{2458CFB7-B0B3-47A5-B499-2C8A3C1CA3F5}" name="Column10166" dataCellStyle="Normal 2"/>
    <tableColumn id="10182" xr3:uid="{6CBCB4F7-D48D-4909-9EA5-1EE16383EECC}" name="Column10167" dataCellStyle="Normal 2"/>
    <tableColumn id="10183" xr3:uid="{7D73CE9F-2326-4AFC-B466-DAA172A23EFE}" name="Column10168" dataCellStyle="Normal 2"/>
    <tableColumn id="10184" xr3:uid="{3E4A6226-DD23-41BC-87E1-ED2588030153}" name="Column10169" dataCellStyle="Normal 2"/>
    <tableColumn id="10185" xr3:uid="{892391F0-5635-4ECE-83C2-E42945BDFD68}" name="Column10170" dataCellStyle="Normal 2"/>
    <tableColumn id="10186" xr3:uid="{BA93884B-0D0F-47AF-B601-D315DE716656}" name="Column10171" dataCellStyle="Normal 2"/>
    <tableColumn id="10187" xr3:uid="{42D0945A-ED6B-4FEC-8830-B233DAB04418}" name="Column10172" dataCellStyle="Normal 2"/>
    <tableColumn id="10188" xr3:uid="{DE2CFAD8-4AA6-4F4A-A71C-1B548E8633B0}" name="Column10173" dataCellStyle="Normal 2"/>
    <tableColumn id="10189" xr3:uid="{C9F3B889-6E6A-41B8-B7AB-059C795AEB8E}" name="Column10174" dataCellStyle="Normal 2"/>
    <tableColumn id="10190" xr3:uid="{5D460F95-9F41-4830-8693-0D27AC5DCF2A}" name="Column10175" dataCellStyle="Normal 2"/>
    <tableColumn id="10191" xr3:uid="{2EDD18C2-86E1-4728-A58B-911EFC64C0D5}" name="Column10176" dataCellStyle="Normal 2"/>
    <tableColumn id="10192" xr3:uid="{0D1CC423-527C-4654-B674-95B5492E4328}" name="Column10177" dataCellStyle="Normal 2"/>
    <tableColumn id="10193" xr3:uid="{8FB661D0-5485-4209-80C8-FA667F265E6C}" name="Column10178" dataCellStyle="Normal 2"/>
    <tableColumn id="10194" xr3:uid="{037251B1-9A39-4EF4-AF56-E91B1784E44F}" name="Column10179" dataCellStyle="Normal 2"/>
    <tableColumn id="10195" xr3:uid="{77319F2F-7BDE-4A9B-81F6-AFAF13582C33}" name="Column10180" dataCellStyle="Normal 2"/>
    <tableColumn id="10196" xr3:uid="{875E44AF-3BCA-4A87-9CCD-17BC3A212AAB}" name="Column10181" dataCellStyle="Normal 2"/>
    <tableColumn id="10197" xr3:uid="{A978D9B6-2F40-4CF2-896C-843E6DC5E5DA}" name="Column10182" dataCellStyle="Normal 2"/>
    <tableColumn id="10198" xr3:uid="{96C16FE3-E0E1-4B00-9B4E-E40A1A2BED86}" name="Column10183" dataCellStyle="Normal 2"/>
    <tableColumn id="10199" xr3:uid="{C078D2A8-F4F6-4D71-9B23-B7545429DF75}" name="Column10184" dataCellStyle="Normal 2"/>
    <tableColumn id="10200" xr3:uid="{1E01774C-DD3F-4E27-AC7E-C0FD5B879F80}" name="Column10185" dataCellStyle="Normal 2"/>
    <tableColumn id="10201" xr3:uid="{2BB238A8-2AC9-4B30-BEDD-6016266D90C4}" name="Column10186" dataCellStyle="Normal 2"/>
    <tableColumn id="10202" xr3:uid="{AC786D88-6564-412E-943C-F45DC44602EA}" name="Column10187" dataCellStyle="Normal 2"/>
    <tableColumn id="10203" xr3:uid="{E107F6F9-A162-46FA-A025-602D55814F80}" name="Column10188" dataCellStyle="Normal 2"/>
    <tableColumn id="10204" xr3:uid="{6FEDA353-F546-4CAD-9399-97633B32764F}" name="Column10189" dataCellStyle="Normal 2"/>
    <tableColumn id="10205" xr3:uid="{F7216979-F7BA-47D6-9B41-C781F530100B}" name="Column10190" dataCellStyle="Normal 2"/>
    <tableColumn id="10206" xr3:uid="{BEF375DA-81E7-4C71-9E35-D4A8275E157E}" name="Column10191" dataCellStyle="Normal 2"/>
    <tableColumn id="10207" xr3:uid="{51760E85-0CA8-44F3-8ECE-571E9914054E}" name="Column10192" dataCellStyle="Normal 2"/>
    <tableColumn id="10208" xr3:uid="{C0FEC10A-8723-463A-9A98-9CF3DFEC1636}" name="Column10193" dataCellStyle="Normal 2"/>
    <tableColumn id="10209" xr3:uid="{ABD8710C-E65F-4101-AA43-EB5D36162A44}" name="Column10194" dataCellStyle="Normal 2"/>
    <tableColumn id="10210" xr3:uid="{4AE9958C-C745-44A4-8AFA-76D3F3E9AF5D}" name="Column10195" dataCellStyle="Normal 2"/>
    <tableColumn id="10211" xr3:uid="{0969465F-A387-49EC-A7EA-B6131470404B}" name="Column10196" dataCellStyle="Normal 2"/>
    <tableColumn id="10212" xr3:uid="{66BB5A1B-6BE1-4D4E-B44C-516D5A4C092D}" name="Column10197" dataCellStyle="Normal 2"/>
    <tableColumn id="10213" xr3:uid="{73A76D1A-5178-406B-BFDF-E3EB8326D473}" name="Column10198" dataCellStyle="Normal 2"/>
    <tableColumn id="10214" xr3:uid="{9A8F4F72-1BF9-44A2-B5BB-7E10EA387DE4}" name="Column10199" dataCellStyle="Normal 2"/>
    <tableColumn id="10215" xr3:uid="{C052CA18-0440-4DF7-A69D-A399A10B8B3C}" name="Column10200" dataCellStyle="Normal 2"/>
    <tableColumn id="10216" xr3:uid="{50A517A2-DFC6-480C-B48D-A5CE38147044}" name="Column10201" dataCellStyle="Normal 2"/>
    <tableColumn id="10217" xr3:uid="{436E170D-474D-44A5-8B3E-8C9FC909BDF1}" name="Column10202" dataCellStyle="Normal 2"/>
    <tableColumn id="10218" xr3:uid="{DE5F4A28-B5D2-4B68-AA80-DA3B7C779B10}" name="Column10203" dataCellStyle="Normal 2"/>
    <tableColumn id="10219" xr3:uid="{51FBED52-241A-498E-808A-9246915E63E1}" name="Column10204" dataCellStyle="Normal 2"/>
    <tableColumn id="10220" xr3:uid="{4D6CF577-AB0F-47A2-8C63-C09785A18E37}" name="Column10205" dataCellStyle="Normal 2"/>
    <tableColumn id="10221" xr3:uid="{0327A845-ACAD-4749-910B-96899ED1F3E4}" name="Column10206" dataCellStyle="Normal 2"/>
    <tableColumn id="10222" xr3:uid="{EBBD76DC-82D3-453C-98A4-23A13C7CD0A0}" name="Column10207" dataCellStyle="Normal 2"/>
    <tableColumn id="10223" xr3:uid="{95D7CF53-0328-4DAB-98C4-7E6EA82F32F5}" name="Column10208" dataCellStyle="Normal 2"/>
    <tableColumn id="10224" xr3:uid="{883A1DFB-5C08-41AF-ACCB-5228901CCB6E}" name="Column10209" dataCellStyle="Normal 2"/>
    <tableColumn id="10225" xr3:uid="{54E4E087-DB7D-44B5-8E8C-71461EDAB386}" name="Column10210" dataCellStyle="Normal 2"/>
    <tableColumn id="10226" xr3:uid="{7D3E79F0-94A0-4785-A199-CA8C620D9E97}" name="Column10211" dataCellStyle="Normal 2"/>
    <tableColumn id="10227" xr3:uid="{E38CA260-9F87-4B6C-8E53-1E21A77F0852}" name="Column10212" dataCellStyle="Normal 2"/>
    <tableColumn id="10228" xr3:uid="{B8534DA1-2F43-4486-BCCD-FB65D75BEB7A}" name="Column10213" dataCellStyle="Normal 2"/>
    <tableColumn id="10229" xr3:uid="{BB7B5093-BADB-4150-BF32-394D2A9AD9CE}" name="Column10214" dataCellStyle="Normal 2"/>
    <tableColumn id="10230" xr3:uid="{EF3FEBB7-ADD8-4F97-B630-51B8E6CDE4C0}" name="Column10215" dataCellStyle="Normal 2"/>
    <tableColumn id="10231" xr3:uid="{59493428-8F73-4E45-A856-796511F02C8B}" name="Column10216" dataCellStyle="Normal 2"/>
    <tableColumn id="10232" xr3:uid="{B56C2119-5CA7-4377-904A-E46D7B71E4BA}" name="Column10217" dataCellStyle="Normal 2"/>
    <tableColumn id="10233" xr3:uid="{29F76C2E-FC23-4100-9F73-FE13CA433733}" name="Column10218" dataCellStyle="Normal 2"/>
    <tableColumn id="10234" xr3:uid="{420D9D9D-4074-4323-8399-8AAD02F74E70}" name="Column10219" dataCellStyle="Normal 2"/>
    <tableColumn id="10235" xr3:uid="{130FCFBC-844F-4C99-B6C9-7DD649711011}" name="Column10220" dataCellStyle="Normal 2"/>
    <tableColumn id="10236" xr3:uid="{810EFE21-BB9F-4DA8-937D-9BAD346083E6}" name="Column10221" dataCellStyle="Normal 2"/>
    <tableColumn id="10237" xr3:uid="{755CE198-967C-480A-BA14-41A90DCE7A1C}" name="Column10222" dataCellStyle="Normal 2"/>
    <tableColumn id="10238" xr3:uid="{4EBE87F9-DF03-4DA3-9627-3F8879A8D175}" name="Column10223" dataCellStyle="Normal 2"/>
    <tableColumn id="10239" xr3:uid="{0949E9A7-BE1B-4581-BD2D-55128D8BA02F}" name="Column10224" dataCellStyle="Normal 2"/>
    <tableColumn id="10240" xr3:uid="{E082A190-7080-44A0-8D78-8A074FEB7D9C}" name="Column10225" dataCellStyle="Normal 2"/>
    <tableColumn id="10241" xr3:uid="{C5AB3970-5C51-4C3E-9C79-3A6765C468BF}" name="Column10226" dataCellStyle="Normal 2"/>
    <tableColumn id="10242" xr3:uid="{5E8C7B09-A93A-442D-AF73-B068832A2C72}" name="Column10227" dataCellStyle="Normal 2"/>
    <tableColumn id="10243" xr3:uid="{240F4DF0-B9D8-4ED8-985C-69CB646641A7}" name="Column10228" dataCellStyle="Normal 2"/>
    <tableColumn id="10244" xr3:uid="{176AC6A2-A8F1-4AB2-ADF7-84FF0A7F0888}" name="Column10229" dataCellStyle="Normal 2"/>
    <tableColumn id="10245" xr3:uid="{1AEF75FC-0E89-49E5-8A43-D6DC97323ADE}" name="Column10230" dataCellStyle="Normal 2"/>
    <tableColumn id="10246" xr3:uid="{6B630716-99D7-4CA6-A4B5-04179CF1E174}" name="Column10231" dataCellStyle="Normal 2"/>
    <tableColumn id="10247" xr3:uid="{4BF3E78F-CB8D-4401-84B9-B1E2F7C7D46E}" name="Column10232" dataCellStyle="Normal 2"/>
    <tableColumn id="10248" xr3:uid="{20D67861-C3A1-4EB9-936F-05697821B92A}" name="Column10233" dataCellStyle="Normal 2"/>
    <tableColumn id="10249" xr3:uid="{BBB81D3C-959D-444A-93E4-D19A2FD5E710}" name="Column10234" dataCellStyle="Normal 2"/>
    <tableColumn id="10250" xr3:uid="{68EDCEB9-CC61-4A17-81CF-35A1F760D723}" name="Column10235" dataCellStyle="Normal 2"/>
    <tableColumn id="10251" xr3:uid="{CEA71444-4D93-469D-910E-8C3E48174D75}" name="Column10236" dataCellStyle="Normal 2"/>
    <tableColumn id="10252" xr3:uid="{C2E0AEA8-521A-4EA7-B54B-A745CC17A808}" name="Column10237" dataCellStyle="Normal 2"/>
    <tableColumn id="10253" xr3:uid="{763917C1-5F23-4FA6-B631-F525B31E6427}" name="Column10238" dataCellStyle="Normal 2"/>
    <tableColumn id="10254" xr3:uid="{44D1305B-5FB4-4B6C-8DB1-1B88339CA9CE}" name="Column10239" dataCellStyle="Normal 2"/>
    <tableColumn id="10255" xr3:uid="{49A143E6-070E-455A-B1BB-FC7357642124}" name="Column10240" dataCellStyle="Normal 2"/>
    <tableColumn id="10256" xr3:uid="{39869B49-B23D-42D6-98D2-B6AB3D7D802F}" name="Column10241" dataCellStyle="Normal 2"/>
    <tableColumn id="10257" xr3:uid="{CAD974F4-3B27-4CF1-8CCC-699DDEE08ABD}" name="Column10242" dataCellStyle="Normal 2"/>
    <tableColumn id="10258" xr3:uid="{2B84AD9B-5121-435F-A69E-6048276437C3}" name="Column10243" dataCellStyle="Normal 2"/>
    <tableColumn id="10259" xr3:uid="{1A7D49E7-746D-4DB0-9F23-FDCD8392E3F9}" name="Column10244" dataCellStyle="Normal 2"/>
    <tableColumn id="10260" xr3:uid="{CB21C651-C37E-471F-9ED9-F8E7D8C8A952}" name="Column10245" dataCellStyle="Normal 2"/>
    <tableColumn id="10261" xr3:uid="{67E1739A-8C23-4830-B175-3F05D2A5BE40}" name="Column10246" dataCellStyle="Normal 2"/>
    <tableColumn id="10262" xr3:uid="{CAB8489B-B5F3-4A5D-9A1C-441503E43422}" name="Column10247" dataCellStyle="Normal 2"/>
    <tableColumn id="10263" xr3:uid="{3B955AFF-178B-45D0-ACEC-CC60D7F9A29D}" name="Column10248" dataCellStyle="Normal 2"/>
    <tableColumn id="10264" xr3:uid="{D841CF9E-C22A-43F1-A097-74F824C9E420}" name="Column10249" dataCellStyle="Normal 2"/>
    <tableColumn id="10265" xr3:uid="{7F1BFF9A-55F4-465A-846A-51493E11C926}" name="Column10250" dataCellStyle="Normal 2"/>
    <tableColumn id="10266" xr3:uid="{F5F99744-B230-4404-972A-DC0D215D24B7}" name="Column10251" dataCellStyle="Normal 2"/>
    <tableColumn id="10267" xr3:uid="{7E65D353-938B-4A32-9A6D-21CA05DFB532}" name="Column10252" dataCellStyle="Normal 2"/>
    <tableColumn id="10268" xr3:uid="{BB04A70F-EACC-4DE9-A3AF-3C5BFD4F143D}" name="Column10253" dataCellStyle="Normal 2"/>
    <tableColumn id="10269" xr3:uid="{A1E68055-93A2-455E-BC03-06584C014570}" name="Column10254" dataCellStyle="Normal 2"/>
    <tableColumn id="10270" xr3:uid="{A37A85B7-F54C-4632-A483-636216F49DBD}" name="Column10255" dataCellStyle="Normal 2"/>
    <tableColumn id="10271" xr3:uid="{474A6DCD-B155-4D7D-9B2D-16B5297E6EAB}" name="Column10256" dataCellStyle="Normal 2"/>
    <tableColumn id="10272" xr3:uid="{DF04F12A-8444-4B63-81B4-E1374ED74928}" name="Column10257" dataCellStyle="Normal 2"/>
    <tableColumn id="10273" xr3:uid="{6DC42099-2D28-46A6-BD48-1E813A26C562}" name="Column10258" dataCellStyle="Normal 2"/>
    <tableColumn id="10274" xr3:uid="{80D9D577-B99B-4B0D-B4D9-BC2295A5303E}" name="Column10259" dataCellStyle="Normal 2"/>
    <tableColumn id="10275" xr3:uid="{D794EE41-182D-48F5-8194-3E6AFB777AF9}" name="Column10260" dataCellStyle="Normal 2"/>
    <tableColumn id="10276" xr3:uid="{1E2F274D-CE89-4C77-949C-FF500D46DD5F}" name="Column10261" dataCellStyle="Normal 2"/>
    <tableColumn id="10277" xr3:uid="{A1BDB417-F32A-46D5-9FA6-57737B179F32}" name="Column10262" dataCellStyle="Normal 2"/>
    <tableColumn id="10278" xr3:uid="{36DF63A7-4DE9-4135-8B89-98304F0F177C}" name="Column10263" dataCellStyle="Normal 2"/>
    <tableColumn id="10279" xr3:uid="{EA24853F-E542-4C7F-A91E-881A7C1B3706}" name="Column10264" dataCellStyle="Normal 2"/>
    <tableColumn id="10280" xr3:uid="{D75C2EBD-AD45-468B-88E9-20CA72529B15}" name="Column10265" dataCellStyle="Normal 2"/>
    <tableColumn id="10281" xr3:uid="{1142B6DE-F43E-449F-AC39-6F40F6FF8A2C}" name="Column10266" dataCellStyle="Normal 2"/>
    <tableColumn id="10282" xr3:uid="{324383C8-4E7C-4020-885F-A565957DC689}" name="Column10267" dataCellStyle="Normal 2"/>
    <tableColumn id="10283" xr3:uid="{2E5B8FF0-79B6-4842-BC0E-74B113E034E2}" name="Column10268" dataCellStyle="Normal 2"/>
    <tableColumn id="10284" xr3:uid="{81819C76-6228-4194-8D6E-69D27989CE70}" name="Column10269" dataCellStyle="Normal 2"/>
    <tableColumn id="10285" xr3:uid="{174D6E65-6973-48DD-B4EB-77548C662221}" name="Column10270" dataCellStyle="Normal 2"/>
    <tableColumn id="10286" xr3:uid="{110BF682-D096-49CA-9DF0-E8252E087F83}" name="Column10271" dataCellStyle="Normal 2"/>
    <tableColumn id="10287" xr3:uid="{10502395-9540-4BB0-8FE0-9FBE60537CE4}" name="Column10272" dataCellStyle="Normal 2"/>
    <tableColumn id="10288" xr3:uid="{B7D6171D-B8EF-4A16-A526-8D1EC969FD2D}" name="Column10273" dataCellStyle="Normal 2"/>
    <tableColumn id="10289" xr3:uid="{2BA84EDB-88A2-4382-A9CE-42AF0AA4DF50}" name="Column10274" dataCellStyle="Normal 2"/>
    <tableColumn id="10290" xr3:uid="{EB6536A1-ED45-4E76-A523-484F379388AF}" name="Column10275" dataCellStyle="Normal 2"/>
    <tableColumn id="10291" xr3:uid="{223B9FC2-67AC-4871-A1E2-82B997D17836}" name="Column10276" dataCellStyle="Normal 2"/>
    <tableColumn id="10292" xr3:uid="{5D98CB88-79A4-4661-A5C0-05A017ADBFF3}" name="Column10277" dataCellStyle="Normal 2"/>
    <tableColumn id="10293" xr3:uid="{9CD1C960-A283-40FE-BBA6-BCCEDCA58EB1}" name="Column10278" dataCellStyle="Normal 2"/>
    <tableColumn id="10294" xr3:uid="{C2DF50D0-3030-4C14-B350-11FA58D0A33A}" name="Column10279" dataCellStyle="Normal 2"/>
    <tableColumn id="10295" xr3:uid="{528B4740-501A-4DE5-A9B2-CD00BFE548F7}" name="Column10280" dataCellStyle="Normal 2"/>
    <tableColumn id="10296" xr3:uid="{2BFD79CD-E9CE-44D9-BD9D-F83D199CE23C}" name="Column10281" dataCellStyle="Normal 2"/>
    <tableColumn id="10297" xr3:uid="{813B3BCC-4A7B-4A48-8383-767CDBBC1A66}" name="Column10282" dataCellStyle="Normal 2"/>
    <tableColumn id="10298" xr3:uid="{819793BE-B499-4118-9597-5BEB55C261D4}" name="Column10283" dataCellStyle="Normal 2"/>
    <tableColumn id="10299" xr3:uid="{CB67A569-C3A5-4E92-B7EE-3C7688651122}" name="Column10284" dataCellStyle="Normal 2"/>
    <tableColumn id="10300" xr3:uid="{3833B93A-B743-4BF0-A89A-3A2B14D124B3}" name="Column10285" dataCellStyle="Normal 2"/>
    <tableColumn id="10301" xr3:uid="{3B3ED78E-8D5C-4207-BC26-D571C5C8D9A6}" name="Column10286" dataCellStyle="Normal 2"/>
    <tableColumn id="10302" xr3:uid="{183F3534-592D-4D6E-90C7-D46DE4540E94}" name="Column10287" dataCellStyle="Normal 2"/>
    <tableColumn id="10303" xr3:uid="{B1216F42-B6A0-40F9-A902-65C2981CA599}" name="Column10288" dataCellStyle="Normal 2"/>
    <tableColumn id="10304" xr3:uid="{A324859E-E125-4C70-B40E-92096D1D8B07}" name="Column10289" dataCellStyle="Normal 2"/>
    <tableColumn id="10305" xr3:uid="{6ABFCB5F-5B43-4347-98A3-B9E84584077B}" name="Column10290" dataCellStyle="Normal 2"/>
    <tableColumn id="10306" xr3:uid="{87AFEC1A-A4AF-458E-8B2C-62976EC5084E}" name="Column10291" dataCellStyle="Normal 2"/>
    <tableColumn id="10307" xr3:uid="{41BA8F2F-9BF8-4945-B04F-89F7F7ECB8B2}" name="Column10292" dataCellStyle="Normal 2"/>
    <tableColumn id="10308" xr3:uid="{9476567E-A1F1-45C8-A9F4-14483421BE82}" name="Column10293" dataCellStyle="Normal 2"/>
    <tableColumn id="10309" xr3:uid="{024CA4FD-F4D5-435D-97A9-AE59B61FB052}" name="Column10294" dataCellStyle="Normal 2"/>
    <tableColumn id="10310" xr3:uid="{5CA957F6-5BC3-4C41-BE2A-9AF504884033}" name="Column10295" dataCellStyle="Normal 2"/>
    <tableColumn id="10311" xr3:uid="{1AD532CC-5E90-4AD9-9378-FAE8865E5A73}" name="Column10296" dataCellStyle="Normal 2"/>
    <tableColumn id="10312" xr3:uid="{6E1AB02B-D09B-40A7-8B64-B392C09273C1}" name="Column10297" dataCellStyle="Normal 2"/>
    <tableColumn id="10313" xr3:uid="{C3DA1962-E258-4BB9-AFA2-F07073B00B13}" name="Column10298" dataCellStyle="Normal 2"/>
    <tableColumn id="10314" xr3:uid="{43224AE7-8D67-4F77-83E7-70DC36085D3F}" name="Column10299" dataCellStyle="Normal 2"/>
    <tableColumn id="10315" xr3:uid="{8DFB8DCF-9AEC-4713-8609-3F159737DE6E}" name="Column10300" dataCellStyle="Normal 2"/>
    <tableColumn id="10316" xr3:uid="{C58DB699-22D7-4B4E-BC51-4F1276BA67C9}" name="Column10301" dataCellStyle="Normal 2"/>
    <tableColumn id="10317" xr3:uid="{58490EA0-012D-4126-8092-AAAD491FE9EF}" name="Column10302" dataCellStyle="Normal 2"/>
    <tableColumn id="10318" xr3:uid="{DB2CD7C7-2335-46F0-BCF9-3F831A2E7AA1}" name="Column10303" dataCellStyle="Normal 2"/>
    <tableColumn id="10319" xr3:uid="{F8F52876-A94A-4ACA-A142-3D05AD112469}" name="Column10304" dataCellStyle="Normal 2"/>
    <tableColumn id="10320" xr3:uid="{BEC58981-BC6E-4E95-B996-4BF3457660A2}" name="Column10305" dataCellStyle="Normal 2"/>
    <tableColumn id="10321" xr3:uid="{3270D9AB-B189-452C-900B-58088368C6A9}" name="Column10306" dataCellStyle="Normal 2"/>
    <tableColumn id="10322" xr3:uid="{A03EF9E3-7319-4D63-B684-2F2A6B6D01E1}" name="Column10307" dataCellStyle="Normal 2"/>
    <tableColumn id="10323" xr3:uid="{B0E6CB91-1107-4BCE-A808-62ECFDFF2E3A}" name="Column10308" dataCellStyle="Normal 2"/>
    <tableColumn id="10324" xr3:uid="{9230E09A-7A8C-4514-A0B0-2DBF4F07ECF1}" name="Column10309" dataCellStyle="Normal 2"/>
    <tableColumn id="10325" xr3:uid="{E52BBE63-A383-44F3-AC35-3FB78ED6D337}" name="Column10310" dataCellStyle="Normal 2"/>
    <tableColumn id="10326" xr3:uid="{7EAFD941-72F9-4ACD-BEF9-3C2C7B1965C9}" name="Column10311" dataCellStyle="Normal 2"/>
    <tableColumn id="10327" xr3:uid="{0513D902-33C2-4E96-8F5D-98172D27C84A}" name="Column10312" dataCellStyle="Normal 2"/>
    <tableColumn id="10328" xr3:uid="{91509A1C-3D6F-40CC-80C9-8DF08764886D}" name="Column10313" dataCellStyle="Normal 2"/>
    <tableColumn id="10329" xr3:uid="{C6FDC7E4-FCBD-4B87-9535-B96694758C63}" name="Column10314" dataCellStyle="Normal 2"/>
    <tableColumn id="10330" xr3:uid="{2AD97EC4-ED58-4BB9-95F8-B5CCB1B06AC1}" name="Column10315" dataCellStyle="Normal 2"/>
    <tableColumn id="10331" xr3:uid="{A027CA9F-232B-4888-B04C-7D672961B351}" name="Column10316" dataCellStyle="Normal 2"/>
    <tableColumn id="10332" xr3:uid="{D97BE8AE-751C-4A12-A9E6-4A091E86FE2E}" name="Column10317" dataCellStyle="Normal 2"/>
    <tableColumn id="10333" xr3:uid="{6440A70E-7C6C-4094-9F64-E461598048D9}" name="Column10318" dataCellStyle="Normal 2"/>
    <tableColumn id="10334" xr3:uid="{110AA25A-17DA-4C2F-AE29-2798209ED692}" name="Column10319" dataCellStyle="Normal 2"/>
    <tableColumn id="10335" xr3:uid="{75C6ADB0-B421-4FF8-A6CD-866A1B430642}" name="Column10320" dataCellStyle="Normal 2"/>
    <tableColumn id="10336" xr3:uid="{0ECE8971-9390-40E5-B4C3-C28670889D2B}" name="Column10321" dataCellStyle="Normal 2"/>
    <tableColumn id="10337" xr3:uid="{ADBD6A27-9643-478F-90F7-6548A6BC30C4}" name="Column10322" dataCellStyle="Normal 2"/>
    <tableColumn id="10338" xr3:uid="{830BA304-7513-4313-8CF6-3396B47ECE2C}" name="Column10323" dataCellStyle="Normal 2"/>
    <tableColumn id="10339" xr3:uid="{13B920F5-6FAD-49D1-A2A2-BA261AB8594E}" name="Column10324" dataCellStyle="Normal 2"/>
    <tableColumn id="10340" xr3:uid="{E9845193-23C7-4362-B86C-D585DD58234D}" name="Column10325" dataCellStyle="Normal 2"/>
    <tableColumn id="10341" xr3:uid="{23E0BE51-15DA-429D-85E6-0AF6ADD40963}" name="Column10326" dataCellStyle="Normal 2"/>
    <tableColumn id="10342" xr3:uid="{69698CEF-5FEC-4C7B-B58C-91A6C69B726E}" name="Column10327" dataCellStyle="Normal 2"/>
    <tableColumn id="10343" xr3:uid="{F51432EF-BA5D-4FB5-A425-0747A5BB4511}" name="Column10328" dataCellStyle="Normal 2"/>
    <tableColumn id="10344" xr3:uid="{30BB005E-75B5-4172-B0EE-E426F8450CA7}" name="Column10329" dataCellStyle="Normal 2"/>
    <tableColumn id="10345" xr3:uid="{2F413550-85A4-4E97-962E-B09D40FE7D71}" name="Column10330" dataCellStyle="Normal 2"/>
    <tableColumn id="10346" xr3:uid="{F89BA691-EA9C-4D51-90AB-8A0412C34754}" name="Column10331" dataCellStyle="Normal 2"/>
    <tableColumn id="10347" xr3:uid="{7B7590FA-2979-40EF-BBCB-618E093DE2E8}" name="Column10332" dataCellStyle="Normal 2"/>
    <tableColumn id="10348" xr3:uid="{7A04A2CA-850B-4E5D-AC31-245B2E8EAE80}" name="Column10333" dataCellStyle="Normal 2"/>
    <tableColumn id="10349" xr3:uid="{597C5158-030B-4D27-A987-8534A1127794}" name="Column10334" dataCellStyle="Normal 2"/>
    <tableColumn id="10350" xr3:uid="{0394F7FF-BFA5-441C-B86B-AB03A2B638EC}" name="Column10335" dataCellStyle="Normal 2"/>
    <tableColumn id="10351" xr3:uid="{734F158D-525B-4A55-9F20-315ED0AC5559}" name="Column10336" dataCellStyle="Normal 2"/>
    <tableColumn id="10352" xr3:uid="{52B43E22-C8BB-4158-8058-7B6B873C48F3}" name="Column10337" dataCellStyle="Normal 2"/>
    <tableColumn id="10353" xr3:uid="{80626D29-B25F-4F91-9646-A8A9D5DF34D5}" name="Column10338" dataCellStyle="Normal 2"/>
    <tableColumn id="10354" xr3:uid="{03E4767B-3F9D-43AF-9A83-4CE7D9010357}" name="Column10339" dataCellStyle="Normal 2"/>
    <tableColumn id="10355" xr3:uid="{F69AD385-8FB4-41BE-9A3B-C3CF45636FE0}" name="Column10340" dataCellStyle="Normal 2"/>
    <tableColumn id="10356" xr3:uid="{9288597B-C4F0-465F-B205-0E31F5B6F898}" name="Column10341" dataCellStyle="Normal 2"/>
    <tableColumn id="10357" xr3:uid="{44DEEA69-7325-4354-9BE7-A27D317EF51C}" name="Column10342" dataCellStyle="Normal 2"/>
    <tableColumn id="10358" xr3:uid="{7590D352-8F1C-4138-8A79-BC81E551CD65}" name="Column10343" dataCellStyle="Normal 2"/>
    <tableColumn id="10359" xr3:uid="{A1E3A144-D34A-4F02-801A-234AC761E6B6}" name="Column10344" dataCellStyle="Normal 2"/>
    <tableColumn id="10360" xr3:uid="{F20F1998-3F7F-487B-BCA2-5FDA971F740D}" name="Column10345" dataCellStyle="Normal 2"/>
    <tableColumn id="10361" xr3:uid="{7C2771FA-4164-42AA-99E8-4C9718342153}" name="Column10346" dataCellStyle="Normal 2"/>
    <tableColumn id="10362" xr3:uid="{23E8F4E8-0C2C-4A18-A87E-170BB6D2B787}" name="Column10347" dataCellStyle="Normal 2"/>
    <tableColumn id="10363" xr3:uid="{4906761C-998F-4A25-8E7B-6EAB05972E88}" name="Column10348" dataCellStyle="Normal 2"/>
    <tableColumn id="10364" xr3:uid="{0792CFAA-A1A2-422B-8E4D-D4903C0E38D3}" name="Column10349" dataCellStyle="Normal 2"/>
    <tableColumn id="10365" xr3:uid="{A98733D4-395A-4511-87A7-240B86B8C804}" name="Column10350" dataCellStyle="Normal 2"/>
    <tableColumn id="10366" xr3:uid="{E0A613D6-2040-4648-86E5-5DA1433C32F8}" name="Column10351" dataCellStyle="Normal 2"/>
    <tableColumn id="10367" xr3:uid="{7AAB321F-0E29-406D-A57E-BF7E90DF508C}" name="Column10352" dataCellStyle="Normal 2"/>
    <tableColumn id="10368" xr3:uid="{9EB320CA-351E-4FBC-B649-7B938CAEC0CB}" name="Column10353" dataCellStyle="Normal 2"/>
    <tableColumn id="10369" xr3:uid="{E56F01EC-F830-4F7F-92E1-D674BA96DB96}" name="Column10354" dataCellStyle="Normal 2"/>
    <tableColumn id="10370" xr3:uid="{E0C5DB57-AE4F-47AD-8D1B-4AEE808E437C}" name="Column10355" dataCellStyle="Normal 2"/>
    <tableColumn id="10371" xr3:uid="{D59D8705-AF50-46E1-B32C-CCC592BAC1A1}" name="Column10356" dataCellStyle="Normal 2"/>
    <tableColumn id="10372" xr3:uid="{BEE110CB-81A5-4962-B649-F705365F5732}" name="Column10357" dataCellStyle="Normal 2"/>
    <tableColumn id="10373" xr3:uid="{430801A1-A9C5-45A4-A47D-9417115B9EF6}" name="Column10358" dataCellStyle="Normal 2"/>
    <tableColumn id="10374" xr3:uid="{E2343A9D-F86D-4E9E-8ED1-470944934FB0}" name="Column10359" dataCellStyle="Normal 2"/>
    <tableColumn id="10375" xr3:uid="{32F453E6-3616-45B8-9759-8D7E1E9F586C}" name="Column10360" dataCellStyle="Normal 2"/>
    <tableColumn id="10376" xr3:uid="{48C6BCD9-BE88-414C-8A22-F1B9F33796C2}" name="Column10361" dataCellStyle="Normal 2"/>
    <tableColumn id="10377" xr3:uid="{6F890AD2-7333-4FD6-80BC-674515BF303A}" name="Column10362" dataCellStyle="Normal 2"/>
    <tableColumn id="10378" xr3:uid="{944C9791-EE47-49FE-988C-23051B2F7234}" name="Column10363" dataCellStyle="Normal 2"/>
    <tableColumn id="10379" xr3:uid="{BC7503DA-C0D0-4B90-BC06-1B38055F7A5D}" name="Column10364" dataCellStyle="Normal 2"/>
    <tableColumn id="10380" xr3:uid="{9DC88278-10CD-489C-A823-EE624F24EB8F}" name="Column10365" dataCellStyle="Normal 2"/>
    <tableColumn id="10381" xr3:uid="{48833B52-7EC8-42F8-8261-6B9AB298FFC7}" name="Column10366" dataCellStyle="Normal 2"/>
    <tableColumn id="10382" xr3:uid="{5F1A68DB-2A6A-4D26-A4FC-9F008CDF6E7B}" name="Column10367" dataCellStyle="Normal 2"/>
    <tableColumn id="10383" xr3:uid="{03A8AECE-B6F8-4E1A-8071-77A3950ECB61}" name="Column10368" dataCellStyle="Normal 2"/>
    <tableColumn id="10384" xr3:uid="{789B461E-5F29-4D8D-BE3B-8B9CC45C40F6}" name="Column10369" dataCellStyle="Normal 2"/>
    <tableColumn id="10385" xr3:uid="{EE984935-54BF-4134-9011-B45070643140}" name="Column10370" dataCellStyle="Normal 2"/>
    <tableColumn id="10386" xr3:uid="{26E35CB1-9608-49E6-86AF-6665242D169B}" name="Column10371" dataCellStyle="Normal 2"/>
    <tableColumn id="10387" xr3:uid="{0BF13A9C-43FA-4F9B-8A55-9ED824B01CF7}" name="Column10372" dataCellStyle="Normal 2"/>
    <tableColumn id="10388" xr3:uid="{316C61C3-45C8-4692-B0F5-4A35246EDBD7}" name="Column10373" dataCellStyle="Normal 2"/>
    <tableColumn id="10389" xr3:uid="{7A9768EA-A170-4AF9-814F-2A8A6FDB8905}" name="Column10374" dataCellStyle="Normal 2"/>
    <tableColumn id="10390" xr3:uid="{6777C317-2014-4C45-92C3-5E9FA65F85F1}" name="Column10375" dataCellStyle="Normal 2"/>
    <tableColumn id="10391" xr3:uid="{DDE1C538-F311-4E11-AD6F-7B8C401F4F1E}" name="Column10376" dataCellStyle="Normal 2"/>
    <tableColumn id="10392" xr3:uid="{BEED8735-CA4E-4AB1-A6C8-94DA6B250799}" name="Column10377" dataCellStyle="Normal 2"/>
    <tableColumn id="10393" xr3:uid="{08B8ECAB-A4BE-40D8-AF1B-BC30C16DFEEB}" name="Column10378" dataCellStyle="Normal 2"/>
    <tableColumn id="10394" xr3:uid="{69A0D2E5-56D0-4CEF-BC7B-2B82F3A30531}" name="Column10379" dataCellStyle="Normal 2"/>
    <tableColumn id="10395" xr3:uid="{15729A15-EA7F-4F0C-97B6-A225DD165078}" name="Column10380" dataCellStyle="Normal 2"/>
    <tableColumn id="10396" xr3:uid="{F110935D-07F2-4CD1-BC08-6821D0BAF051}" name="Column10381" dataCellStyle="Normal 2"/>
    <tableColumn id="10397" xr3:uid="{5DA2B60E-32E3-489E-8E2B-E376A49B070E}" name="Column10382" dataCellStyle="Normal 2"/>
    <tableColumn id="10398" xr3:uid="{D91F87CC-4F4B-4400-9B1F-8182A2F93150}" name="Column10383" dataCellStyle="Normal 2"/>
    <tableColumn id="10399" xr3:uid="{4CB54AF4-CDC6-4EF1-B16D-AC069AA51F88}" name="Column10384" dataCellStyle="Normal 2"/>
    <tableColumn id="10400" xr3:uid="{B385EB21-3328-46A1-AFD9-49D851D21916}" name="Column10385" dataCellStyle="Normal 2"/>
    <tableColumn id="10401" xr3:uid="{C30098C0-7F91-4348-ACF5-0F7C9941927A}" name="Column10386" dataCellStyle="Normal 2"/>
    <tableColumn id="10402" xr3:uid="{B43F6E0A-940B-4B19-BC1C-D7560B2AF68A}" name="Column10387" dataCellStyle="Normal 2"/>
    <tableColumn id="10403" xr3:uid="{68F6AA0B-BEE9-42FB-93B2-62E6C43C83E1}" name="Column10388" dataCellStyle="Normal 2"/>
    <tableColumn id="10404" xr3:uid="{C2F56920-6FB2-4915-85F2-A1886A037DBF}" name="Column10389" dataCellStyle="Normal 2"/>
    <tableColumn id="10405" xr3:uid="{DCE36800-A7E5-42D2-B471-D5FDBFA912F4}" name="Column10390" dataCellStyle="Normal 2"/>
    <tableColumn id="10406" xr3:uid="{A5A16A45-163B-4C1C-9CB9-96F67E97819F}" name="Column10391" dataCellStyle="Normal 2"/>
    <tableColumn id="10407" xr3:uid="{BC706708-A5F1-472D-AEA7-6D0DB1174F62}" name="Column10392" dataCellStyle="Normal 2"/>
    <tableColumn id="10408" xr3:uid="{97C81821-6668-4D43-AC38-3A6BF0B011E5}" name="Column10393" dataCellStyle="Normal 2"/>
    <tableColumn id="10409" xr3:uid="{1FF87993-F768-475D-94BC-CC43F1BF37C4}" name="Column10394" dataCellStyle="Normal 2"/>
    <tableColumn id="10410" xr3:uid="{27FAF99E-14F0-4932-A48C-EF7FB1F36B37}" name="Column10395" dataCellStyle="Normal 2"/>
    <tableColumn id="10411" xr3:uid="{022F437D-8684-48C1-9DF0-0DC5DFE8E4E0}" name="Column10396" dataCellStyle="Normal 2"/>
    <tableColumn id="10412" xr3:uid="{4285DAB4-A6D2-417F-BEC0-B3AAE08EEC46}" name="Column10397" dataCellStyle="Normal 2"/>
    <tableColumn id="10413" xr3:uid="{FF65C81C-2417-4C53-897F-907D6DF2C673}" name="Column10398" dataCellStyle="Normal 2"/>
    <tableColumn id="10414" xr3:uid="{84471AF5-8901-45B8-B553-AB994BE1A0D8}" name="Column10399" dataCellStyle="Normal 2"/>
    <tableColumn id="10415" xr3:uid="{03F6C726-1126-4891-BE07-1DCB359FF730}" name="Column10400" dataCellStyle="Normal 2"/>
    <tableColumn id="10416" xr3:uid="{F18C8EC3-C3BA-47C4-92D2-0525F248414F}" name="Column10401" dataCellStyle="Normal 2"/>
    <tableColumn id="10417" xr3:uid="{199B5FF1-B911-4B5D-AD2F-1C798614DD6F}" name="Column10402" dataCellStyle="Normal 2"/>
    <tableColumn id="10418" xr3:uid="{5B7E8CEA-0916-4D1C-B2B2-10B1FB37DFB5}" name="Column10403" dataCellStyle="Normal 2"/>
    <tableColumn id="10419" xr3:uid="{EE2663F7-2E26-490E-9C82-989290DC11CE}" name="Column10404" dataCellStyle="Normal 2"/>
    <tableColumn id="10420" xr3:uid="{567225B4-2D0A-43B2-8BDF-487B3DC64A5B}" name="Column10405" dataCellStyle="Normal 2"/>
    <tableColumn id="10421" xr3:uid="{4864A6AE-7772-4493-999A-7813F536B6A7}" name="Column10406" dataCellStyle="Normal 2"/>
    <tableColumn id="10422" xr3:uid="{6C8F8B42-CCD7-45AF-A55C-24A18AC71E33}" name="Column10407" dataCellStyle="Normal 2"/>
    <tableColumn id="10423" xr3:uid="{AE4F8660-3B87-47B1-9138-D39B6C8966F0}" name="Column10408" dataCellStyle="Normal 2"/>
    <tableColumn id="10424" xr3:uid="{BD8658E2-32D2-471B-9FB3-D9D1D3347F90}" name="Column10409" dataCellStyle="Normal 2"/>
    <tableColumn id="10425" xr3:uid="{1D110637-F625-429F-9086-C8C5273C89DB}" name="Column10410" dataCellStyle="Normal 2"/>
    <tableColumn id="10426" xr3:uid="{015CB765-B897-4971-B74A-29272EBA9AE6}" name="Column10411" dataCellStyle="Normal 2"/>
    <tableColumn id="10427" xr3:uid="{184929B5-1FD0-4290-8B3E-A919E17835AC}" name="Column10412" dataCellStyle="Normal 2"/>
    <tableColumn id="10428" xr3:uid="{06C8F733-F2CD-429F-9F65-B404C2CE57E4}" name="Column10413" dataCellStyle="Normal 2"/>
    <tableColumn id="10429" xr3:uid="{CE93A2BB-D53F-4484-8AC8-FE8B9CF45816}" name="Column10414" dataCellStyle="Normal 2"/>
    <tableColumn id="10430" xr3:uid="{3D23A5A2-8ACA-4C3B-BE53-C1214BBB85C5}" name="Column10415" dataCellStyle="Normal 2"/>
    <tableColumn id="10431" xr3:uid="{297A004D-A734-48D7-9DC7-580A6FA7DAEA}" name="Column10416" dataCellStyle="Normal 2"/>
    <tableColumn id="10432" xr3:uid="{09CF0A8B-337E-4BD4-91E4-4B6E4FA32B87}" name="Column10417" dataCellStyle="Normal 2"/>
    <tableColumn id="10433" xr3:uid="{FF1F5BE5-F4BC-4249-AA95-C4F8E32DB1BE}" name="Column10418" dataCellStyle="Normal 2"/>
    <tableColumn id="10434" xr3:uid="{A76BA35E-A68F-4DD0-BB76-5546E61DD60F}" name="Column10419" dataCellStyle="Normal 2"/>
    <tableColumn id="10435" xr3:uid="{B1ED218E-F601-4F68-881B-2D40ADAFA4C2}" name="Column10420" dataCellStyle="Normal 2"/>
    <tableColumn id="10436" xr3:uid="{B65686B5-C293-4736-B9EE-87621539078D}" name="Column10421" dataCellStyle="Normal 2"/>
    <tableColumn id="10437" xr3:uid="{A6CD147D-2C56-4802-9590-4A8296E70FB0}" name="Column10422" dataCellStyle="Normal 2"/>
    <tableColumn id="10438" xr3:uid="{AB5489B4-22EC-4EB0-B6FD-24FE166D7374}" name="Column10423" dataCellStyle="Normal 2"/>
    <tableColumn id="10439" xr3:uid="{7C3A35F8-050D-4695-8BFC-7923C1B399C4}" name="Column10424" dataCellStyle="Normal 2"/>
    <tableColumn id="10440" xr3:uid="{A4A5CCA6-83B2-4412-8B21-94F1614EED73}" name="Column10425" dataCellStyle="Normal 2"/>
    <tableColumn id="10441" xr3:uid="{6C28A63F-2E3C-411C-8C50-B3BBBDE4742F}" name="Column10426" dataCellStyle="Normal 2"/>
    <tableColumn id="10442" xr3:uid="{488170EA-6377-48D6-B886-D3D76E918996}" name="Column10427" dataCellStyle="Normal 2"/>
    <tableColumn id="10443" xr3:uid="{09E3C68B-172A-4B99-B7B1-C0403280A7B9}" name="Column10428" dataCellStyle="Normal 2"/>
    <tableColumn id="10444" xr3:uid="{DCF2AAD3-8D25-4AE1-8353-F1EC1C56F6D2}" name="Column10429" dataCellStyle="Normal 2"/>
    <tableColumn id="10445" xr3:uid="{D3E8E5E6-0F67-4D57-925E-2022132068D8}" name="Column10430" dataCellStyle="Normal 2"/>
    <tableColumn id="10446" xr3:uid="{DDC18C93-0302-4657-9757-CF5C87C35CC8}" name="Column10431" dataCellStyle="Normal 2"/>
    <tableColumn id="10447" xr3:uid="{01887C82-C9C5-4152-929B-7F5BB1B5CB2D}" name="Column10432" dataCellStyle="Normal 2"/>
    <tableColumn id="10448" xr3:uid="{7E409312-09A4-41A7-BD01-78FE162B3254}" name="Column10433" dataCellStyle="Normal 2"/>
    <tableColumn id="10449" xr3:uid="{50B320FD-43B2-4C89-BF73-B007D53C9254}" name="Column10434" dataCellStyle="Normal 2"/>
    <tableColumn id="10450" xr3:uid="{79C055BE-96D2-44CE-A487-ED41D344A672}" name="Column10435" dataCellStyle="Normal 2"/>
    <tableColumn id="10451" xr3:uid="{7F053E83-B9FD-4B5A-AC6F-F8DA338D5F53}" name="Column10436" dataCellStyle="Normal 2"/>
    <tableColumn id="10452" xr3:uid="{0F07E2BF-0A02-4279-89E5-AE2730D88287}" name="Column10437" dataCellStyle="Normal 2"/>
    <tableColumn id="10453" xr3:uid="{E61CD739-BA09-4E22-8F2D-E2553B8C5F84}" name="Column10438" dataCellStyle="Normal 2"/>
    <tableColumn id="10454" xr3:uid="{45251B78-85CA-4B01-95B4-D4346385F3DD}" name="Column10439" dataCellStyle="Normal 2"/>
    <tableColumn id="10455" xr3:uid="{B896ED17-E8C8-418E-A319-A107BC498C5E}" name="Column10440" dataCellStyle="Normal 2"/>
    <tableColumn id="10456" xr3:uid="{2231470C-4FD2-4E1C-8D14-40AE497BEFCC}" name="Column10441" dataCellStyle="Normal 2"/>
    <tableColumn id="10457" xr3:uid="{2749C629-0C60-4500-882D-FE88AC9E0AA7}" name="Column10442" dataCellStyle="Normal 2"/>
    <tableColumn id="10458" xr3:uid="{A5D66F0B-3419-4C0F-A7E1-0689718CB55F}" name="Column10443" dataCellStyle="Normal 2"/>
    <tableColumn id="10459" xr3:uid="{FB7C4457-E264-4C85-9810-C5BEE77461CC}" name="Column10444" dataCellStyle="Normal 2"/>
    <tableColumn id="10460" xr3:uid="{4F49EE3D-FB12-4EF6-8FE5-B67C8BD4E36F}" name="Column10445" dataCellStyle="Normal 2"/>
    <tableColumn id="10461" xr3:uid="{CBA239B7-D24F-4CEC-994E-4A971286892B}" name="Column10446" dataCellStyle="Normal 2"/>
    <tableColumn id="10462" xr3:uid="{45148327-F264-4408-B1FA-2D089D8377B2}" name="Column10447" dataCellStyle="Normal 2"/>
    <tableColumn id="10463" xr3:uid="{4D0E90F3-A588-43C7-95D8-3A5705B07AEF}" name="Column10448" dataCellStyle="Normal 2"/>
    <tableColumn id="10464" xr3:uid="{7E83D8BA-3A25-4D80-AB91-B5A56CBEDA8E}" name="Column10449" dataCellStyle="Normal 2"/>
    <tableColumn id="10465" xr3:uid="{DC1F43B3-0D89-44B6-9010-71FE51894A58}" name="Column10450" dataCellStyle="Normal 2"/>
    <tableColumn id="10466" xr3:uid="{FF41C0AB-1B22-40EC-BB38-90BEE1CCE0C7}" name="Column10451" dataCellStyle="Normal 2"/>
    <tableColumn id="10467" xr3:uid="{62A6A926-E35F-426E-A139-2EEE9C5FE8F8}" name="Column10452" dataCellStyle="Normal 2"/>
    <tableColumn id="10468" xr3:uid="{938B190D-9F6A-4F63-85D7-12B43A70E569}" name="Column10453" dataCellStyle="Normal 2"/>
    <tableColumn id="10469" xr3:uid="{4CF4A6D5-11DD-4BD5-8FDD-06E7421CDEEB}" name="Column10454" dataCellStyle="Normal 2"/>
    <tableColumn id="10470" xr3:uid="{BB087B5A-4EDC-4731-9162-BB83E0CC67E2}" name="Column10455" dataCellStyle="Normal 2"/>
    <tableColumn id="10471" xr3:uid="{7795FEE4-D0FD-49AC-B808-BBF60EF1E3CE}" name="Column10456" dataCellStyle="Normal 2"/>
    <tableColumn id="10472" xr3:uid="{F2F087C5-8FD9-414F-8B54-4DB1C607274D}" name="Column10457" dataCellStyle="Normal 2"/>
    <tableColumn id="10473" xr3:uid="{87F101C3-7AE1-41EB-A303-9154D773C887}" name="Column10458" dataCellStyle="Normal 2"/>
    <tableColumn id="10474" xr3:uid="{C797B8AF-0E70-4BFC-875A-515691C9EB8B}" name="Column10459" dataCellStyle="Normal 2"/>
    <tableColumn id="10475" xr3:uid="{56EDD8D5-92A6-4D32-AB44-6FB78CC8AC14}" name="Column10460" dataCellStyle="Normal 2"/>
    <tableColumn id="10476" xr3:uid="{78131555-5AFA-45F2-88C6-CE95D69B5BAF}" name="Column10461" dataCellStyle="Normal 2"/>
    <tableColumn id="10477" xr3:uid="{FD58E76F-F5D7-4930-8AA3-0851DEAE2905}" name="Column10462" dataCellStyle="Normal 2"/>
    <tableColumn id="10478" xr3:uid="{63E6DF91-F480-4690-923D-FE86A827452F}" name="Column10463" dataCellStyle="Normal 2"/>
    <tableColumn id="10479" xr3:uid="{7A8691B1-400D-495F-9FED-92D9458A65DC}" name="Column10464" dataCellStyle="Normal 2"/>
    <tableColumn id="10480" xr3:uid="{A0F8053D-829C-4BCA-8EE6-1002587D13B8}" name="Column10465" dataCellStyle="Normal 2"/>
    <tableColumn id="10481" xr3:uid="{A8AD9893-223E-418A-9F9C-BE37D997F5F1}" name="Column10466" dataCellStyle="Normal 2"/>
    <tableColumn id="10482" xr3:uid="{070915A1-4A9A-4C0F-B6B1-DAB5DBC982EF}" name="Column10467" dataCellStyle="Normal 2"/>
    <tableColumn id="10483" xr3:uid="{73FE4687-CC51-4229-AF7D-33208CAFCD07}" name="Column10468" dataCellStyle="Normal 2"/>
    <tableColumn id="10484" xr3:uid="{D17378E4-94AF-49C9-9725-63DB252DA087}" name="Column10469" dataCellStyle="Normal 2"/>
    <tableColumn id="10485" xr3:uid="{511C6F45-AECD-41C9-BF3E-D1FE77FA4784}" name="Column10470" dataCellStyle="Normal 2"/>
    <tableColumn id="10486" xr3:uid="{42158A09-890B-4BEB-BEA9-155D814C993B}" name="Column10471" dataCellStyle="Normal 2"/>
    <tableColumn id="10487" xr3:uid="{519195AA-78B0-472E-BAFB-5DADAFA1EF5A}" name="Column10472" dataCellStyle="Normal 2"/>
    <tableColumn id="10488" xr3:uid="{958FA472-E47B-4239-9811-945FAA78417B}" name="Column10473" dataCellStyle="Normal 2"/>
    <tableColumn id="10489" xr3:uid="{F13A6376-4DA5-4EBA-89C8-17A71C82EA2D}" name="Column10474" dataCellStyle="Normal 2"/>
    <tableColumn id="10490" xr3:uid="{73A5BE55-6928-4A03-9E9A-80892F2558B4}" name="Column10475" dataCellStyle="Normal 2"/>
    <tableColumn id="10491" xr3:uid="{C3DC38EB-BA5C-4625-84AA-C6738A7C54FC}" name="Column10476" dataCellStyle="Normal 2"/>
    <tableColumn id="10492" xr3:uid="{817FC196-1D06-46E2-B624-587001FED885}" name="Column10477" dataCellStyle="Normal 2"/>
    <tableColumn id="10493" xr3:uid="{A3BBAF78-FBF8-41BA-81D9-AABAD502CE0D}" name="Column10478" dataCellStyle="Normal 2"/>
    <tableColumn id="10494" xr3:uid="{C06B0151-5C1B-439B-A7B0-8E1743ADCC9F}" name="Column10479" dataCellStyle="Normal 2"/>
    <tableColumn id="10495" xr3:uid="{3756B49B-89CE-4A14-835A-B60C18ED570D}" name="Column10480" dataCellStyle="Normal 2"/>
    <tableColumn id="10496" xr3:uid="{3AE279AA-213D-406A-A164-9F40271D723F}" name="Column10481" dataCellStyle="Normal 2"/>
    <tableColumn id="10497" xr3:uid="{EE3C28C3-19E5-4EE4-A1E0-1C858ABA4BE0}" name="Column10482" dataCellStyle="Normal 2"/>
    <tableColumn id="10498" xr3:uid="{8F3DCB38-4F90-4DA4-A300-B536DE1E3F99}" name="Column10483" dataCellStyle="Normal 2"/>
    <tableColumn id="10499" xr3:uid="{BFC8E162-323D-4193-B0C0-5F547887329D}" name="Column10484" dataCellStyle="Normal 2"/>
    <tableColumn id="10500" xr3:uid="{26474A5F-A068-4552-883D-30534D821BA5}" name="Column10485" dataCellStyle="Normal 2"/>
    <tableColumn id="10501" xr3:uid="{C4A029E3-52C6-49AD-A5FB-E7CAA3EDC6E4}" name="Column10486" dataCellStyle="Normal 2"/>
    <tableColumn id="10502" xr3:uid="{3F15522F-AA27-47A3-8D34-5192758223E8}" name="Column10487" dataCellStyle="Normal 2"/>
    <tableColumn id="10503" xr3:uid="{FC2E5946-79D2-4336-8025-8533AAF97718}" name="Column10488" dataCellStyle="Normal 2"/>
    <tableColumn id="10504" xr3:uid="{3A3A4103-3F11-4F75-9900-ECE4E508AA0B}" name="Column10489" dataCellStyle="Normal 2"/>
    <tableColumn id="10505" xr3:uid="{7CC40C5D-BA1A-426E-ADFC-AE0AF8600F01}" name="Column10490" dataCellStyle="Normal 2"/>
    <tableColumn id="10506" xr3:uid="{1C9AF6BD-7870-4148-8505-B1C5B8173747}" name="Column10491" dataCellStyle="Normal 2"/>
    <tableColumn id="10507" xr3:uid="{089EEA6B-6666-4407-91DD-837E9F9FB5DE}" name="Column10492" dataCellStyle="Normal 2"/>
    <tableColumn id="10508" xr3:uid="{047916BC-56ED-486D-BE41-C4DFE1ED0D78}" name="Column10493" dataCellStyle="Normal 2"/>
    <tableColumn id="10509" xr3:uid="{BF1F0624-F8F9-4030-BBD7-C297ED943FAA}" name="Column10494" dataCellStyle="Normal 2"/>
    <tableColumn id="10510" xr3:uid="{282CAE7D-2FBA-49C1-A0A5-7B839EBB8907}" name="Column10495" dataCellStyle="Normal 2"/>
    <tableColumn id="10511" xr3:uid="{204D6CE2-0BB7-4104-ABE2-D7D57F4E73DD}" name="Column10496" dataCellStyle="Normal 2"/>
    <tableColumn id="10512" xr3:uid="{F798865B-4EC0-4043-9724-963CD73C47FB}" name="Column10497" dataCellStyle="Normal 2"/>
    <tableColumn id="10513" xr3:uid="{C1A9CAE7-F7CB-49AA-AA67-93B1709A8010}" name="Column10498" dataCellStyle="Normal 2"/>
    <tableColumn id="10514" xr3:uid="{2821C869-0DB8-4B3F-86A4-FC78AD0B7B65}" name="Column10499" dataCellStyle="Normal 2"/>
    <tableColumn id="10515" xr3:uid="{9AA23CD0-1DA8-48D7-8201-0D94668697BB}" name="Column10500" dataCellStyle="Normal 2"/>
    <tableColumn id="10516" xr3:uid="{40819E2C-B90A-4E86-B6AC-4F6D7E0DE5A8}" name="Column10501" dataCellStyle="Normal 2"/>
    <tableColumn id="10517" xr3:uid="{BDC34BA5-EE52-4C1E-BE4A-74BDBD666A77}" name="Column10502" dataCellStyle="Normal 2"/>
    <tableColumn id="10518" xr3:uid="{E9DC8F45-D719-45B8-A94D-9C1AB72E3602}" name="Column10503" dataCellStyle="Normal 2"/>
    <tableColumn id="10519" xr3:uid="{7165FD2B-DA68-441C-B9B4-9A833A5C5AB9}" name="Column10504" dataCellStyle="Normal 2"/>
    <tableColumn id="10520" xr3:uid="{AF63B27F-A96B-4B21-B23C-AAC8E85D8B4D}" name="Column10505" dataCellStyle="Normal 2"/>
    <tableColumn id="10521" xr3:uid="{FE90697F-8330-45E7-B437-6F507051774A}" name="Column10506" dataCellStyle="Normal 2"/>
    <tableColumn id="10522" xr3:uid="{053C686E-1AB4-4BF9-B1F1-E575DEAFA378}" name="Column10507" dataCellStyle="Normal 2"/>
    <tableColumn id="10523" xr3:uid="{A033E29B-5707-470F-90A9-36286D101E4F}" name="Column10508" dataCellStyle="Normal 2"/>
    <tableColumn id="10524" xr3:uid="{1915D35C-6446-4CAB-8C29-1090C7655DEE}" name="Column10509" dataCellStyle="Normal 2"/>
    <tableColumn id="10525" xr3:uid="{696557B0-41A3-410A-ABEA-F7F049F8D05E}" name="Column10510" dataCellStyle="Normal 2"/>
    <tableColumn id="10526" xr3:uid="{2E5180EC-3B55-4699-8A06-B179119987D7}" name="Column10511" dataCellStyle="Normal 2"/>
    <tableColumn id="10527" xr3:uid="{FE8AC91F-9CC0-46C8-AFBC-BD2C3C45ACBC}" name="Column10512" dataCellStyle="Normal 2"/>
    <tableColumn id="10528" xr3:uid="{5429EC01-3729-4219-A2AD-1B3AA1CA00F8}" name="Column10513" dataCellStyle="Normal 2"/>
    <tableColumn id="10529" xr3:uid="{C7FBC09F-CCF2-472D-BB31-8D9B46E438AE}" name="Column10514" dataCellStyle="Normal 2"/>
    <tableColumn id="10530" xr3:uid="{F5F0C9C9-59B7-4F80-87C2-AEE8610AA260}" name="Column10515" dataCellStyle="Normal 2"/>
    <tableColumn id="10531" xr3:uid="{497C4704-90EF-45FE-913E-8BA13ABC018A}" name="Column10516" dataCellStyle="Normal 2"/>
    <tableColumn id="10532" xr3:uid="{06D0E91A-1836-406A-8F41-A12059B6049E}" name="Column10517" dataCellStyle="Normal 2"/>
    <tableColumn id="10533" xr3:uid="{D5ED9B02-3F77-4128-B5EC-C917B7DC15E4}" name="Column10518" dataCellStyle="Normal 2"/>
    <tableColumn id="10534" xr3:uid="{7AFAB475-E07A-4462-B83D-A38AB7EB822D}" name="Column10519" dataCellStyle="Normal 2"/>
    <tableColumn id="10535" xr3:uid="{92558209-F283-4FF2-BE1E-EEDD168DB016}" name="Column10520" dataCellStyle="Normal 2"/>
    <tableColumn id="10536" xr3:uid="{2877C5F3-67A5-41D0-A542-B118B0DBB6FC}" name="Column10521" dataCellStyle="Normal 2"/>
    <tableColumn id="10537" xr3:uid="{BA0FB392-68B3-4B60-9EAE-22C0E7205415}" name="Column10522" dataCellStyle="Normal 2"/>
    <tableColumn id="10538" xr3:uid="{4EBEE066-9316-421A-9B73-FF438AD3FC3F}" name="Column10523" dataCellStyle="Normal 2"/>
    <tableColumn id="10539" xr3:uid="{70452068-51EE-4DC0-8A77-0B67683E9FA7}" name="Column10524" dataCellStyle="Normal 2"/>
    <tableColumn id="10540" xr3:uid="{9913DF6F-BEB2-497F-BE1B-0303801C3B81}" name="Column10525" dataCellStyle="Normal 2"/>
    <tableColumn id="10541" xr3:uid="{6CAE9096-D7F2-45B5-AD66-0528C2F7E082}" name="Column10526" dataCellStyle="Normal 2"/>
    <tableColumn id="10542" xr3:uid="{2930E64E-DD80-47E4-B296-185EFF632506}" name="Column10527" dataCellStyle="Normal 2"/>
    <tableColumn id="10543" xr3:uid="{C377D03B-7088-42C5-8474-ED62560E97D4}" name="Column10528" dataCellStyle="Normal 2"/>
    <tableColumn id="10544" xr3:uid="{1BF87475-D250-4B10-ABF9-AEA0836F1E32}" name="Column10529" dataCellStyle="Normal 2"/>
    <tableColumn id="10545" xr3:uid="{56C6C9B9-205A-476F-8743-EF924F701BF6}" name="Column10530" dataCellStyle="Normal 2"/>
    <tableColumn id="10546" xr3:uid="{A9A0478F-C7DD-4460-B665-E305185DA93F}" name="Column10531" dataCellStyle="Normal 2"/>
    <tableColumn id="10547" xr3:uid="{68F96A2B-FA48-4F0E-BF87-B7650ADB25C9}" name="Column10532" dataCellStyle="Normal 2"/>
    <tableColumn id="10548" xr3:uid="{A045548A-2B5A-4DAC-BDA5-2081776B7514}" name="Column10533" dataCellStyle="Normal 2"/>
    <tableColumn id="10549" xr3:uid="{F13CC6EA-6598-44C3-BB51-B249EBDD44C1}" name="Column10534" dataCellStyle="Normal 2"/>
    <tableColumn id="10550" xr3:uid="{6C55AC74-89E2-4E3D-AC31-4C9D4265D3EB}" name="Column10535" dataCellStyle="Normal 2"/>
    <tableColumn id="10551" xr3:uid="{EA579405-B7BD-4337-88F6-861E6B804F14}" name="Column10536" dataCellStyle="Normal 2"/>
    <tableColumn id="10552" xr3:uid="{520EDCFE-8A08-4D78-B1DE-993B76FFA689}" name="Column10537" dataCellStyle="Normal 2"/>
    <tableColumn id="10553" xr3:uid="{25725A62-CDA5-47CE-901A-D4FB7CEB896E}" name="Column10538" dataCellStyle="Normal 2"/>
    <tableColumn id="10554" xr3:uid="{639F67C0-AA6E-47C8-A007-D07E494ADD8A}" name="Column10539" dataCellStyle="Normal 2"/>
    <tableColumn id="10555" xr3:uid="{5A035D9F-720D-491E-9E3A-DE7A2641BF52}" name="Column10540" dataCellStyle="Normal 2"/>
    <tableColumn id="10556" xr3:uid="{13BC3BF2-8930-48B3-8616-54EC56E39A15}" name="Column10541" dataCellStyle="Normal 2"/>
    <tableColumn id="10557" xr3:uid="{2C09A05C-CBD0-49DF-AE70-109AE6051B0D}" name="Column10542" dataCellStyle="Normal 2"/>
    <tableColumn id="10558" xr3:uid="{BBC47662-1FB6-4176-8D9B-905E69EB559F}" name="Column10543" dataCellStyle="Normal 2"/>
    <tableColumn id="10559" xr3:uid="{57C7B2E9-FDC7-4CBD-8D91-DA770F0F455F}" name="Column10544" dataCellStyle="Normal 2"/>
    <tableColumn id="10560" xr3:uid="{FF498A1F-4B46-4178-A6D3-651BC46FF0E1}" name="Column10545" dataCellStyle="Normal 2"/>
    <tableColumn id="10561" xr3:uid="{E9497211-DB65-4218-BD19-A271C5FBBBBD}" name="Column10546" dataCellStyle="Normal 2"/>
    <tableColumn id="10562" xr3:uid="{AF828D21-9DF7-4CCF-8E9C-A445020435B1}" name="Column10547" dataCellStyle="Normal 2"/>
    <tableColumn id="10563" xr3:uid="{E5FC68B7-9156-4DE6-9CE1-EE0C78D97BFA}" name="Column10548" dataCellStyle="Normal 2"/>
    <tableColumn id="10564" xr3:uid="{5CEA3A1E-3DCE-4C6A-96EC-26A16E069773}" name="Column10549" dataCellStyle="Normal 2"/>
    <tableColumn id="10565" xr3:uid="{7A9F7441-84E5-40BC-A1B7-C947F0E5187F}" name="Column10550" dataCellStyle="Normal 2"/>
    <tableColumn id="10566" xr3:uid="{10A83203-4EAB-4E1F-B4DF-292833C5F506}" name="Column10551" dataCellStyle="Normal 2"/>
    <tableColumn id="10567" xr3:uid="{E659B2DE-8A37-431D-B151-44C83E946263}" name="Column10552" dataCellStyle="Normal 2"/>
    <tableColumn id="10568" xr3:uid="{7DF010C3-26A6-4174-AFDF-8E7C99052069}" name="Column10553" dataCellStyle="Normal 2"/>
    <tableColumn id="10569" xr3:uid="{076050EE-FEB1-4BE4-9285-F48ABD0DD404}" name="Column10554" dataCellStyle="Normal 2"/>
    <tableColumn id="10570" xr3:uid="{0E086691-9F66-46ED-AF53-F83B54437719}" name="Column10555" dataCellStyle="Normal 2"/>
    <tableColumn id="10571" xr3:uid="{0F9D8E66-8415-47F2-BA87-D88B379F04AE}" name="Column10556" dataCellStyle="Normal 2"/>
    <tableColumn id="10572" xr3:uid="{8213F4FA-8EF1-4D94-94AD-161BE26A850B}" name="Column10557" dataCellStyle="Normal 2"/>
    <tableColumn id="10573" xr3:uid="{9D31E0F5-4E47-40E2-9EFB-999939A649D0}" name="Column10558" dataCellStyle="Normal 2"/>
    <tableColumn id="10574" xr3:uid="{76BC5A56-8128-4774-8138-26DDF9FDF069}" name="Column10559" dataCellStyle="Normal 2"/>
    <tableColumn id="10575" xr3:uid="{E1B146D9-080F-42EC-A84E-166CC65893EF}" name="Column10560" dataCellStyle="Normal 2"/>
    <tableColumn id="10576" xr3:uid="{9595DF85-FE3E-4CEB-8999-00623DEC00C8}" name="Column10561" dataCellStyle="Normal 2"/>
    <tableColumn id="10577" xr3:uid="{483F0B1D-9A15-4D5C-969B-E94DE00EFDEE}" name="Column10562" dataCellStyle="Normal 2"/>
    <tableColumn id="10578" xr3:uid="{FA4098B2-5624-4DB2-A0F5-10B82A5678F0}" name="Column10563" dataCellStyle="Normal 2"/>
    <tableColumn id="10579" xr3:uid="{B6C93D45-2310-4A11-9FEA-38D335E25AE1}" name="Column10564" dataCellStyle="Normal 2"/>
    <tableColumn id="10580" xr3:uid="{6EEF823A-48CF-4294-95A5-90032FB372CF}" name="Column10565" dataCellStyle="Normal 2"/>
    <tableColumn id="10581" xr3:uid="{E5C80335-092C-4FA0-BE49-19FEE26AA26B}" name="Column10566" dataCellStyle="Normal 2"/>
    <tableColumn id="10582" xr3:uid="{154AF05F-65A8-4868-9162-FDBDC5A53391}" name="Column10567" dataCellStyle="Normal 2"/>
    <tableColumn id="10583" xr3:uid="{BF2AABDC-F468-4D55-8384-9D4218A711FA}" name="Column10568" dataCellStyle="Normal 2"/>
    <tableColumn id="10584" xr3:uid="{41AA41F9-DE21-45AC-98FF-86D0E16AFD53}" name="Column10569" dataCellStyle="Normal 2"/>
    <tableColumn id="10585" xr3:uid="{B7B5D246-CB70-4E4A-802F-12ED5AFF41FE}" name="Column10570" dataCellStyle="Normal 2"/>
    <tableColumn id="10586" xr3:uid="{DA48CB80-E9AE-4F04-B08A-F11C44F89AA8}" name="Column10571" dataCellStyle="Normal 2"/>
    <tableColumn id="10587" xr3:uid="{0B672577-7B89-4F11-A079-F77673E63F48}" name="Column10572" dataCellStyle="Normal 2"/>
    <tableColumn id="10588" xr3:uid="{E8B0DE42-9D02-45E4-BE6E-4124E63CCAFE}" name="Column10573" dataCellStyle="Normal 2"/>
    <tableColumn id="10589" xr3:uid="{48763FF2-C1B1-4B28-A062-C997646680DD}" name="Column10574" dataCellStyle="Normal 2"/>
    <tableColumn id="10590" xr3:uid="{22686523-DE95-4134-A79F-FC6BE0C5D8DF}" name="Column10575" dataCellStyle="Normal 2"/>
    <tableColumn id="10591" xr3:uid="{A2B680AC-AB59-4039-A8BE-3092225E1F36}" name="Column10576" dataCellStyle="Normal 2"/>
    <tableColumn id="10592" xr3:uid="{7244A719-C428-4DF5-8758-D99C07ED6834}" name="Column10577" dataCellStyle="Normal 2"/>
    <tableColumn id="10593" xr3:uid="{4C04467E-68D6-46DC-A285-CD26DA4EB878}" name="Column10578" dataCellStyle="Normal 2"/>
    <tableColumn id="10594" xr3:uid="{FDD58533-96E6-4FD1-A8DE-1882110E4131}" name="Column10579" dataCellStyle="Normal 2"/>
    <tableColumn id="10595" xr3:uid="{D3FAEEB6-D77E-49C0-BF8F-2A62C5921689}" name="Column10580" dataCellStyle="Normal 2"/>
    <tableColumn id="10596" xr3:uid="{49C09878-3385-4F51-A1B9-FA6011DB8AE2}" name="Column10581" dataCellStyle="Normal 2"/>
    <tableColumn id="10597" xr3:uid="{FB54607D-20DB-4620-9F13-49C2BDED8ECA}" name="Column10582" dataCellStyle="Normal 2"/>
    <tableColumn id="10598" xr3:uid="{FD9F4925-C6D4-4744-9336-449EA13007F8}" name="Column10583" dataCellStyle="Normal 2"/>
    <tableColumn id="10599" xr3:uid="{1BDB4CED-4941-4A45-8076-772F293230D2}" name="Column10584" dataCellStyle="Normal 2"/>
    <tableColumn id="10600" xr3:uid="{D79030AF-E003-4C4C-B6CF-6672DAC39ACA}" name="Column10585" dataCellStyle="Normal 2"/>
    <tableColumn id="10601" xr3:uid="{0FEF60D3-973A-448F-B867-7A94C463D9F5}" name="Column10586" dataCellStyle="Normal 2"/>
    <tableColumn id="10602" xr3:uid="{881EEAE8-BFDA-424C-BC33-631B4D426451}" name="Column10587" dataCellStyle="Normal 2"/>
    <tableColumn id="10603" xr3:uid="{1100802B-ACAC-49B6-9F73-3767D820CA8E}" name="Column10588" dataCellStyle="Normal 2"/>
    <tableColumn id="10604" xr3:uid="{C7727B14-D7C5-4EA0-91EA-598CC8EC3CEC}" name="Column10589" dataCellStyle="Normal 2"/>
    <tableColumn id="10605" xr3:uid="{EC9D80AB-D903-4FF7-9385-C55ED8C2A17D}" name="Column10590" dataCellStyle="Normal 2"/>
    <tableColumn id="10606" xr3:uid="{1CF8400F-C993-4E03-BEF1-88898A2729DF}" name="Column10591" dataCellStyle="Normal 2"/>
    <tableColumn id="10607" xr3:uid="{E4BA9777-67F3-426B-867D-940F546A66DD}" name="Column10592" dataCellStyle="Normal 2"/>
    <tableColumn id="10608" xr3:uid="{74020D47-F87A-4C55-AA3A-8B415AD5FDEC}" name="Column10593" dataCellStyle="Normal 2"/>
    <tableColumn id="10609" xr3:uid="{2C2FA681-DC8F-4294-9CEF-50A0B35667DE}" name="Column10594" dataCellStyle="Normal 2"/>
    <tableColumn id="10610" xr3:uid="{FADCD0A7-D96D-4D3F-87B3-1F1FFA58D6AA}" name="Column10595" dataCellStyle="Normal 2"/>
    <tableColumn id="10611" xr3:uid="{33C84948-670D-4806-9972-7B32FD9C8C8F}" name="Column10596" dataCellStyle="Normal 2"/>
    <tableColumn id="10612" xr3:uid="{1918183D-0AF8-4CFD-87BB-BA58D4214501}" name="Column10597" dataCellStyle="Normal 2"/>
    <tableColumn id="10613" xr3:uid="{3708CC1F-7904-4BD7-ACE0-C23F7B9A268A}" name="Column10598" dataCellStyle="Normal 2"/>
    <tableColumn id="10614" xr3:uid="{6728C751-E9E2-417B-9FEB-6AF36E53DB6F}" name="Column10599" dataCellStyle="Normal 2"/>
    <tableColumn id="10615" xr3:uid="{E8C19615-1A21-4762-B18F-7A71842F6326}" name="Column10600" dataCellStyle="Normal 2"/>
    <tableColumn id="10616" xr3:uid="{B8888C14-18D5-4D91-BB9E-C7822D4A0E31}" name="Column10601" dataCellStyle="Normal 2"/>
    <tableColumn id="10617" xr3:uid="{01586E6E-BD5B-44D5-BF21-E16217FDF6DB}" name="Column10602" dataCellStyle="Normal 2"/>
    <tableColumn id="10618" xr3:uid="{990A5739-2949-46C1-A75C-6EFF1EF782AF}" name="Column10603" dataCellStyle="Normal 2"/>
    <tableColumn id="10619" xr3:uid="{001C1749-C3F2-43B1-8458-D7D8273D29B9}" name="Column10604" dataCellStyle="Normal 2"/>
    <tableColumn id="10620" xr3:uid="{E88E5B79-9BD8-4833-B9D9-39616E71ACA7}" name="Column10605" dataCellStyle="Normal 2"/>
    <tableColumn id="10621" xr3:uid="{C243AED7-B950-44B0-B1FA-6F9262536324}" name="Column10606" dataCellStyle="Normal 2"/>
    <tableColumn id="10622" xr3:uid="{9E33F943-41AB-4C3C-BECD-F91301724BCF}" name="Column10607" dataCellStyle="Normal 2"/>
    <tableColumn id="10623" xr3:uid="{081F49F7-0875-40D9-BF82-B2798E945EDD}" name="Column10608" dataCellStyle="Normal 2"/>
    <tableColumn id="10624" xr3:uid="{04D0C436-EDFC-4A66-8E46-6F79DED121BA}" name="Column10609" dataCellStyle="Normal 2"/>
    <tableColumn id="10625" xr3:uid="{A0D53DA1-6814-4E3B-84C8-DD8672805BF4}" name="Column10610" dataCellStyle="Normal 2"/>
    <tableColumn id="10626" xr3:uid="{EDCDE590-2F13-493B-9CE6-F7E290D09F02}" name="Column10611" dataCellStyle="Normal 2"/>
    <tableColumn id="10627" xr3:uid="{19CC924A-2345-4715-955F-3B6A3510BBA7}" name="Column10612" dataCellStyle="Normal 2"/>
    <tableColumn id="10628" xr3:uid="{AA0B690D-B879-4169-BB1F-01344B3B0995}" name="Column10613" dataCellStyle="Normal 2"/>
    <tableColumn id="10629" xr3:uid="{CB273309-ED8C-4B57-AE8A-FAA0AC44263C}" name="Column10614" dataCellStyle="Normal 2"/>
    <tableColumn id="10630" xr3:uid="{F9CBE3C4-5623-47DE-A4C3-BB5EAAA8AA0D}" name="Column10615" dataCellStyle="Normal 2"/>
    <tableColumn id="10631" xr3:uid="{BB1095D8-9D71-44DF-9E72-325B66F874F4}" name="Column10616" dataCellStyle="Normal 2"/>
    <tableColumn id="10632" xr3:uid="{E27630AA-5663-4426-82CF-44E10DDB3736}" name="Column10617" dataCellStyle="Normal 2"/>
    <tableColumn id="10633" xr3:uid="{3E8568EA-D9AB-4D44-81B7-15F69F0B3827}" name="Column10618" dataCellStyle="Normal 2"/>
    <tableColumn id="10634" xr3:uid="{9E2B243C-7776-4469-B689-D8D4FF1A92DB}" name="Column10619" dataCellStyle="Normal 2"/>
    <tableColumn id="10635" xr3:uid="{C447142E-747A-4EF3-81D8-65EA2FF141B1}" name="Column10620" dataCellStyle="Normal 2"/>
    <tableColumn id="10636" xr3:uid="{FB9208A1-B47D-4BB9-B2FA-A2DFA1730A90}" name="Column10621" dataCellStyle="Normal 2"/>
    <tableColumn id="10637" xr3:uid="{2EA88C4F-A955-4921-BDF5-220FECEBA092}" name="Column10622" dataCellStyle="Normal 2"/>
    <tableColumn id="10638" xr3:uid="{6B119311-1952-43AC-85D8-C14FCAA5B709}" name="Column10623" dataCellStyle="Normal 2"/>
    <tableColumn id="10639" xr3:uid="{7BAD99F9-F115-457D-BAE3-9B397D7FC353}" name="Column10624" dataCellStyle="Normal 2"/>
    <tableColumn id="10640" xr3:uid="{837DFC11-FB1C-4882-B541-32FD073FC204}" name="Column10625" dataCellStyle="Normal 2"/>
    <tableColumn id="10641" xr3:uid="{119F4E9A-3716-40F0-A364-EED10C034027}" name="Column10626" dataCellStyle="Normal 2"/>
    <tableColumn id="10642" xr3:uid="{5CE5DAAB-0E07-424A-9317-69552CE707C0}" name="Column10627" dataCellStyle="Normal 2"/>
    <tableColumn id="10643" xr3:uid="{A83B85D9-0002-40D1-BD2E-A2BE38246AFF}" name="Column10628" dataCellStyle="Normal 2"/>
    <tableColumn id="10644" xr3:uid="{A90CD688-EEBF-48CF-868E-CB7756AE37E1}" name="Column10629" dataCellStyle="Normal 2"/>
    <tableColumn id="10645" xr3:uid="{CD7133C7-F99E-4DC8-88E8-58D01B61C2DA}" name="Column10630" dataCellStyle="Normal 2"/>
    <tableColumn id="10646" xr3:uid="{7578B097-E166-4ED0-8A72-0553E06C7124}" name="Column10631" dataCellStyle="Normal 2"/>
    <tableColumn id="10647" xr3:uid="{09911DC1-4635-4226-83F0-90EEC5DCD32E}" name="Column10632" dataCellStyle="Normal 2"/>
    <tableColumn id="10648" xr3:uid="{4777AE36-8DF4-40E7-839A-2A72AF5D28F4}" name="Column10633" dataCellStyle="Normal 2"/>
    <tableColumn id="10649" xr3:uid="{9EA872BE-E636-4280-9D1C-FB99280138B4}" name="Column10634" dataCellStyle="Normal 2"/>
    <tableColumn id="10650" xr3:uid="{15D235E1-DB62-47C7-9A26-6C5367970DE1}" name="Column10635" dataCellStyle="Normal 2"/>
    <tableColumn id="10651" xr3:uid="{B3540342-645E-4D41-BB5C-F993219B8506}" name="Column10636" dataCellStyle="Normal 2"/>
    <tableColumn id="10652" xr3:uid="{797AD6D8-BC5F-4C36-A65A-B34DE7709C64}" name="Column10637" dataCellStyle="Normal 2"/>
    <tableColumn id="10653" xr3:uid="{AD83460B-E29E-44B6-9D03-F5ADD9292DE8}" name="Column10638" dataCellStyle="Normal 2"/>
    <tableColumn id="10654" xr3:uid="{490570E0-12F4-4C10-B859-82D883987455}" name="Column10639" dataCellStyle="Normal 2"/>
    <tableColumn id="10655" xr3:uid="{7A7A8343-BD71-4DB2-8FB3-627302107B16}" name="Column10640" dataCellStyle="Normal 2"/>
    <tableColumn id="10656" xr3:uid="{D605D21A-B4C4-4DE9-ACFD-732D7569DE16}" name="Column10641" dataCellStyle="Normal 2"/>
    <tableColumn id="10657" xr3:uid="{4003CED9-F577-4B6F-8C88-AD35E8983E25}" name="Column10642" dataCellStyle="Normal 2"/>
    <tableColumn id="10658" xr3:uid="{7B65E60B-2E5C-4668-A1CF-40577C984B0F}" name="Column10643" dataCellStyle="Normal 2"/>
    <tableColumn id="10659" xr3:uid="{989794DE-7FC9-4FD6-B515-D1AB97653B4A}" name="Column10644" dataCellStyle="Normal 2"/>
    <tableColumn id="10660" xr3:uid="{745143B5-3B8F-4421-AEB9-841CA82B6803}" name="Column10645" dataCellStyle="Normal 2"/>
    <tableColumn id="10661" xr3:uid="{9C1518C4-C8DA-4CA8-B020-3F8506C8421E}" name="Column10646" dataCellStyle="Normal 2"/>
    <tableColumn id="10662" xr3:uid="{7AA0D465-BEC5-47FD-A4A0-179759E493EB}" name="Column10647" dataCellStyle="Normal 2"/>
    <tableColumn id="10663" xr3:uid="{69226B0E-7B2A-464F-8A1D-BBE0CD7CB4B4}" name="Column10648" dataCellStyle="Normal 2"/>
    <tableColumn id="10664" xr3:uid="{278F97A5-6546-4D14-B9DF-6F98CF847A51}" name="Column10649" dataCellStyle="Normal 2"/>
    <tableColumn id="10665" xr3:uid="{27109E74-3924-48EA-8300-3A38049B31A1}" name="Column10650" dataCellStyle="Normal 2"/>
    <tableColumn id="10666" xr3:uid="{981889AE-33A4-4C88-8259-8A2DA1C1E5A0}" name="Column10651" dataCellStyle="Normal 2"/>
    <tableColumn id="10667" xr3:uid="{422CEAA2-4CB1-4EBA-A035-B153A0A58994}" name="Column10652" dataCellStyle="Normal 2"/>
    <tableColumn id="10668" xr3:uid="{4AC70421-6FFB-4EAF-9577-0A26E1E761B6}" name="Column10653" dataCellStyle="Normal 2"/>
    <tableColumn id="10669" xr3:uid="{9D9DDE96-1144-421F-B3DC-C24B258A4BA9}" name="Column10654" dataCellStyle="Normal 2"/>
    <tableColumn id="10670" xr3:uid="{A1B1D66D-B0B5-4314-BD25-618F86A04380}" name="Column10655" dataCellStyle="Normal 2"/>
    <tableColumn id="10671" xr3:uid="{B3319717-BAB1-492C-BD14-D4F0961DD289}" name="Column10656" dataCellStyle="Normal 2"/>
    <tableColumn id="10672" xr3:uid="{2D191996-6C99-4482-AC21-A4CC79F5B04E}" name="Column10657" dataCellStyle="Normal 2"/>
    <tableColumn id="10673" xr3:uid="{BBED54E4-16B9-4FBD-9886-6E357E7FA221}" name="Column10658" dataCellStyle="Normal 2"/>
    <tableColumn id="10674" xr3:uid="{5542FDB8-0BFB-44C0-904C-BC43FBECE9EB}" name="Column10659" dataCellStyle="Normal 2"/>
    <tableColumn id="10675" xr3:uid="{3CCAA7EF-A21B-47CF-BC6D-AF52DBC9D72D}" name="Column10660" dataCellStyle="Normal 2"/>
    <tableColumn id="10676" xr3:uid="{B1B0CD0D-D5FB-4F19-8D5D-368F181AE2A6}" name="Column10661" dataCellStyle="Normal 2"/>
    <tableColumn id="10677" xr3:uid="{53DA7E16-A4CF-4969-B612-18753848FDE2}" name="Column10662" dataCellStyle="Normal 2"/>
    <tableColumn id="10678" xr3:uid="{C3A8F3B9-5B92-4719-A5F3-56DD70CC5985}" name="Column10663" dataCellStyle="Normal 2"/>
    <tableColumn id="10679" xr3:uid="{4B92B2D2-8777-4C81-855A-52D47E5971B5}" name="Column10664" dataCellStyle="Normal 2"/>
    <tableColumn id="10680" xr3:uid="{BBE78C80-DAE4-4B81-894C-BF4A0AEA6960}" name="Column10665" dataCellStyle="Normal 2"/>
    <tableColumn id="10681" xr3:uid="{5050BB39-C40C-4C56-9175-6BCE0827DC7A}" name="Column10666" dataCellStyle="Normal 2"/>
    <tableColumn id="10682" xr3:uid="{91D44CD4-69AB-4A94-B87B-56894000ED84}" name="Column10667" dataCellStyle="Normal 2"/>
    <tableColumn id="10683" xr3:uid="{EF955088-DFE0-42D1-B3E9-E2E98825DE89}" name="Column10668" dataCellStyle="Normal 2"/>
    <tableColumn id="10684" xr3:uid="{F930C9F4-BEA7-4E4A-B57C-C3E2C1A77081}" name="Column10669" dataCellStyle="Normal 2"/>
    <tableColumn id="10685" xr3:uid="{0ADA1EFB-4398-4AF6-A4E5-DA0A9FD6B7D9}" name="Column10670" dataCellStyle="Normal 2"/>
    <tableColumn id="10686" xr3:uid="{D96CEC53-4133-445D-BB1B-FE335B56F408}" name="Column10671" dataCellStyle="Normal 2"/>
    <tableColumn id="10687" xr3:uid="{3A51751D-DA12-473D-BD04-F785679692C9}" name="Column10672" dataCellStyle="Normal 2"/>
    <tableColumn id="10688" xr3:uid="{B9F9EAD7-384E-4FBF-93A7-D09D562E1AF9}" name="Column10673" dataCellStyle="Normal 2"/>
    <tableColumn id="10689" xr3:uid="{8FC35109-8B81-4099-AC71-A735C3E86F8A}" name="Column10674" dataCellStyle="Normal 2"/>
    <tableColumn id="10690" xr3:uid="{57D6EE6A-7E5A-4AD7-B5BB-9D56D828AEC8}" name="Column10675" dataCellStyle="Normal 2"/>
    <tableColumn id="10691" xr3:uid="{C6492EF1-1F47-4277-99A1-C0F06E931EDE}" name="Column10676" dataCellStyle="Normal 2"/>
    <tableColumn id="10692" xr3:uid="{A8FB29C5-F35B-4B7A-BB43-2D41A46D5541}" name="Column10677" dataCellStyle="Normal 2"/>
    <tableColumn id="10693" xr3:uid="{90AF05C9-33E3-4471-8AB4-51DA57120C65}" name="Column10678" dataCellStyle="Normal 2"/>
    <tableColumn id="10694" xr3:uid="{73353689-1932-4D45-BB15-A375C221D424}" name="Column10679" dataCellStyle="Normal 2"/>
    <tableColumn id="10695" xr3:uid="{E9EF161A-B9D1-4D32-9F01-4DBEB1106660}" name="Column10680" dataCellStyle="Normal 2"/>
    <tableColumn id="10696" xr3:uid="{EA763D65-31C5-4062-AAD9-B8F4326AC9D8}" name="Column10681" dataCellStyle="Normal 2"/>
    <tableColumn id="10697" xr3:uid="{7DF509A7-BF36-416C-989F-C85F453F4964}" name="Column10682" dataCellStyle="Normal 2"/>
    <tableColumn id="10698" xr3:uid="{C7D3DC2F-84C9-41E0-90B5-5B6AFAE730D5}" name="Column10683" dataCellStyle="Normal 2"/>
    <tableColumn id="10699" xr3:uid="{45BD4ECA-30B7-4E30-AE38-4B5A055057AD}" name="Column10684" dataCellStyle="Normal 2"/>
    <tableColumn id="10700" xr3:uid="{377F6CFF-8F69-4717-9B14-CEC0E29B009D}" name="Column10685" dataCellStyle="Normal 2"/>
    <tableColumn id="10701" xr3:uid="{D9C19371-089F-4380-9A56-2061001DEF3B}" name="Column10686" dataCellStyle="Normal 2"/>
    <tableColumn id="10702" xr3:uid="{32EC0B69-9242-4E5D-A4B7-25B571AD29E4}" name="Column10687" dataCellStyle="Normal 2"/>
    <tableColumn id="10703" xr3:uid="{3383EC49-31CF-494D-A452-96A9E87100D3}" name="Column10688" dataCellStyle="Normal 2"/>
    <tableColumn id="10704" xr3:uid="{47CBFB54-13FD-4596-85CF-58FFE7656ACC}" name="Column10689" dataCellStyle="Normal 2"/>
    <tableColumn id="10705" xr3:uid="{D8A5567D-E52C-462B-AF72-508AF074A1B8}" name="Column10690" dataCellStyle="Normal 2"/>
    <tableColumn id="10706" xr3:uid="{BA67E523-CF03-4A30-9DC2-17C7298F3CF2}" name="Column10691" dataCellStyle="Normal 2"/>
    <tableColumn id="10707" xr3:uid="{F77C4573-F6C5-4013-ADB7-77601B7FA2AC}" name="Column10692" dataCellStyle="Normal 2"/>
    <tableColumn id="10708" xr3:uid="{ABB45BBF-ED38-48FE-9B2B-E0FEB9CA23B8}" name="Column10693" dataCellStyle="Normal 2"/>
    <tableColumn id="10709" xr3:uid="{0B3E07AF-31A8-46A2-8BF9-90CA7EAA9F5E}" name="Column10694" dataCellStyle="Normal 2"/>
    <tableColumn id="10710" xr3:uid="{CC244829-D7B6-466F-8C05-84D04F2F1D86}" name="Column10695" dataCellStyle="Normal 2"/>
    <tableColumn id="10711" xr3:uid="{A4303774-2037-4D2F-84B1-CF241D0C0041}" name="Column10696" dataCellStyle="Normal 2"/>
    <tableColumn id="10712" xr3:uid="{B461A8D2-DABD-4ED8-AC98-C74267F2DA2E}" name="Column10697" dataCellStyle="Normal 2"/>
    <tableColumn id="10713" xr3:uid="{FDAA08F3-C216-4A89-B421-ECF9A477A47A}" name="Column10698" dataCellStyle="Normal 2"/>
    <tableColumn id="10714" xr3:uid="{86F6D70F-855B-4132-9FD4-AA755AEB6EA0}" name="Column10699" dataCellStyle="Normal 2"/>
    <tableColumn id="10715" xr3:uid="{9AE8EC82-7E28-4F79-992B-01CEFAC87F9B}" name="Column10700" dataCellStyle="Normal 2"/>
    <tableColumn id="10716" xr3:uid="{8053D245-7EBA-46BE-BF53-4F34CDF91C6B}" name="Column10701" dataCellStyle="Normal 2"/>
    <tableColumn id="10717" xr3:uid="{124F01CE-552E-483E-92FF-91E4909B2190}" name="Column10702" dataCellStyle="Normal 2"/>
    <tableColumn id="10718" xr3:uid="{ACA83874-F748-4359-8FF1-19EA810DA3F0}" name="Column10703" dataCellStyle="Normal 2"/>
    <tableColumn id="10719" xr3:uid="{5EF47F3B-91FC-4BAC-9151-343E46CCC05D}" name="Column10704" dataCellStyle="Normal 2"/>
    <tableColumn id="10720" xr3:uid="{378D994D-6D5A-475F-BF28-1FDD8C76A1EF}" name="Column10705" dataCellStyle="Normal 2"/>
    <tableColumn id="10721" xr3:uid="{3950E8F4-CCF1-4682-AEAF-CF5912254F6A}" name="Column10706" dataCellStyle="Normal 2"/>
    <tableColumn id="10722" xr3:uid="{E7F613B2-AB27-4F75-85F7-42F73BECA0CC}" name="Column10707" dataCellStyle="Normal 2"/>
    <tableColumn id="10723" xr3:uid="{0A80A8A5-C686-4143-A082-138A02768D78}" name="Column10708" dataCellStyle="Normal 2"/>
    <tableColumn id="10724" xr3:uid="{EF1DDECC-69C2-4190-AE4A-B429E8076ECC}" name="Column10709" dataCellStyle="Normal 2"/>
    <tableColumn id="10725" xr3:uid="{C4A67AD0-92D5-4985-8316-F467A36FCC22}" name="Column10710" dataCellStyle="Normal 2"/>
    <tableColumn id="10726" xr3:uid="{EADBDFED-214F-434B-A0A8-312776106846}" name="Column10711" dataCellStyle="Normal 2"/>
    <tableColumn id="10727" xr3:uid="{B92FA373-A3E5-4160-ADCE-C1D668F7E74B}" name="Column10712" dataCellStyle="Normal 2"/>
    <tableColumn id="10728" xr3:uid="{F2F8E9E5-53BD-40EE-8C4D-92FBA398D6FC}" name="Column10713" dataCellStyle="Normal 2"/>
    <tableColumn id="10729" xr3:uid="{A8AA686D-211D-489C-84F1-D9E21E905D80}" name="Column10714" dataCellStyle="Normal 2"/>
    <tableColumn id="10730" xr3:uid="{CC3C842A-3665-483D-8A87-A88CB0ED163E}" name="Column10715" dataCellStyle="Normal 2"/>
    <tableColumn id="10731" xr3:uid="{45AE8805-3556-4A32-9406-8FB9805ACA84}" name="Column10716" dataCellStyle="Normal 2"/>
    <tableColumn id="10732" xr3:uid="{4A8B608F-29E3-47D6-80AD-AAC773D0686D}" name="Column10717" dataCellStyle="Normal 2"/>
    <tableColumn id="10733" xr3:uid="{93F2B0D0-2CC8-4AAB-8C94-6CDD6C8F5C4C}" name="Column10718" dataCellStyle="Normal 2"/>
    <tableColumn id="10734" xr3:uid="{57D37E81-2B53-4D16-89C5-FF7A67A093DF}" name="Column10719" dataCellStyle="Normal 2"/>
    <tableColumn id="10735" xr3:uid="{27096B11-3DC9-42F7-BC01-C97F4D5865CB}" name="Column10720" dataCellStyle="Normal 2"/>
    <tableColumn id="10736" xr3:uid="{712E774B-2DD0-44ED-9EF6-FDC625BE6403}" name="Column10721" dataCellStyle="Normal 2"/>
    <tableColumn id="10737" xr3:uid="{88B63BE0-840E-419C-A950-231ADDB019CF}" name="Column10722" dataCellStyle="Normal 2"/>
    <tableColumn id="10738" xr3:uid="{E5C63996-88AD-4173-B230-A10EE75524EE}" name="Column10723" dataCellStyle="Normal 2"/>
    <tableColumn id="10739" xr3:uid="{06FDD85D-681D-431A-AFF6-4DCCC61D0806}" name="Column10724" dataCellStyle="Normal 2"/>
    <tableColumn id="10740" xr3:uid="{B8D4C009-C761-4DC7-B6F0-BCA050C83EC5}" name="Column10725" dataCellStyle="Normal 2"/>
    <tableColumn id="10741" xr3:uid="{988694BE-30B2-4F05-88E2-5605555997DC}" name="Column10726" dataCellStyle="Normal 2"/>
    <tableColumn id="10742" xr3:uid="{3BCFCBF0-A94C-48DB-AF33-5BA73DE504D6}" name="Column10727" dataCellStyle="Normal 2"/>
    <tableColumn id="10743" xr3:uid="{2C1CA443-4F39-4400-B4EE-24142807A8CF}" name="Column10728" dataCellStyle="Normal 2"/>
    <tableColumn id="10744" xr3:uid="{B8CB7B2B-3018-463A-AE26-7773215AC4EB}" name="Column10729" dataCellStyle="Normal 2"/>
    <tableColumn id="10745" xr3:uid="{D03F03FB-B681-4674-9EDB-CD28353CBD0D}" name="Column10730" dataCellStyle="Normal 2"/>
    <tableColumn id="10746" xr3:uid="{34420980-87D3-4F9D-B6FE-8F47A10CFF66}" name="Column10731" dataCellStyle="Normal 2"/>
    <tableColumn id="10747" xr3:uid="{EE8DD895-5BD3-42FE-9ECA-1AD1D515E6F5}" name="Column10732" dataCellStyle="Normal 2"/>
    <tableColumn id="10748" xr3:uid="{FCF28542-8296-4474-AB66-67E5F83F7853}" name="Column10733" dataCellStyle="Normal 2"/>
    <tableColumn id="10749" xr3:uid="{CAE2D086-C7D4-4E6F-B78B-DE526E052B3B}" name="Column10734" dataCellStyle="Normal 2"/>
    <tableColumn id="10750" xr3:uid="{60E6F46C-995E-4155-BA99-002582EEA20C}" name="Column10735" dataCellStyle="Normal 2"/>
    <tableColumn id="10751" xr3:uid="{DF4C32BA-403E-4ADE-87E1-ADF4F17A9ED5}" name="Column10736" dataCellStyle="Normal 2"/>
    <tableColumn id="10752" xr3:uid="{0237393C-6F71-46B3-8854-E0AC46795247}" name="Column10737" dataCellStyle="Normal 2"/>
    <tableColumn id="10753" xr3:uid="{4DDF0619-75B0-4509-8288-249E09BF28B8}" name="Column10738" dataCellStyle="Normal 2"/>
    <tableColumn id="10754" xr3:uid="{D54CDD83-CDD9-4801-8ECB-A6D67F3769EC}" name="Column10739" dataCellStyle="Normal 2"/>
    <tableColumn id="10755" xr3:uid="{7CC136A1-37E3-437E-B75E-AC6CA2E9CA9C}" name="Column10740" dataCellStyle="Normal 2"/>
    <tableColumn id="10756" xr3:uid="{67EF6581-EF63-417D-BB6B-A4908B95FEDF}" name="Column10741" dataCellStyle="Normal 2"/>
    <tableColumn id="10757" xr3:uid="{6756477C-C409-4BFE-87CC-52FBBB5D2D9B}" name="Column10742" dataCellStyle="Normal 2"/>
    <tableColumn id="10758" xr3:uid="{D7B12C02-7B5B-487F-9E95-6D2636B0BE53}" name="Column10743" dataCellStyle="Normal 2"/>
    <tableColumn id="10759" xr3:uid="{F1C465F3-2F8E-4F87-A49A-DFC19ABC4865}" name="Column10744" dataCellStyle="Normal 2"/>
    <tableColumn id="10760" xr3:uid="{418C375D-5AB5-4B4D-BBF1-60F1B3641B02}" name="Column10745" dataCellStyle="Normal 2"/>
    <tableColumn id="10761" xr3:uid="{4837F2A5-E640-4301-8B7B-DA6BC378C3FC}" name="Column10746" dataCellStyle="Normal 2"/>
    <tableColumn id="10762" xr3:uid="{58B226B5-8C51-44AA-98C0-F99EECDE25D0}" name="Column10747" dataCellStyle="Normal 2"/>
    <tableColumn id="10763" xr3:uid="{58F30C1E-80D4-4BA0-A99E-6C5EFF749EF7}" name="Column10748" dataCellStyle="Normal 2"/>
    <tableColumn id="10764" xr3:uid="{66280681-D2AF-4F08-9488-88198ED65FA9}" name="Column10749" dataCellStyle="Normal 2"/>
    <tableColumn id="10765" xr3:uid="{21859699-9E39-4C22-B925-343D5FD0402C}" name="Column10750" dataCellStyle="Normal 2"/>
    <tableColumn id="10766" xr3:uid="{8C592178-0C07-457E-8098-D15FADDCC651}" name="Column10751" dataCellStyle="Normal 2"/>
    <tableColumn id="10767" xr3:uid="{08DE4EE4-A56C-4F5B-9E6C-CCF32134BF29}" name="Column10752" dataCellStyle="Normal 2"/>
    <tableColumn id="10768" xr3:uid="{F54F640D-CA66-4160-8042-ADC09712DB09}" name="Column10753" dataCellStyle="Normal 2"/>
    <tableColumn id="10769" xr3:uid="{2751F1DB-6B99-4004-956C-C052F824ED5F}" name="Column10754" dataCellStyle="Normal 2"/>
    <tableColumn id="10770" xr3:uid="{6919A6B8-C824-4688-B53B-8A7B87E5FAE7}" name="Column10755" dataCellStyle="Normal 2"/>
    <tableColumn id="10771" xr3:uid="{6CAB2487-5AA9-421F-8110-11DFEFB9E2B2}" name="Column10756" dataCellStyle="Normal 2"/>
    <tableColumn id="10772" xr3:uid="{A51E208F-C077-4D6D-983D-C2F74544397C}" name="Column10757" dataCellStyle="Normal 2"/>
    <tableColumn id="10773" xr3:uid="{A479E5FF-548C-498A-AA2B-02795672D746}" name="Column10758" dataCellStyle="Normal 2"/>
    <tableColumn id="10774" xr3:uid="{09882B5D-929A-4077-87BF-AA453C6EB9FE}" name="Column10759" dataCellStyle="Normal 2"/>
    <tableColumn id="10775" xr3:uid="{7C0B9B2E-6BDA-44CA-B78E-A4443BC3AE31}" name="Column10760" dataCellStyle="Normal 2"/>
    <tableColumn id="10776" xr3:uid="{E36B1960-E48B-4484-9998-80EF9A57E7FA}" name="Column10761" dataCellStyle="Normal 2"/>
    <tableColumn id="10777" xr3:uid="{DBC52AA8-14BF-4783-A2D9-AA14AFFF690E}" name="Column10762" dataCellStyle="Normal 2"/>
    <tableColumn id="10778" xr3:uid="{DB4D6EDB-EA2F-48D2-BE5D-AE925BF18602}" name="Column10763" dataCellStyle="Normal 2"/>
    <tableColumn id="10779" xr3:uid="{7B6C8126-8BF8-471F-9F6F-0C36B2CE128B}" name="Column10764" dataCellStyle="Normal 2"/>
    <tableColumn id="10780" xr3:uid="{81AFA315-5620-4B8C-9148-57F456B79AFC}" name="Column10765" dataCellStyle="Normal 2"/>
    <tableColumn id="10781" xr3:uid="{F8B62DE3-C1C3-4803-AF49-1553703A9624}" name="Column10766" dataCellStyle="Normal 2"/>
    <tableColumn id="10782" xr3:uid="{A68037EF-E64C-4B7B-A999-3707288F4EB2}" name="Column10767" dataCellStyle="Normal 2"/>
    <tableColumn id="10783" xr3:uid="{6A42B4CB-B766-4236-ACE5-6634BFFE19EE}" name="Column10768" dataCellStyle="Normal 2"/>
    <tableColumn id="10784" xr3:uid="{8EC8E12B-DE10-44B4-B519-AA0FD767663F}" name="Column10769" dataCellStyle="Normal 2"/>
    <tableColumn id="10785" xr3:uid="{3765769B-2707-49E5-8049-9B5FC52E57D0}" name="Column10770" dataCellStyle="Normal 2"/>
    <tableColumn id="10786" xr3:uid="{7A10F804-D1C2-47CA-9C50-4073084C2337}" name="Column10771" dataCellStyle="Normal 2"/>
    <tableColumn id="10787" xr3:uid="{4A6E036E-BDF8-4CFE-AB64-53B7355BAB19}" name="Column10772" dataCellStyle="Normal 2"/>
    <tableColumn id="10788" xr3:uid="{A008884D-BBDD-41E8-A66C-396C1A06B4B8}" name="Column10773" dataCellStyle="Normal 2"/>
    <tableColumn id="10789" xr3:uid="{81E8867F-DE18-45E2-B98C-3D524C15B722}" name="Column10774" dataCellStyle="Normal 2"/>
    <tableColumn id="10790" xr3:uid="{A7F16C68-C5B7-460E-9AC4-D689E9C8819C}" name="Column10775" dataCellStyle="Normal 2"/>
    <tableColumn id="10791" xr3:uid="{810AC72F-693B-43F5-92DF-72CD78380365}" name="Column10776" dataCellStyle="Normal 2"/>
    <tableColumn id="10792" xr3:uid="{EDB307E5-16D9-493A-BD36-98D21E0B66FC}" name="Column10777" dataCellStyle="Normal 2"/>
    <tableColumn id="10793" xr3:uid="{1AB59FD6-900B-4552-857E-EB0A99EF93C8}" name="Column10778" dataCellStyle="Normal 2"/>
    <tableColumn id="10794" xr3:uid="{AB8A45DC-8D6C-4A82-8049-D14C83BE07B9}" name="Column10779" dataCellStyle="Normal 2"/>
    <tableColumn id="10795" xr3:uid="{D0B1231D-927D-4657-9E93-6B157ADFA93D}" name="Column10780" dataCellStyle="Normal 2"/>
    <tableColumn id="10796" xr3:uid="{B06896DF-921D-4224-9EF6-0A3599A7D7A3}" name="Column10781" dataCellStyle="Normal 2"/>
    <tableColumn id="10797" xr3:uid="{86DE7AEB-0A52-4C47-A49E-284FDAEB7E42}" name="Column10782" dataCellStyle="Normal 2"/>
    <tableColumn id="10798" xr3:uid="{B3D7ED18-61B2-478E-852E-975A9AEEDE8C}" name="Column10783" dataCellStyle="Normal 2"/>
    <tableColumn id="10799" xr3:uid="{7B9B277A-6BE6-4BAB-A416-B636A80DCEAB}" name="Column10784" dataCellStyle="Normal 2"/>
    <tableColumn id="10800" xr3:uid="{CD091CED-18CC-49E4-ABBE-F8565C30AE72}" name="Column10785" dataCellStyle="Normal 2"/>
    <tableColumn id="10801" xr3:uid="{4FEBC07B-493F-4788-BF87-6932C997DBBD}" name="Column10786" dataCellStyle="Normal 2"/>
    <tableColumn id="10802" xr3:uid="{6C25F2E2-A937-43FC-B7B7-09AAA8516905}" name="Column10787" dataCellStyle="Normal 2"/>
    <tableColumn id="10803" xr3:uid="{354EA19E-0896-4525-BF8E-B226A37D2920}" name="Column10788" dataCellStyle="Normal 2"/>
    <tableColumn id="10804" xr3:uid="{28E16474-C4FF-4E6D-B3B5-16F304EC0138}" name="Column10789" dataCellStyle="Normal 2"/>
    <tableColumn id="10805" xr3:uid="{90E8C516-9BE7-43CE-B94D-CF543E35E6DE}" name="Column10790" dataCellStyle="Normal 2"/>
    <tableColumn id="10806" xr3:uid="{0CD031CA-C40E-4FEB-927A-B969EDA6D7EF}" name="Column10791" dataCellStyle="Normal 2"/>
    <tableColumn id="10807" xr3:uid="{1974126E-F15B-4C25-AD05-0124D45F60FB}" name="Column10792" dataCellStyle="Normal 2"/>
    <tableColumn id="10808" xr3:uid="{A1C57485-6856-4F62-B5A8-3CA89DC6A89A}" name="Column10793" dataCellStyle="Normal 2"/>
    <tableColumn id="10809" xr3:uid="{601B59AF-6A69-4973-9270-9BE1168B1AC2}" name="Column10794" dataCellStyle="Normal 2"/>
    <tableColumn id="10810" xr3:uid="{ACAA2078-D41B-468F-93EC-D079C226F789}" name="Column10795" dataCellStyle="Normal 2"/>
    <tableColumn id="10811" xr3:uid="{EE2CF022-5DB2-496F-999E-80557192782C}" name="Column10796" dataCellStyle="Normal 2"/>
    <tableColumn id="10812" xr3:uid="{14538F88-7458-4544-89B8-0A8EBD02AC21}" name="Column10797" dataCellStyle="Normal 2"/>
    <tableColumn id="10813" xr3:uid="{73C1ECAE-405D-4101-9BAC-7AD2294CD58D}" name="Column10798" dataCellStyle="Normal 2"/>
    <tableColumn id="10814" xr3:uid="{13BCE036-E0F6-4177-B239-4638EAE74C41}" name="Column10799" dataCellStyle="Normal 2"/>
    <tableColumn id="10815" xr3:uid="{5E93AC6C-4628-4D24-A64D-79F15F65F409}" name="Column10800" dataCellStyle="Normal 2"/>
    <tableColumn id="10816" xr3:uid="{125BE484-C466-4F1E-9F39-12341138199D}" name="Column10801" dataCellStyle="Normal 2"/>
    <tableColumn id="10817" xr3:uid="{74308ACD-E56F-4FA8-9D95-944907F84361}" name="Column10802" dataCellStyle="Normal 2"/>
    <tableColumn id="10818" xr3:uid="{F0DB49A9-7913-4A80-B3F8-AC177453FCAD}" name="Column10803" dataCellStyle="Normal 2"/>
    <tableColumn id="10819" xr3:uid="{C42A79AC-D135-447E-9FE7-D6402702025C}" name="Column10804" dataCellStyle="Normal 2"/>
    <tableColumn id="10820" xr3:uid="{4322660C-AEAB-4FBE-9FAD-11FCAAEAD260}" name="Column10805" dataCellStyle="Normal 2"/>
    <tableColumn id="10821" xr3:uid="{6A9E4FB8-6FB5-49D2-B57F-E803A2BBE4F7}" name="Column10806" dataCellStyle="Normal 2"/>
    <tableColumn id="10822" xr3:uid="{803B7BAF-D549-4815-8BAB-614169050307}" name="Column10807" dataCellStyle="Normal 2"/>
    <tableColumn id="10823" xr3:uid="{DEABABD7-DBA6-4150-B8D3-12D2E48D547A}" name="Column10808" dataCellStyle="Normal 2"/>
    <tableColumn id="10824" xr3:uid="{F205B5DE-8A9C-458F-AC75-9C4D03DA688D}" name="Column10809" dataCellStyle="Normal 2"/>
    <tableColumn id="10825" xr3:uid="{E8CFD838-95A3-442E-905A-B65BD9AE72DB}" name="Column10810" dataCellStyle="Normal 2"/>
    <tableColumn id="10826" xr3:uid="{E39FB628-17F7-4653-B0EC-2B82EFAD6E89}" name="Column10811" dataCellStyle="Normal 2"/>
    <tableColumn id="10827" xr3:uid="{72617794-79E2-4A67-A426-88F65B2835FB}" name="Column10812" dataCellStyle="Normal 2"/>
    <tableColumn id="10828" xr3:uid="{A6C4B3D4-2DFF-4A13-BC18-605B5EE8BA9F}" name="Column10813" dataCellStyle="Normal 2"/>
    <tableColumn id="10829" xr3:uid="{76819324-FAA2-4630-AD85-06A26C6190EE}" name="Column10814" dataCellStyle="Normal 2"/>
    <tableColumn id="10830" xr3:uid="{50765390-6655-4A6F-BB9F-0E1CE6F9AF19}" name="Column10815" dataCellStyle="Normal 2"/>
    <tableColumn id="10831" xr3:uid="{74429376-A9A5-4CC3-8790-F077DC7FB9AE}" name="Column10816" dataCellStyle="Normal 2"/>
    <tableColumn id="10832" xr3:uid="{411E4BAD-C3A9-48B7-95A1-92F6C35626FA}" name="Column10817" dataCellStyle="Normal 2"/>
    <tableColumn id="10833" xr3:uid="{A5D19D41-F733-4B4E-BCE8-95D8CEDA4EF8}" name="Column10818" dataCellStyle="Normal 2"/>
    <tableColumn id="10834" xr3:uid="{29671ADE-E6B8-4BD3-957B-A777454E6FEA}" name="Column10819" dataCellStyle="Normal 2"/>
    <tableColumn id="10835" xr3:uid="{6A530C83-13F6-4316-9DC1-93DFA64B328E}" name="Column10820" dataCellStyle="Normal 2"/>
    <tableColumn id="10836" xr3:uid="{00CCBA08-CCD9-41E7-A738-8267AE24D330}" name="Column10821" dataCellStyle="Normal 2"/>
    <tableColumn id="10837" xr3:uid="{11F45E24-ADD1-4DB3-B61E-594715EFF353}" name="Column10822" dataCellStyle="Normal 2"/>
    <tableColumn id="10838" xr3:uid="{BA97C9CE-19B0-49AD-918E-22E131819948}" name="Column10823" dataCellStyle="Normal 2"/>
    <tableColumn id="10839" xr3:uid="{05804924-BBB5-473C-ADC1-7C9578E0F172}" name="Column10824" dataCellStyle="Normal 2"/>
    <tableColumn id="10840" xr3:uid="{CBCA715F-B677-456F-8EFA-38E21582EA3C}" name="Column10825" dataCellStyle="Normal 2"/>
    <tableColumn id="10841" xr3:uid="{3AAA3CA8-B7A3-46D3-9764-FB93353220F5}" name="Column10826" dataCellStyle="Normal 2"/>
    <tableColumn id="10842" xr3:uid="{9989F226-572F-4F17-9008-60CC77F01A2E}" name="Column10827" dataCellStyle="Normal 2"/>
    <tableColumn id="10843" xr3:uid="{EB4D063D-C923-47D6-8332-E71601087295}" name="Column10828" dataCellStyle="Normal 2"/>
    <tableColumn id="10844" xr3:uid="{358E69F9-4EC5-4031-B31C-1F099EA30679}" name="Column10829" dataCellStyle="Normal 2"/>
    <tableColumn id="10845" xr3:uid="{F4734935-E2C5-4D03-A89D-FE3354F3DF25}" name="Column10830" dataCellStyle="Normal 2"/>
    <tableColumn id="10846" xr3:uid="{168CC7B7-7520-423F-94C2-227831EDDF6B}" name="Column10831" dataCellStyle="Normal 2"/>
    <tableColumn id="10847" xr3:uid="{9885354E-1D05-471A-901C-C50CD5F26982}" name="Column10832" dataCellStyle="Normal 2"/>
    <tableColumn id="10848" xr3:uid="{6D538FC2-C7CA-4A6A-B8EC-3F2BCFEF40AB}" name="Column10833" dataCellStyle="Normal 2"/>
    <tableColumn id="10849" xr3:uid="{22A794A7-3AD8-4665-AD59-317DD14CA7FB}" name="Column10834" dataCellStyle="Normal 2"/>
    <tableColumn id="10850" xr3:uid="{2A357663-5D93-4BC4-83C9-B59AB325CC2E}" name="Column10835" dataCellStyle="Normal 2"/>
    <tableColumn id="10851" xr3:uid="{DB7A1FB6-CEFE-4FBE-9134-A29E0FCF04EB}" name="Column10836" dataCellStyle="Normal 2"/>
    <tableColumn id="10852" xr3:uid="{5B40FE28-C623-480B-A96D-05D02B53E7A8}" name="Column10837" dataCellStyle="Normal 2"/>
    <tableColumn id="10853" xr3:uid="{DAEB3C69-916E-4580-850D-192ED03E1E77}" name="Column10838" dataCellStyle="Normal 2"/>
    <tableColumn id="10854" xr3:uid="{E555CACB-B7E2-43E6-B695-D026B3A03C05}" name="Column10839" dataCellStyle="Normal 2"/>
    <tableColumn id="10855" xr3:uid="{E0FAD3C0-0544-48C6-8C54-A75638BEFD35}" name="Column10840" dataCellStyle="Normal 2"/>
    <tableColumn id="10856" xr3:uid="{F5B82410-6F4B-4A70-BCC4-DC59732C21DA}" name="Column10841" dataCellStyle="Normal 2"/>
    <tableColumn id="10857" xr3:uid="{B15D2A70-426D-4B70-BBF8-23638F51CC6C}" name="Column10842" dataCellStyle="Normal 2"/>
    <tableColumn id="10858" xr3:uid="{86AE6A6A-8EBB-4A66-9D6A-B0F1E6B57131}" name="Column10843" dataCellStyle="Normal 2"/>
    <tableColumn id="10859" xr3:uid="{B08E8709-7500-442B-90D6-1177057E64A6}" name="Column10844" dataCellStyle="Normal 2"/>
    <tableColumn id="10860" xr3:uid="{41662626-4BAB-48F5-AF4D-E3A2B2DEA440}" name="Column10845" dataCellStyle="Normal 2"/>
    <tableColumn id="10861" xr3:uid="{0D5FD85C-40DB-4DB1-B35C-32878EA17EDD}" name="Column10846" dataCellStyle="Normal 2"/>
    <tableColumn id="10862" xr3:uid="{EA49A29C-B68F-45B8-9240-6F1427C29330}" name="Column10847" dataCellStyle="Normal 2"/>
    <tableColumn id="10863" xr3:uid="{5E93D8DD-892F-4AE2-B1C9-32DCDC8A9541}" name="Column10848" dataCellStyle="Normal 2"/>
    <tableColumn id="10864" xr3:uid="{5878D205-BE9B-4337-8876-9E75790EF118}" name="Column10849" dataCellStyle="Normal 2"/>
    <tableColumn id="10865" xr3:uid="{A6ACA3CA-C4D9-4CBE-B6D5-B326CC365077}" name="Column10850" dataCellStyle="Normal 2"/>
    <tableColumn id="10866" xr3:uid="{6E149521-0687-4DA1-91AA-DE8449A9F92F}" name="Column10851" dataCellStyle="Normal 2"/>
    <tableColumn id="10867" xr3:uid="{6CB02291-D89C-4BDB-ADE1-61B3BF0B6C31}" name="Column10852" dataCellStyle="Normal 2"/>
    <tableColumn id="10868" xr3:uid="{CF9B0DC3-DF2C-40AB-835D-442464CF90BE}" name="Column10853" dataCellStyle="Normal 2"/>
    <tableColumn id="10869" xr3:uid="{1FB2EB3C-20DE-4BFA-A445-E668E9CDA0FF}" name="Column10854" dataCellStyle="Normal 2"/>
    <tableColumn id="10870" xr3:uid="{9FB83862-4EF9-4F2B-A56D-2656F9B39A39}" name="Column10855" dataCellStyle="Normal 2"/>
    <tableColumn id="10871" xr3:uid="{4C5066D4-96BA-4560-8EB1-C0BA03967E2E}" name="Column10856" dataCellStyle="Normal 2"/>
    <tableColumn id="10872" xr3:uid="{A83DF878-2555-420F-834A-278B1207A27D}" name="Column10857" dataCellStyle="Normal 2"/>
    <tableColumn id="10873" xr3:uid="{829055CA-D46A-48D5-8708-11406F8856DE}" name="Column10858" dataCellStyle="Normal 2"/>
    <tableColumn id="10874" xr3:uid="{292B5A57-1C6A-490E-868B-326A4B4F0F80}" name="Column10859" dataCellStyle="Normal 2"/>
    <tableColumn id="10875" xr3:uid="{E5412220-476D-45F5-AAE8-1B2147D4A93F}" name="Column10860" dataCellStyle="Normal 2"/>
    <tableColumn id="10876" xr3:uid="{06562DDC-2116-4C7B-81AF-35C6354FEEC8}" name="Column10861" dataCellStyle="Normal 2"/>
    <tableColumn id="10877" xr3:uid="{A02E5D9C-3AFB-49CE-9718-4705BB4BBB53}" name="Column10862" dataCellStyle="Normal 2"/>
    <tableColumn id="10878" xr3:uid="{51582084-03FB-4059-A0AC-6E86D80E54B6}" name="Column10863" dataCellStyle="Normal 2"/>
    <tableColumn id="10879" xr3:uid="{878CD8D6-C57D-4C56-8B2A-E1B8BC1B3A0E}" name="Column10864" dataCellStyle="Normal 2"/>
    <tableColumn id="10880" xr3:uid="{0513DA3C-C4A7-4CC5-843B-73E19165FBC2}" name="Column10865" dataCellStyle="Normal 2"/>
    <tableColumn id="10881" xr3:uid="{D6C6EA1C-857D-4B2F-9F9B-92C24DF8303E}" name="Column10866" dataCellStyle="Normal 2"/>
    <tableColumn id="10882" xr3:uid="{F168A71A-3C96-40F3-8EC5-216B066E9E1B}" name="Column10867" dataCellStyle="Normal 2"/>
    <tableColumn id="10883" xr3:uid="{80A595F5-2B4A-40A8-BD30-215C74D4516A}" name="Column10868" dataCellStyle="Normal 2"/>
    <tableColumn id="10884" xr3:uid="{0DC1F5E0-76ED-46E3-801E-6EAE2D7D5E87}" name="Column10869" dataCellStyle="Normal 2"/>
    <tableColumn id="10885" xr3:uid="{CBBE859C-AF40-4E52-8B74-91CBCF793A1C}" name="Column10870" dataCellStyle="Normal 2"/>
    <tableColumn id="10886" xr3:uid="{E57C728F-DEDF-4984-BB6C-96C8D7F8C918}" name="Column10871" dataCellStyle="Normal 2"/>
    <tableColumn id="10887" xr3:uid="{924301E6-DF0F-4F61-ADF6-FFD63463E0C4}" name="Column10872" dataCellStyle="Normal 2"/>
    <tableColumn id="10888" xr3:uid="{F3A3DC39-31B1-4244-8063-95C81B5C9A08}" name="Column10873" dataCellStyle="Normal 2"/>
    <tableColumn id="10889" xr3:uid="{09A4B925-8CBD-42CE-AC3E-885EC27DF7D9}" name="Column10874" dataCellStyle="Normal 2"/>
    <tableColumn id="10890" xr3:uid="{F68E3AFE-254A-42A8-B312-AA9FA2D36488}" name="Column10875" dataCellStyle="Normal 2"/>
    <tableColumn id="10891" xr3:uid="{BEDE7606-0C93-465B-A71E-1AE4A7484A51}" name="Column10876" dataCellStyle="Normal 2"/>
    <tableColumn id="10892" xr3:uid="{42720B07-1CB2-4452-AA32-067C16AB5DF0}" name="Column10877" dataCellStyle="Normal 2"/>
    <tableColumn id="10893" xr3:uid="{A19FE7E7-0014-4EF5-A514-9E1B45E96F2D}" name="Column10878" dataCellStyle="Normal 2"/>
    <tableColumn id="10894" xr3:uid="{DA4FB782-D7F4-40EC-82CD-F98F60D64E0D}" name="Column10879" dataCellStyle="Normal 2"/>
    <tableColumn id="10895" xr3:uid="{25B5AF2A-2330-422F-A88D-DA196DA6E607}" name="Column10880" dataCellStyle="Normal 2"/>
    <tableColumn id="10896" xr3:uid="{ACD26878-FACE-4C10-8535-BA3743552294}" name="Column10881" dataCellStyle="Normal 2"/>
    <tableColumn id="10897" xr3:uid="{36986538-1E72-45BF-80EB-D59185765F38}" name="Column10882" dataCellStyle="Normal 2"/>
    <tableColumn id="10898" xr3:uid="{A4983DA7-7C31-4529-8ABA-B9962D60A1EA}" name="Column10883" dataCellStyle="Normal 2"/>
    <tableColumn id="10899" xr3:uid="{CA05E8BB-FD30-4F69-8601-C02A850794C9}" name="Column10884" dataCellStyle="Normal 2"/>
    <tableColumn id="10900" xr3:uid="{CAD2AD70-5C19-42D9-9C43-F5302C7FCBDF}" name="Column10885" dataCellStyle="Normal 2"/>
    <tableColumn id="10901" xr3:uid="{5AB42B6C-EC3B-49BB-AFB7-59DC4CD90D72}" name="Column10886" dataCellStyle="Normal 2"/>
    <tableColumn id="10902" xr3:uid="{2D540B93-1854-4ECD-BEE8-673B3C8FBD91}" name="Column10887" dataCellStyle="Normal 2"/>
    <tableColumn id="10903" xr3:uid="{49269E59-C56B-4C87-BFC3-31D3AC0C7558}" name="Column10888" dataCellStyle="Normal 2"/>
    <tableColumn id="10904" xr3:uid="{B45BB9C8-F3BD-4BFF-BF89-31B5E3B3247E}" name="Column10889" dataCellStyle="Normal 2"/>
    <tableColumn id="10905" xr3:uid="{E002539C-8F58-49AD-B0AA-856EA7C9E1C1}" name="Column10890" dataCellStyle="Normal 2"/>
    <tableColumn id="10906" xr3:uid="{B6F30327-6117-48B4-89A2-29630A5017CA}" name="Column10891" dataCellStyle="Normal 2"/>
    <tableColumn id="10907" xr3:uid="{5A3F8201-5B00-456A-9E76-D2E319A06CC2}" name="Column10892" dataCellStyle="Normal 2"/>
    <tableColumn id="10908" xr3:uid="{404294CB-DEB1-47E3-8DB2-65B490E3E946}" name="Column10893" dataCellStyle="Normal 2"/>
    <tableColumn id="10909" xr3:uid="{C871D445-C64D-4139-B84C-30A76E9A2326}" name="Column10894" dataCellStyle="Normal 2"/>
    <tableColumn id="10910" xr3:uid="{77CC6014-A0A3-4BFA-8F15-2F0D99753A90}" name="Column10895" dataCellStyle="Normal 2"/>
    <tableColumn id="10911" xr3:uid="{8E86D2C8-909B-4944-8EAC-DDC80BCF5297}" name="Column10896" dataCellStyle="Normal 2"/>
    <tableColumn id="10912" xr3:uid="{EDAECC67-C350-48BA-933D-718D8717C3F1}" name="Column10897" dataCellStyle="Normal 2"/>
    <tableColumn id="10913" xr3:uid="{DB4BF80E-A584-417D-863C-FA0B8EF0047D}" name="Column10898" dataCellStyle="Normal 2"/>
    <tableColumn id="10914" xr3:uid="{07AB65EF-D154-48F7-ABA6-A030F9C7FB14}" name="Column10899" dataCellStyle="Normal 2"/>
    <tableColumn id="10915" xr3:uid="{4F041886-1581-428B-8C31-C2BBF64C2288}" name="Column10900" dataCellStyle="Normal 2"/>
    <tableColumn id="10916" xr3:uid="{45C742DD-FFEB-4BF3-854F-FE11E61B63B7}" name="Column10901" dataCellStyle="Normal 2"/>
    <tableColumn id="10917" xr3:uid="{A465F36C-BC5C-42A1-A77D-FBF1545154B2}" name="Column10902" dataCellStyle="Normal 2"/>
    <tableColumn id="10918" xr3:uid="{CA538CB2-6BC4-4BF7-A436-E108E4F90A20}" name="Column10903" dataCellStyle="Normal 2"/>
    <tableColumn id="10919" xr3:uid="{0BC19194-588E-42B8-872B-876E471CAFE1}" name="Column10904" dataCellStyle="Normal 2"/>
    <tableColumn id="10920" xr3:uid="{5794D8E2-1D4E-4CB4-BF26-97460094708D}" name="Column10905" dataCellStyle="Normal 2"/>
    <tableColumn id="10921" xr3:uid="{BA842C30-9E14-4253-AEAF-5D699DE9D732}" name="Column10906" dataCellStyle="Normal 2"/>
    <tableColumn id="10922" xr3:uid="{AA253FDE-1423-4D29-9BF1-42D36793B0BB}" name="Column10907" dataCellStyle="Normal 2"/>
    <tableColumn id="10923" xr3:uid="{DC6CE247-FEA3-4674-8EE9-540F9C600FEB}" name="Column10908" dataCellStyle="Normal 2"/>
    <tableColumn id="10924" xr3:uid="{0E241002-DFB9-4802-8BF3-38A911264959}" name="Column10909" dataCellStyle="Normal 2"/>
    <tableColumn id="10925" xr3:uid="{282C78DC-22C1-44D1-9AD9-81F8DB5BF3F0}" name="Column10910" dataCellStyle="Normal 2"/>
    <tableColumn id="10926" xr3:uid="{877EC047-98A8-4622-9C9B-6F60FCA6C606}" name="Column10911" dataCellStyle="Normal 2"/>
    <tableColumn id="10927" xr3:uid="{4CD42358-0F8C-4855-A3E1-ECB4A01C4059}" name="Column10912" dataCellStyle="Normal 2"/>
    <tableColumn id="10928" xr3:uid="{E72FA1D5-DD73-43A8-9553-3FEE4860BCBA}" name="Column10913" dataCellStyle="Normal 2"/>
    <tableColumn id="10929" xr3:uid="{060E80E9-E380-40C7-BD15-41ACFADB2C96}" name="Column10914" dataCellStyle="Normal 2"/>
    <tableColumn id="10930" xr3:uid="{825B01EA-4665-483C-8E5C-EF978571A91D}" name="Column10915" dataCellStyle="Normal 2"/>
    <tableColumn id="10931" xr3:uid="{D1F42B00-8CCA-41FD-BF0C-31CFC543D390}" name="Column10916" dataCellStyle="Normal 2"/>
    <tableColumn id="10932" xr3:uid="{22B8B20D-E47E-4AAE-828D-C82AA8C522EF}" name="Column10917" dataCellStyle="Normal 2"/>
    <tableColumn id="10933" xr3:uid="{CB58BCF8-40FF-4A43-BE24-DCC7CB079A08}" name="Column10918" dataCellStyle="Normal 2"/>
    <tableColumn id="10934" xr3:uid="{10A7F212-3876-48A7-9CFE-4E863971C3D0}" name="Column10919" dataCellStyle="Normal 2"/>
    <tableColumn id="10935" xr3:uid="{3BC4CA71-C93A-47FB-BF32-A052C907C231}" name="Column10920" dataCellStyle="Normal 2"/>
    <tableColumn id="10936" xr3:uid="{472F8C88-F605-4381-9FEE-3CDA4E625124}" name="Column10921" dataCellStyle="Normal 2"/>
    <tableColumn id="10937" xr3:uid="{1E140581-4A94-4803-9048-1713856EA220}" name="Column10922" dataCellStyle="Normal 2"/>
    <tableColumn id="10938" xr3:uid="{93CEEB8C-A7B5-4AD7-8F2A-5EDCB3B602D7}" name="Column10923" dataCellStyle="Normal 2"/>
    <tableColumn id="10939" xr3:uid="{3E085037-315B-4F17-B895-9B76460B0985}" name="Column10924" dataCellStyle="Normal 2"/>
    <tableColumn id="10940" xr3:uid="{8192EBFB-2760-469D-B2B1-A27ECE70CDC5}" name="Column10925" dataCellStyle="Normal 2"/>
    <tableColumn id="10941" xr3:uid="{EB84FA02-C375-44F5-869F-36A6B24419FB}" name="Column10926" dataCellStyle="Normal 2"/>
    <tableColumn id="10942" xr3:uid="{B186D4A7-16E5-4359-B25C-D0087E2C186A}" name="Column10927" dataCellStyle="Normal 2"/>
    <tableColumn id="10943" xr3:uid="{72F85FB5-6F92-4C37-9272-00C246AD56F8}" name="Column10928" dataCellStyle="Normal 2"/>
    <tableColumn id="10944" xr3:uid="{C7FF62D8-20CD-4AC8-AB8E-DF4F74BF2226}" name="Column10929" dataCellStyle="Normal 2"/>
    <tableColumn id="10945" xr3:uid="{1574C75A-ADF0-46F4-93CE-51A0750C0D58}" name="Column10930" dataCellStyle="Normal 2"/>
    <tableColumn id="10946" xr3:uid="{D3B22281-0ACF-4110-AFC9-8DEF2A6B1C25}" name="Column10931" dataCellStyle="Normal 2"/>
    <tableColumn id="10947" xr3:uid="{1183D713-C65A-4B36-B5C2-506A23719370}" name="Column10932" dataCellStyle="Normal 2"/>
    <tableColumn id="10948" xr3:uid="{6B107B2C-E1D3-46BD-BDE3-54721D798512}" name="Column10933" dataCellStyle="Normal 2"/>
    <tableColumn id="10949" xr3:uid="{75166BA0-4836-49D6-BE81-20B486B0F61D}" name="Column10934" dataCellStyle="Normal 2"/>
    <tableColumn id="10950" xr3:uid="{5C544485-861B-4875-9D20-EB4DC6E7468B}" name="Column10935" dataCellStyle="Normal 2"/>
    <tableColumn id="10951" xr3:uid="{9CAA2FED-DDB9-4441-A9A3-82897251952A}" name="Column10936" dataCellStyle="Normal 2"/>
    <tableColumn id="10952" xr3:uid="{8FEF0707-C93E-4E29-AA09-CC72119C0D97}" name="Column10937" dataCellStyle="Normal 2"/>
    <tableColumn id="10953" xr3:uid="{ED57BF99-4565-467C-A0E9-8BEE8D4003A6}" name="Column10938" dataCellStyle="Normal 2"/>
    <tableColumn id="10954" xr3:uid="{E0F9D542-4FAA-4D39-A485-68F4BB0A153C}" name="Column10939" dataCellStyle="Normal 2"/>
    <tableColumn id="10955" xr3:uid="{32728D00-E56C-4975-AEDD-AAB8C7073343}" name="Column10940" dataCellStyle="Normal 2"/>
    <tableColumn id="10956" xr3:uid="{E76D801A-60B9-4406-8C0D-1A867D288A28}" name="Column10941" dataCellStyle="Normal 2"/>
    <tableColumn id="10957" xr3:uid="{CA48AD3F-B577-4C7E-8AE5-27CEFC3C6416}" name="Column10942" dataCellStyle="Normal 2"/>
    <tableColumn id="10958" xr3:uid="{A6C9F282-A3AE-4F12-A145-BD3B8D0178C5}" name="Column10943" dataCellStyle="Normal 2"/>
    <tableColumn id="10959" xr3:uid="{E76AD457-2FF3-4F15-84D2-A00AE9E7A72B}" name="Column10944" dataCellStyle="Normal 2"/>
    <tableColumn id="10960" xr3:uid="{55866D76-5A7B-48C9-AE79-84F56D3C7ACB}" name="Column10945" dataCellStyle="Normal 2"/>
    <tableColumn id="10961" xr3:uid="{530B3350-4B6D-452E-9833-7E402B2C9AB3}" name="Column10946" dataCellStyle="Normal 2"/>
    <tableColumn id="10962" xr3:uid="{2A981BA6-CBD8-4B5D-81F9-E13DD3095CB4}" name="Column10947" dataCellStyle="Normal 2"/>
    <tableColumn id="10963" xr3:uid="{3AA951CF-9AD8-48C3-B890-70C2291CE519}" name="Column10948" dataCellStyle="Normal 2"/>
    <tableColumn id="10964" xr3:uid="{5FD676CE-1641-4E0E-8760-EE7A23CC7439}" name="Column10949" dataCellStyle="Normal 2"/>
    <tableColumn id="10965" xr3:uid="{3DB60AE1-08D4-4C61-94C3-E3056312C724}" name="Column10950" dataCellStyle="Normal 2"/>
    <tableColumn id="10966" xr3:uid="{E762851A-4642-4CE2-AE98-4055117285F8}" name="Column10951" dataCellStyle="Normal 2"/>
    <tableColumn id="10967" xr3:uid="{B40972A8-B411-4D81-93C6-290F3A3C83C5}" name="Column10952" dataCellStyle="Normal 2"/>
    <tableColumn id="10968" xr3:uid="{AC509B9A-4AF1-40BC-B3F9-C9CEB4E6CBB4}" name="Column10953" dataCellStyle="Normal 2"/>
    <tableColumn id="10969" xr3:uid="{2DA3C917-0C96-4466-A943-C2AADFF602FD}" name="Column10954" dataCellStyle="Normal 2"/>
    <tableColumn id="10970" xr3:uid="{F769D34B-78E5-487A-89F2-38CBF1138632}" name="Column10955" dataCellStyle="Normal 2"/>
    <tableColumn id="10971" xr3:uid="{B66C34E0-1257-4665-8AE4-F1ED51978D72}" name="Column10956" dataCellStyle="Normal 2"/>
    <tableColumn id="10972" xr3:uid="{7808E67A-C30F-4CF1-90E5-9323A5EDE374}" name="Column10957" dataCellStyle="Normal 2"/>
    <tableColumn id="10973" xr3:uid="{4D06DFE3-833C-43F5-91CF-D96969F815E2}" name="Column10958" dataCellStyle="Normal 2"/>
    <tableColumn id="10974" xr3:uid="{5401A398-3F67-4062-B03B-C3E9A7369E32}" name="Column10959" dataCellStyle="Normal 2"/>
    <tableColumn id="10975" xr3:uid="{D187ABEB-C308-45F5-82AA-F38413E53D76}" name="Column10960" dataCellStyle="Normal 2"/>
    <tableColumn id="10976" xr3:uid="{8623B522-56FA-4E13-B5E1-E0C00704469A}" name="Column10961" dataCellStyle="Normal 2"/>
    <tableColumn id="10977" xr3:uid="{1C28C34D-896E-4E16-8B7B-D6868417ACEB}" name="Column10962" dataCellStyle="Normal 2"/>
    <tableColumn id="10978" xr3:uid="{E0931213-758A-4E42-8618-EF4D45F0594C}" name="Column10963" dataCellStyle="Normal 2"/>
    <tableColumn id="10979" xr3:uid="{7E2EA148-01E7-4275-8BA3-A6E3302BEF83}" name="Column10964" dataCellStyle="Normal 2"/>
    <tableColumn id="10980" xr3:uid="{D51EBF19-E8A0-4D39-9321-79FE211BF2D1}" name="Column10965" dataCellStyle="Normal 2"/>
    <tableColumn id="10981" xr3:uid="{F9DCA045-69B0-469A-8E3B-63A7842B249A}" name="Column10966" dataCellStyle="Normal 2"/>
    <tableColumn id="10982" xr3:uid="{4468F8A0-208D-49D8-91FD-6DF3340BDC85}" name="Column10967" dataCellStyle="Normal 2"/>
    <tableColumn id="10983" xr3:uid="{F6133AC9-185D-45C3-93C7-6DFEB9978FA0}" name="Column10968" dataCellStyle="Normal 2"/>
    <tableColumn id="10984" xr3:uid="{59A01BAA-6935-4FC4-958A-BC98E7A95ABC}" name="Column10969" dataCellStyle="Normal 2"/>
    <tableColumn id="10985" xr3:uid="{40CBE0F7-9183-436C-9235-6435B503F51F}" name="Column10970" dataCellStyle="Normal 2"/>
    <tableColumn id="10986" xr3:uid="{A10E41EB-0354-4A22-B42A-0E5C55EE3414}" name="Column10971" dataCellStyle="Normal 2"/>
    <tableColumn id="10987" xr3:uid="{9AF46A00-84EB-4BA5-8052-BE805AB63A37}" name="Column10972" dataCellStyle="Normal 2"/>
    <tableColumn id="10988" xr3:uid="{3A91B301-67E9-4BDC-991E-99A29C24C882}" name="Column10973" dataCellStyle="Normal 2"/>
    <tableColumn id="10989" xr3:uid="{4F8BFA9A-25BE-4B58-AEC3-C06FD17683B1}" name="Column10974" dataCellStyle="Normal 2"/>
    <tableColumn id="10990" xr3:uid="{6B85422A-D9A3-4622-A0A9-373637AFA8C1}" name="Column10975" dataCellStyle="Normal 2"/>
    <tableColumn id="10991" xr3:uid="{26615F98-1EAA-4B08-80CB-AEA00FE4408A}" name="Column10976" dataCellStyle="Normal 2"/>
    <tableColumn id="10992" xr3:uid="{2546584F-E964-4130-90BF-2F07FB895138}" name="Column10977" dataCellStyle="Normal 2"/>
    <tableColumn id="10993" xr3:uid="{5627B3AE-9647-443B-ADD5-4A98E85E254D}" name="Column10978" dataCellStyle="Normal 2"/>
    <tableColumn id="10994" xr3:uid="{A97C48D3-F731-41A4-8018-BF05E8AB0F52}" name="Column10979" dataCellStyle="Normal 2"/>
    <tableColumn id="10995" xr3:uid="{057B6E86-9E8C-4146-BD56-107B3EE29025}" name="Column10980" dataCellStyle="Normal 2"/>
    <tableColumn id="10996" xr3:uid="{BBB94C2C-1874-40C5-ABF7-0B2D043D9FB1}" name="Column10981" dataCellStyle="Normal 2"/>
    <tableColumn id="10997" xr3:uid="{DCBF0E99-38F7-466F-937F-A462182D73B8}" name="Column10982" dataCellStyle="Normal 2"/>
    <tableColumn id="10998" xr3:uid="{D1B5832D-101B-497F-AC66-289398C00093}" name="Column10983" dataCellStyle="Normal 2"/>
    <tableColumn id="10999" xr3:uid="{195DFA15-9623-4AAE-A8E5-5BBA745086A4}" name="Column10984" dataCellStyle="Normal 2"/>
    <tableColumn id="11000" xr3:uid="{AEFC374B-9B47-4303-B344-A32866465202}" name="Column10985" dataCellStyle="Normal 2"/>
    <tableColumn id="11001" xr3:uid="{F8F84BDE-B4EA-42CA-BCE8-8B15A45AAAEC}" name="Column10986" dataCellStyle="Normal 2"/>
    <tableColumn id="11002" xr3:uid="{4B300B47-F68B-4312-9810-BA2D7CFC1375}" name="Column10987" dataCellStyle="Normal 2"/>
    <tableColumn id="11003" xr3:uid="{00B55BDA-7A0A-46BD-8364-41A642BD668B}" name="Column10988" dataCellStyle="Normal 2"/>
    <tableColumn id="11004" xr3:uid="{3EE1C675-C9CC-466D-874B-831EEE2DFE40}" name="Column10989" dataCellStyle="Normal 2"/>
    <tableColumn id="11005" xr3:uid="{44E2ED47-AB15-4A96-8CD0-10E953D6880D}" name="Column10990" dataCellStyle="Normal 2"/>
    <tableColumn id="11006" xr3:uid="{356F16B6-2EA5-44C2-9EB5-14D95E1FF073}" name="Column10991" dataCellStyle="Normal 2"/>
    <tableColumn id="11007" xr3:uid="{5CDD2809-4044-47CA-93B3-B7F1DEEB2F8C}" name="Column10992" dataCellStyle="Normal 2"/>
    <tableColumn id="11008" xr3:uid="{2D023C8A-F92A-4D7E-A6FA-D7252CB74955}" name="Column10993" dataCellStyle="Normal 2"/>
    <tableColumn id="11009" xr3:uid="{00DCDF46-9324-4C74-A286-5EBB331CE69C}" name="Column10994" dataCellStyle="Normal 2"/>
    <tableColumn id="11010" xr3:uid="{6996E63E-3416-4F66-B6D2-3FB761D94A43}" name="Column10995" dataCellStyle="Normal 2"/>
    <tableColumn id="11011" xr3:uid="{9453589C-D3D3-4DDC-8604-90115AAE7E2C}" name="Column10996" dataCellStyle="Normal 2"/>
    <tableColumn id="11012" xr3:uid="{EB6D460F-D5B1-4A20-83DC-88F011564167}" name="Column10997" dataCellStyle="Normal 2"/>
    <tableColumn id="11013" xr3:uid="{C2B5F144-0A5E-46B7-8FC5-BBE78518A3B7}" name="Column10998" dataCellStyle="Normal 2"/>
    <tableColumn id="11014" xr3:uid="{F34AEE12-80BC-4850-929A-AEF5B9C3F42A}" name="Column10999" dataCellStyle="Normal 2"/>
    <tableColumn id="11015" xr3:uid="{F420AF6A-48A1-442A-96AC-B95B1B8030EC}" name="Column11000" dataCellStyle="Normal 2"/>
    <tableColumn id="11016" xr3:uid="{B81937BC-7871-4408-9A96-95441ED31833}" name="Column11001" dataCellStyle="Normal 2"/>
    <tableColumn id="11017" xr3:uid="{71953F99-4712-4234-9E2C-D93CDB336720}" name="Column11002" dataCellStyle="Normal 2"/>
    <tableColumn id="11018" xr3:uid="{13FA52A3-FF8B-44D0-9EEC-FD67946FD292}" name="Column11003" dataCellStyle="Normal 2"/>
    <tableColumn id="11019" xr3:uid="{F3CEAEFB-07F1-45E6-A405-A9A0B7EC3C2D}" name="Column11004" dataCellStyle="Normal 2"/>
    <tableColumn id="11020" xr3:uid="{5EA09536-4335-4A7D-A529-7D206AFEF1E6}" name="Column11005" dataCellStyle="Normal 2"/>
    <tableColumn id="11021" xr3:uid="{070D290E-9AAB-4982-87A3-9E05C78EA6E0}" name="Column11006" dataCellStyle="Normal 2"/>
    <tableColumn id="11022" xr3:uid="{D420549F-9563-46D0-86FA-0CE0413C2A51}" name="Column11007" dataCellStyle="Normal 2"/>
    <tableColumn id="11023" xr3:uid="{992D1E78-8686-4804-B633-0D4F2AD4FFE5}" name="Column11008" dataCellStyle="Normal 2"/>
    <tableColumn id="11024" xr3:uid="{AEE0EC2D-6665-4B5D-96CC-76B9BAD8A661}" name="Column11009" dataCellStyle="Normal 2"/>
    <tableColumn id="11025" xr3:uid="{10BCF3B1-1238-4987-A00B-49AE9F0134F9}" name="Column11010" dataCellStyle="Normal 2"/>
    <tableColumn id="11026" xr3:uid="{63FD9B0B-DFEC-4C5E-BB76-58C5B396C0DD}" name="Column11011" dataCellStyle="Normal 2"/>
    <tableColumn id="11027" xr3:uid="{1BDC4E51-A2B1-4A71-A65A-F8407C7E3428}" name="Column11012" dataCellStyle="Normal 2"/>
    <tableColumn id="11028" xr3:uid="{61161D08-C9B6-4273-A98C-7FF15DEE07A6}" name="Column11013" dataCellStyle="Normal 2"/>
    <tableColumn id="11029" xr3:uid="{4891EECB-B80E-4CC5-B015-77075E38229A}" name="Column11014" dataCellStyle="Normal 2"/>
    <tableColumn id="11030" xr3:uid="{B5B4CC4E-AF1E-43A2-B3F2-7E74F62E4C6C}" name="Column11015" dataCellStyle="Normal 2"/>
    <tableColumn id="11031" xr3:uid="{ED6EA833-DAD4-470B-8C2E-F65B01BC7FA0}" name="Column11016" dataCellStyle="Normal 2"/>
    <tableColumn id="11032" xr3:uid="{899AC770-04A5-46CA-84AE-E50FB71C688A}" name="Column11017" dataCellStyle="Normal 2"/>
    <tableColumn id="11033" xr3:uid="{19559501-13F8-4398-A91C-C7DF516058F9}" name="Column11018" dataCellStyle="Normal 2"/>
    <tableColumn id="11034" xr3:uid="{88E4C2B0-A026-422E-81AC-409B32590689}" name="Column11019" dataCellStyle="Normal 2"/>
    <tableColumn id="11035" xr3:uid="{8EEAB0A7-5F8D-4320-B211-304D2EB1C196}" name="Column11020" dataCellStyle="Normal 2"/>
    <tableColumn id="11036" xr3:uid="{E0096AB4-1D69-445F-B04A-D552ED53FAC8}" name="Column11021" dataCellStyle="Normal 2"/>
    <tableColumn id="11037" xr3:uid="{ACEF2B46-A134-4AF8-8EB5-B90DE1A4C4D9}" name="Column11022" dataCellStyle="Normal 2"/>
    <tableColumn id="11038" xr3:uid="{0CB9164D-9AB3-413A-B70C-788CA2C590CD}" name="Column11023" dataCellStyle="Normal 2"/>
    <tableColumn id="11039" xr3:uid="{FF258CAD-5233-498E-AD9B-05E1A00393DE}" name="Column11024" dataCellStyle="Normal 2"/>
    <tableColumn id="11040" xr3:uid="{456A3A51-26A9-4234-93A5-2DF172F3E325}" name="Column11025" dataCellStyle="Normal 2"/>
    <tableColumn id="11041" xr3:uid="{B18BBE18-219A-4ECA-88B7-3A3A6C44113D}" name="Column11026" dataCellStyle="Normal 2"/>
    <tableColumn id="11042" xr3:uid="{73BDF49A-7ACC-4776-A108-75CF7AA24DD3}" name="Column11027" dataCellStyle="Normal 2"/>
    <tableColumn id="11043" xr3:uid="{A6842674-624A-4D13-8D85-C22B4CAF9825}" name="Column11028" dataCellStyle="Normal 2"/>
    <tableColumn id="11044" xr3:uid="{D3AAA821-6ACA-4B35-B020-EE960D27A489}" name="Column11029" dataCellStyle="Normal 2"/>
    <tableColumn id="11045" xr3:uid="{4A8037F2-3893-4BAD-955F-44B662C4B705}" name="Column11030" dataCellStyle="Normal 2"/>
    <tableColumn id="11046" xr3:uid="{A9914A1D-4780-4AB7-BC5E-167F94AD578E}" name="Column11031" dataCellStyle="Normal 2"/>
    <tableColumn id="11047" xr3:uid="{285C649F-7755-40E0-B0AD-31C4E051E784}" name="Column11032" dataCellStyle="Normal 2"/>
    <tableColumn id="11048" xr3:uid="{AD155E27-FFBE-461F-B2D3-DF4028C1B092}" name="Column11033" dataCellStyle="Normal 2"/>
    <tableColumn id="11049" xr3:uid="{B9001B7D-0BE1-4D6A-AF64-9C3809F963E5}" name="Column11034" dataCellStyle="Normal 2"/>
    <tableColumn id="11050" xr3:uid="{46EF90A5-6D6F-4CF2-9131-59DF73040FFB}" name="Column11035" dataCellStyle="Normal 2"/>
    <tableColumn id="11051" xr3:uid="{5700C40C-A150-4159-9D74-38091596FD97}" name="Column11036" dataCellStyle="Normal 2"/>
    <tableColumn id="11052" xr3:uid="{EA4C08FC-DFFC-4DF9-A9B2-8D649106E89F}" name="Column11037" dataCellStyle="Normal 2"/>
    <tableColumn id="11053" xr3:uid="{E821927C-7BC7-48BC-ADA1-3CFAE437FB3F}" name="Column11038" dataCellStyle="Normal 2"/>
    <tableColumn id="11054" xr3:uid="{B6F0E075-78C7-4CBE-8169-DD9BCD6C338A}" name="Column11039" dataCellStyle="Normal 2"/>
    <tableColumn id="11055" xr3:uid="{FE4B5C16-B9D0-4C75-A33A-D892F7F42A3A}" name="Column11040" dataCellStyle="Normal 2"/>
    <tableColumn id="11056" xr3:uid="{0323EA6D-9235-4EE8-9470-7E3AC67101CE}" name="Column11041" dataCellStyle="Normal 2"/>
    <tableColumn id="11057" xr3:uid="{5F9E96E1-B0E6-4E5D-96F1-711E75BF0307}" name="Column11042" dataCellStyle="Normal 2"/>
    <tableColumn id="11058" xr3:uid="{1383D388-C92C-44D7-90D2-9B6AF55330AB}" name="Column11043" dataCellStyle="Normal 2"/>
    <tableColumn id="11059" xr3:uid="{36C68EBF-83F4-4392-8755-6A5ECCE790A9}" name="Column11044" dataCellStyle="Normal 2"/>
    <tableColumn id="11060" xr3:uid="{4DCDE41A-09A5-461F-96D6-3B747E1D9281}" name="Column11045" dataCellStyle="Normal 2"/>
    <tableColumn id="11061" xr3:uid="{BDFAFDEE-7E02-4CC6-8207-779764CB853D}" name="Column11046" dataCellStyle="Normal 2"/>
    <tableColumn id="11062" xr3:uid="{A53731D4-F9E7-4B9E-99B2-9D34EB4FE815}" name="Column11047" dataCellStyle="Normal 2"/>
    <tableColumn id="11063" xr3:uid="{D1095545-2E2D-4F5B-A6DD-E796D25D178E}" name="Column11048" dataCellStyle="Normal 2"/>
    <tableColumn id="11064" xr3:uid="{CFB17C9C-95AB-4C65-9233-2CCAA7CCB34F}" name="Column11049" dataCellStyle="Normal 2"/>
    <tableColumn id="11065" xr3:uid="{076BDF8A-3026-46D2-B53D-F56B80ABD5E7}" name="Column11050" dataCellStyle="Normal 2"/>
    <tableColumn id="11066" xr3:uid="{AC472C9C-DC53-44F4-9F5D-922B8C0D53EE}" name="Column11051" dataCellStyle="Normal 2"/>
    <tableColumn id="11067" xr3:uid="{5BECA722-3482-41D7-A70F-2E42AA4412DE}" name="Column11052" dataCellStyle="Normal 2"/>
    <tableColumn id="11068" xr3:uid="{42CC3310-4DE5-452B-A133-3408BB0148BE}" name="Column11053" dataCellStyle="Normal 2"/>
    <tableColumn id="11069" xr3:uid="{1242CBF3-BBB9-4B77-A2A2-CF4F9AB6313E}" name="Column11054" dataCellStyle="Normal 2"/>
    <tableColumn id="11070" xr3:uid="{B4C01B70-9B66-49C7-93D3-91F6795C2044}" name="Column11055" dataCellStyle="Normal 2"/>
    <tableColumn id="11071" xr3:uid="{75AD07E5-2541-40D5-BDED-804021D0F27C}" name="Column11056" dataCellStyle="Normal 2"/>
    <tableColumn id="11072" xr3:uid="{F1CE9BF0-4EE6-4D80-BD0B-23DD6C4BB7E8}" name="Column11057" dataCellStyle="Normal 2"/>
    <tableColumn id="11073" xr3:uid="{7117AFC2-4CC2-47D9-B62E-5FB225AF8A62}" name="Column11058" dataCellStyle="Normal 2"/>
    <tableColumn id="11074" xr3:uid="{64F4C908-464D-4263-9C5D-57A55A6A7205}" name="Column11059" dataCellStyle="Normal 2"/>
    <tableColumn id="11075" xr3:uid="{30A34E70-75E1-452D-A03F-7C078AAFD06A}" name="Column11060" dataCellStyle="Normal 2"/>
    <tableColumn id="11076" xr3:uid="{329E1BD4-C9B5-4E62-AA1D-183194AC6A48}" name="Column11061" dataCellStyle="Normal 2"/>
    <tableColumn id="11077" xr3:uid="{6414B93D-09B1-43A7-A56D-F02AC5767542}" name="Column11062" dataCellStyle="Normal 2"/>
    <tableColumn id="11078" xr3:uid="{CE0265EF-867E-4F3F-832A-97D0BB9D26BC}" name="Column11063" dataCellStyle="Normal 2"/>
    <tableColumn id="11079" xr3:uid="{B586BA4C-B5EA-4FBD-8D02-7D2BF912BA46}" name="Column11064" dataCellStyle="Normal 2"/>
    <tableColumn id="11080" xr3:uid="{854D6384-9090-48D8-B9A8-B403727BC812}" name="Column11065" dataCellStyle="Normal 2"/>
    <tableColumn id="11081" xr3:uid="{7F74E79B-9350-4700-9650-610D95526EF9}" name="Column11066" dataCellStyle="Normal 2"/>
    <tableColumn id="11082" xr3:uid="{B09F56BA-3B9C-416E-A580-1F938D3D8D5E}" name="Column11067" dataCellStyle="Normal 2"/>
    <tableColumn id="11083" xr3:uid="{ECD03449-450D-422D-9601-8C13AB59E0CE}" name="Column11068" dataCellStyle="Normal 2"/>
    <tableColumn id="11084" xr3:uid="{0C52F991-FEC6-487A-9F21-2697811DB577}" name="Column11069" dataCellStyle="Normal 2"/>
    <tableColumn id="11085" xr3:uid="{A09844A1-5C71-4F5D-B2DA-F67DF2807526}" name="Column11070" dataCellStyle="Normal 2"/>
    <tableColumn id="11086" xr3:uid="{FA3EDB5A-64F7-4360-963D-98D8A315D35B}" name="Column11071" dataCellStyle="Normal 2"/>
    <tableColumn id="11087" xr3:uid="{9BC5C1F5-20A6-4098-B8EC-11BEBD9C6FDB}" name="Column11072" dataCellStyle="Normal 2"/>
    <tableColumn id="11088" xr3:uid="{2A4797DA-DE5E-4C92-AFE9-5EBBB5092E9E}" name="Column11073" dataCellStyle="Normal 2"/>
    <tableColumn id="11089" xr3:uid="{BFDA33BC-2212-42C1-9421-2D59C829FC14}" name="Column11074" dataCellStyle="Normal 2"/>
    <tableColumn id="11090" xr3:uid="{3D093355-D091-49A1-AC60-E749AEC61E0A}" name="Column11075" dataCellStyle="Normal 2"/>
    <tableColumn id="11091" xr3:uid="{0A61F573-C445-4246-A0D4-C714A6CA8874}" name="Column11076" dataCellStyle="Normal 2"/>
    <tableColumn id="11092" xr3:uid="{71517025-7C77-4AC3-ADBE-802001EE88AD}" name="Column11077" dataCellStyle="Normal 2"/>
    <tableColumn id="11093" xr3:uid="{DB6F9BC9-B5D5-4848-9BB4-CCCA08E2DC22}" name="Column11078" dataCellStyle="Normal 2"/>
    <tableColumn id="11094" xr3:uid="{EB282A39-C8BA-4846-8EF5-32D4C4BE9790}" name="Column11079" dataCellStyle="Normal 2"/>
    <tableColumn id="11095" xr3:uid="{75BF2FD9-D6F2-4660-9507-405A444E1F36}" name="Column11080" dataCellStyle="Normal 2"/>
    <tableColumn id="11096" xr3:uid="{E5E46428-8C29-40DD-B007-4F5C16A13838}" name="Column11081" dataCellStyle="Normal 2"/>
    <tableColumn id="11097" xr3:uid="{E3A79FFD-392E-4158-877D-CBD4281212FC}" name="Column11082" dataCellStyle="Normal 2"/>
    <tableColumn id="11098" xr3:uid="{AADC9E5F-4B84-4485-B148-99014AE7EDCC}" name="Column11083" dataCellStyle="Normal 2"/>
    <tableColumn id="11099" xr3:uid="{0EAE383B-D74B-439C-8062-E69546B6AB60}" name="Column11084" dataCellStyle="Normal 2"/>
    <tableColumn id="11100" xr3:uid="{D8C5E4BA-EE3D-41F0-A57F-5414FDD649C1}" name="Column11085" dataCellStyle="Normal 2"/>
    <tableColumn id="11101" xr3:uid="{D3374761-5113-4945-B34D-ABA5AAA45ABC}" name="Column11086" dataCellStyle="Normal 2"/>
    <tableColumn id="11102" xr3:uid="{39E396B6-35EF-4B4A-B19E-725E8530E36E}" name="Column11087" dataCellStyle="Normal 2"/>
    <tableColumn id="11103" xr3:uid="{1290D6B2-B76B-4F86-B156-E78D1CC0B95F}" name="Column11088" dataCellStyle="Normal 2"/>
    <tableColumn id="11104" xr3:uid="{775A41B8-83A6-40BF-BABA-E82E50A2A02B}" name="Column11089" dataCellStyle="Normal 2"/>
    <tableColumn id="11105" xr3:uid="{54501D6B-07D1-4E70-8571-5C3986349723}" name="Column11090" dataCellStyle="Normal 2"/>
    <tableColumn id="11106" xr3:uid="{71473D6E-B8C9-4B93-9E78-92B028807FB4}" name="Column11091" dataCellStyle="Normal 2"/>
    <tableColumn id="11107" xr3:uid="{CFEE0ECA-2A6B-42FE-BDF6-FD64E1D339C7}" name="Column11092" dataCellStyle="Normal 2"/>
    <tableColumn id="11108" xr3:uid="{7B712E92-58E8-42E8-BAFD-940FE05C14CA}" name="Column11093" dataCellStyle="Normal 2"/>
    <tableColumn id="11109" xr3:uid="{1FCD922F-2A9B-4B6B-9AD5-72B83EC1D0F3}" name="Column11094" dataCellStyle="Normal 2"/>
    <tableColumn id="11110" xr3:uid="{36E888AA-5493-4B7B-9EA3-89947482376A}" name="Column11095" dataCellStyle="Normal 2"/>
    <tableColumn id="11111" xr3:uid="{E7B72BD5-9171-416C-A777-2FBBDA8E38FB}" name="Column11096" dataCellStyle="Normal 2"/>
    <tableColumn id="11112" xr3:uid="{4BC2E1C2-5979-4B67-AEB8-89CA893AEC2C}" name="Column11097" dataCellStyle="Normal 2"/>
    <tableColumn id="11113" xr3:uid="{010B2FA2-52D4-431C-B9E2-D1DE2883BABD}" name="Column11098" dataCellStyle="Normal 2"/>
    <tableColumn id="11114" xr3:uid="{2C37C5CA-6533-4358-BED4-8BCA3F194B27}" name="Column11099" dataCellStyle="Normal 2"/>
    <tableColumn id="11115" xr3:uid="{470C6452-91FD-4DC7-B36F-DA99DCFDAAEF}" name="Column11100" dataCellStyle="Normal 2"/>
    <tableColumn id="11116" xr3:uid="{7B0ECE5E-B612-46D3-89C3-BE6E49DA8BC9}" name="Column11101" dataCellStyle="Normal 2"/>
    <tableColumn id="11117" xr3:uid="{A63C1658-41B9-47F9-8A87-D06C0F12948B}" name="Column11102" dataCellStyle="Normal 2"/>
    <tableColumn id="11118" xr3:uid="{C7596A25-16D0-478E-A373-9295DA67A7E2}" name="Column11103" dataCellStyle="Normal 2"/>
    <tableColumn id="11119" xr3:uid="{7160820F-8219-4BD3-9933-C8F9CDFFDF15}" name="Column11104" dataCellStyle="Normal 2"/>
    <tableColumn id="11120" xr3:uid="{31970C76-1278-4F3A-B01F-CF0FCBA1E3D8}" name="Column11105" dataCellStyle="Normal 2"/>
    <tableColumn id="11121" xr3:uid="{3FF87FEB-5B02-49AB-9B49-0DC40FF408A2}" name="Column11106" dataCellStyle="Normal 2"/>
    <tableColumn id="11122" xr3:uid="{ABD9A84B-D881-4530-9E38-804BA92CEAC6}" name="Column11107" dataCellStyle="Normal 2"/>
    <tableColumn id="11123" xr3:uid="{0B97E74E-4E7B-4522-918F-165BF06EC2E2}" name="Column11108" dataCellStyle="Normal 2"/>
    <tableColumn id="11124" xr3:uid="{49A70B13-C3AC-4B5D-A85E-8F1CB1B9A567}" name="Column11109" dataCellStyle="Normal 2"/>
    <tableColumn id="11125" xr3:uid="{57801A3E-9A8E-44F4-A200-0144D9227732}" name="Column11110" dataCellStyle="Normal 2"/>
    <tableColumn id="11126" xr3:uid="{11D68EE4-FCBE-4CB8-BBB2-DB46D7F33DDD}" name="Column11111" dataCellStyle="Normal 2"/>
    <tableColumn id="11127" xr3:uid="{FA1F6A87-830F-40B8-B698-43F4FD2231EE}" name="Column11112" dataCellStyle="Normal 2"/>
    <tableColumn id="11128" xr3:uid="{D74E4738-3FD7-410D-8DD4-5A5FF0E3E26C}" name="Column11113" dataCellStyle="Normal 2"/>
    <tableColumn id="11129" xr3:uid="{A50540E3-77F7-4613-8C52-29CA72CCF5EE}" name="Column11114" dataCellStyle="Normal 2"/>
    <tableColumn id="11130" xr3:uid="{B9F51B58-335E-437D-9AF9-91C37CCD1FFB}" name="Column11115" dataCellStyle="Normal 2"/>
    <tableColumn id="11131" xr3:uid="{333D952D-68B0-4C68-89B3-CE0A215DDEBA}" name="Column11116" dataCellStyle="Normal 2"/>
    <tableColumn id="11132" xr3:uid="{DC53EBCA-8239-4A9C-B4CB-7640E2087BFF}" name="Column11117" dataCellStyle="Normal 2"/>
    <tableColumn id="11133" xr3:uid="{D8EBFB18-C21F-4AFD-AD74-DE911295EE5D}" name="Column11118" dataCellStyle="Normal 2"/>
    <tableColumn id="11134" xr3:uid="{3E548608-734E-4657-BAE7-C86523008D47}" name="Column11119" dataCellStyle="Normal 2"/>
    <tableColumn id="11135" xr3:uid="{054B5F62-BBFD-4C10-9043-3053594A75E5}" name="Column11120" dataCellStyle="Normal 2"/>
    <tableColumn id="11136" xr3:uid="{14D0FBDE-8D9A-467E-9237-A9D6A9CB6F9F}" name="Column11121" dataCellStyle="Normal 2"/>
    <tableColumn id="11137" xr3:uid="{1E80A554-D774-487C-B5C7-36B1EAF611C8}" name="Column11122" dataCellStyle="Normal 2"/>
    <tableColumn id="11138" xr3:uid="{8DBE9B31-DF4B-4A07-9AB5-C13E4E5D634D}" name="Column11123" dataCellStyle="Normal 2"/>
    <tableColumn id="11139" xr3:uid="{BC00DABE-0ABB-4378-86E9-81C3F85738DB}" name="Column11124" dataCellStyle="Normal 2"/>
    <tableColumn id="11140" xr3:uid="{C40D8D9E-5978-4535-AA99-0873482883EF}" name="Column11125" dataCellStyle="Normal 2"/>
    <tableColumn id="11141" xr3:uid="{7AF1D0A3-9701-48A7-A125-633ECDF743DD}" name="Column11126" dataCellStyle="Normal 2"/>
    <tableColumn id="11142" xr3:uid="{4125455F-F033-4A77-82D1-672DD291ABED}" name="Column11127" dataCellStyle="Normal 2"/>
    <tableColumn id="11143" xr3:uid="{870CA922-14BF-480B-B5FB-F84EE624A85C}" name="Column11128" dataCellStyle="Normal 2"/>
    <tableColumn id="11144" xr3:uid="{D4782626-2BFE-419C-AAD7-A22C63F15DED}" name="Column11129" dataCellStyle="Normal 2"/>
    <tableColumn id="11145" xr3:uid="{4EDE657D-95E1-42D6-A062-0CE52C1A3872}" name="Column11130" dataCellStyle="Normal 2"/>
    <tableColumn id="11146" xr3:uid="{390D6837-AC79-47AF-880A-ECBA4129666C}" name="Column11131" dataCellStyle="Normal 2"/>
    <tableColumn id="11147" xr3:uid="{CA7DDEB7-A2EF-463C-9C85-21852D4D319E}" name="Column11132" dataCellStyle="Normal 2"/>
    <tableColumn id="11148" xr3:uid="{A8523F25-E99F-4679-AA74-02794E19BBE9}" name="Column11133" dataCellStyle="Normal 2"/>
    <tableColumn id="11149" xr3:uid="{A906AF8A-0C83-4FC9-838B-53706DBCD0CA}" name="Column11134" dataCellStyle="Normal 2"/>
    <tableColumn id="11150" xr3:uid="{C47246A9-AC02-4E68-B56C-29FED33318D0}" name="Column11135" dataCellStyle="Normal 2"/>
    <tableColumn id="11151" xr3:uid="{5667DB96-B152-44E1-9CED-01796F23F4D9}" name="Column11136" dataCellStyle="Normal 2"/>
    <tableColumn id="11152" xr3:uid="{7C246149-21FA-4EAF-AF08-AFABECCB5DB7}" name="Column11137" dataCellStyle="Normal 2"/>
    <tableColumn id="11153" xr3:uid="{41462EA6-2998-42F7-A0C1-76107A33C6F1}" name="Column11138" dataCellStyle="Normal 2"/>
    <tableColumn id="11154" xr3:uid="{6C0347E6-1F3D-4CAE-8847-9DA6F7BC37D5}" name="Column11139" dataCellStyle="Normal 2"/>
    <tableColumn id="11155" xr3:uid="{9C596A97-EC5E-42DE-A700-D59D2B304C7C}" name="Column11140" dataCellStyle="Normal 2"/>
    <tableColumn id="11156" xr3:uid="{9BCD2B86-A743-43BA-883C-E728DB5D772E}" name="Column11141" dataCellStyle="Normal 2"/>
    <tableColumn id="11157" xr3:uid="{9B104A01-3C9E-4359-B915-D9B9D2B83000}" name="Column11142" dataCellStyle="Normal 2"/>
    <tableColumn id="11158" xr3:uid="{50FF4DF0-6530-455D-91B1-890836846B10}" name="Column11143" dataCellStyle="Normal 2"/>
    <tableColumn id="11159" xr3:uid="{697E3FEB-B2CF-4AB1-ABAF-EC88D6CC360F}" name="Column11144" dataCellStyle="Normal 2"/>
    <tableColumn id="11160" xr3:uid="{1F2FD7CC-086C-465F-A97B-56530685AF0D}" name="Column11145" dataCellStyle="Normal 2"/>
    <tableColumn id="11161" xr3:uid="{F561AE89-D36D-46B2-BA29-91B8B9AD2255}" name="Column11146" dataCellStyle="Normal 2"/>
    <tableColumn id="11162" xr3:uid="{49AE06ED-FAC3-4AF6-872C-6CE0FCFBE26D}" name="Column11147" dataCellStyle="Normal 2"/>
    <tableColumn id="11163" xr3:uid="{4544680D-B368-4744-B4EC-FEC34B06DC41}" name="Column11148" dataCellStyle="Normal 2"/>
    <tableColumn id="11164" xr3:uid="{9F3EA59F-B308-4AA9-A063-3EE0DE3938FC}" name="Column11149" dataCellStyle="Normal 2"/>
    <tableColumn id="11165" xr3:uid="{DEC6DFDC-A6C6-4AB2-A589-3295D02F2BFA}" name="Column11150" dataCellStyle="Normal 2"/>
    <tableColumn id="11166" xr3:uid="{749388DA-E579-494E-8AAE-843D5DDBBD29}" name="Column11151" dataCellStyle="Normal 2"/>
    <tableColumn id="11167" xr3:uid="{2FAF4225-78DE-4361-99F8-C5586299C261}" name="Column11152" dataCellStyle="Normal 2"/>
    <tableColumn id="11168" xr3:uid="{A65B1516-616D-4160-9A17-52032AE09152}" name="Column11153" dataCellStyle="Normal 2"/>
    <tableColumn id="11169" xr3:uid="{D9C54D93-1A16-430A-A3AE-18EA742C4F7C}" name="Column11154" dataCellStyle="Normal 2"/>
    <tableColumn id="11170" xr3:uid="{EBEEEE86-DEE8-4F68-9ABE-C2C0B0C683CB}" name="Column11155" dataCellStyle="Normal 2"/>
    <tableColumn id="11171" xr3:uid="{0C7C3B83-39B7-4DBA-BEE6-E76BADA31102}" name="Column11156" dataCellStyle="Normal 2"/>
    <tableColumn id="11172" xr3:uid="{85490248-1F9C-414B-8883-D37246EFDF02}" name="Column11157" dataCellStyle="Normal 2"/>
    <tableColumn id="11173" xr3:uid="{94C3BEBE-6E78-4054-A1CB-C5C0BAC7DF93}" name="Column11158" dataCellStyle="Normal 2"/>
    <tableColumn id="11174" xr3:uid="{325DA273-B7FF-4C53-9C2B-68D5F20334EF}" name="Column11159" dataCellStyle="Normal 2"/>
    <tableColumn id="11175" xr3:uid="{4E73F2EB-B7AC-412F-B465-239C646533BA}" name="Column11160" dataCellStyle="Normal 2"/>
    <tableColumn id="11176" xr3:uid="{2376AECC-0EB1-44D9-A34E-37F8A4E1B2FC}" name="Column11161" dataCellStyle="Normal 2"/>
    <tableColumn id="11177" xr3:uid="{34751F03-DD21-46C8-A6F8-5AF1EE55B914}" name="Column11162" dataCellStyle="Normal 2"/>
    <tableColumn id="11178" xr3:uid="{FF2F4C09-B7A9-4D39-B061-B037DB8A1595}" name="Column11163" dataCellStyle="Normal 2"/>
    <tableColumn id="11179" xr3:uid="{3C6385B1-BFA3-4BEF-8638-B66B4880DA67}" name="Column11164" dataCellStyle="Normal 2"/>
    <tableColumn id="11180" xr3:uid="{CBD30183-E0E7-482A-A245-E192A3083A16}" name="Column11165" dataCellStyle="Normal 2"/>
    <tableColumn id="11181" xr3:uid="{A41B9F29-F65C-4E21-84E3-1835364DD4DB}" name="Column11166" dataCellStyle="Normal 2"/>
    <tableColumn id="11182" xr3:uid="{52288753-0F9F-4CB7-9A3E-55CE5D8847D2}" name="Column11167" dataCellStyle="Normal 2"/>
    <tableColumn id="11183" xr3:uid="{F348E27E-9DBB-4D74-B223-7639BDD694B1}" name="Column11168" dataCellStyle="Normal 2"/>
    <tableColumn id="11184" xr3:uid="{2AFCD9EA-3B6E-4AB6-8A37-0DBB9A4D1A24}" name="Column11169" dataCellStyle="Normal 2"/>
    <tableColumn id="11185" xr3:uid="{8FF19BB1-9687-49FA-B209-A36DCCAA37E4}" name="Column11170" dataCellStyle="Normal 2"/>
    <tableColumn id="11186" xr3:uid="{9DA32F4D-B311-4052-B64E-ECC464FD5E7F}" name="Column11171" dataCellStyle="Normal 2"/>
    <tableColumn id="11187" xr3:uid="{9B7C6A69-B75A-460F-9FDA-CE132CC82AAC}" name="Column11172" dataCellStyle="Normal 2"/>
    <tableColumn id="11188" xr3:uid="{E5EA9948-794F-44A0-BD95-977EC557A9B2}" name="Column11173" dataCellStyle="Normal 2"/>
    <tableColumn id="11189" xr3:uid="{2846950C-4351-475C-B36D-EF3172967A6A}" name="Column11174" dataCellStyle="Normal 2"/>
    <tableColumn id="11190" xr3:uid="{2A8043C4-6D54-4739-9668-5491DCF87D58}" name="Column11175" dataCellStyle="Normal 2"/>
    <tableColumn id="11191" xr3:uid="{558BD460-3EF3-4035-BB71-6786DFBC6670}" name="Column11176" dataCellStyle="Normal 2"/>
    <tableColumn id="11192" xr3:uid="{65A6B957-D1D7-431C-A07D-D29CC6D86F3B}" name="Column11177" dataCellStyle="Normal 2"/>
    <tableColumn id="11193" xr3:uid="{5AEE89EC-7D3B-4DD7-BB0D-8940EF3C7470}" name="Column11178" dataCellStyle="Normal 2"/>
    <tableColumn id="11194" xr3:uid="{6CBF5308-A83B-4A98-B951-53D8169FD4C3}" name="Column11179" dataCellStyle="Normal 2"/>
    <tableColumn id="11195" xr3:uid="{6DFE5036-6D28-43BC-BAF5-A0F91D5AE236}" name="Column11180" dataCellStyle="Normal 2"/>
    <tableColumn id="11196" xr3:uid="{A2C4807D-93BD-44E0-8DA7-12FA81F1ABC0}" name="Column11181" dataCellStyle="Normal 2"/>
    <tableColumn id="11197" xr3:uid="{7CE09B91-803F-4A42-B76E-09C990C7B1D4}" name="Column11182" dataCellStyle="Normal 2"/>
    <tableColumn id="11198" xr3:uid="{797D011D-0644-4FA1-964B-C9088F76BCDD}" name="Column11183" dataCellStyle="Normal 2"/>
    <tableColumn id="11199" xr3:uid="{68749FF5-8C98-4B8A-9BA6-D276C3F91982}" name="Column11184" dataCellStyle="Normal 2"/>
    <tableColumn id="11200" xr3:uid="{15C4FBC2-2973-4221-B9C8-57F2AA6D9069}" name="Column11185" dataCellStyle="Normal 2"/>
    <tableColumn id="11201" xr3:uid="{46C37FAD-5790-45ED-9391-D0B4DC33927C}" name="Column11186" dataCellStyle="Normal 2"/>
    <tableColumn id="11202" xr3:uid="{92258EA8-A644-491D-8DC1-8426E0F4812B}" name="Column11187" dataCellStyle="Normal 2"/>
    <tableColumn id="11203" xr3:uid="{F28C5C8A-D01C-4857-9C54-34E53C65A871}" name="Column11188" dataCellStyle="Normal 2"/>
    <tableColumn id="11204" xr3:uid="{237501B7-A14B-4CCF-91B8-352D1445A91B}" name="Column11189" dataCellStyle="Normal 2"/>
    <tableColumn id="11205" xr3:uid="{72835120-7D7B-4BC2-ABD6-646C5FD13827}" name="Column11190" dataCellStyle="Normal 2"/>
    <tableColumn id="11206" xr3:uid="{A0F013AA-4059-47C6-9FB3-B9019F962C71}" name="Column11191" dataCellStyle="Normal 2"/>
    <tableColumn id="11207" xr3:uid="{0E263420-351F-41CF-8D0B-230C418B4AEF}" name="Column11192" dataCellStyle="Normal 2"/>
    <tableColumn id="11208" xr3:uid="{9F03AC55-ABC5-4F67-BBE4-6882CDB40DA9}" name="Column11193" dataCellStyle="Normal 2"/>
    <tableColumn id="11209" xr3:uid="{59374E66-9F48-4E38-A1F2-6198C63C96C0}" name="Column11194" dataCellStyle="Normal 2"/>
    <tableColumn id="11210" xr3:uid="{02ABF985-5D88-4F09-B19E-7559B9CE217F}" name="Column11195" dataCellStyle="Normal 2"/>
    <tableColumn id="11211" xr3:uid="{F0C71B5F-759D-4555-BA5A-A5C3858D10A2}" name="Column11196" dataCellStyle="Normal 2"/>
    <tableColumn id="11212" xr3:uid="{F4940107-620D-4248-AE4F-3780BCCB88C4}" name="Column11197" dataCellStyle="Normal 2"/>
    <tableColumn id="11213" xr3:uid="{200C3701-C5B9-485D-BDB7-0C93C8A288D9}" name="Column11198" dataCellStyle="Normal 2"/>
    <tableColumn id="11214" xr3:uid="{C2C318F7-A137-4C6A-B614-A7FF0FB6DC71}" name="Column11199" dataCellStyle="Normal 2"/>
    <tableColumn id="11215" xr3:uid="{062578C1-AE6D-42F5-9245-B54B9F8BD4AC}" name="Column11200" dataCellStyle="Normal 2"/>
    <tableColumn id="11216" xr3:uid="{8563C057-14AA-4502-912C-8B98E09C4E47}" name="Column11201" dataCellStyle="Normal 2"/>
    <tableColumn id="11217" xr3:uid="{D40334D6-5AF4-4F24-97A0-948070A24F12}" name="Column11202" dataCellStyle="Normal 2"/>
    <tableColumn id="11218" xr3:uid="{9C7832D6-CC6F-49DB-AD45-858B8F822FA4}" name="Column11203" dataCellStyle="Normal 2"/>
    <tableColumn id="11219" xr3:uid="{254F2CB6-8ADD-4D7F-922A-3606D7741F92}" name="Column11204" dataCellStyle="Normal 2"/>
    <tableColumn id="11220" xr3:uid="{3921E25D-9868-4867-AB6F-A78CC774CAFF}" name="Column11205" dataCellStyle="Normal 2"/>
    <tableColumn id="11221" xr3:uid="{477805B9-8A12-4364-8332-B792E5ACB974}" name="Column11206" dataCellStyle="Normal 2"/>
    <tableColumn id="11222" xr3:uid="{7D2CF090-5785-4FAA-8795-1130D64B51E9}" name="Column11207" dataCellStyle="Normal 2"/>
    <tableColumn id="11223" xr3:uid="{4A1048C5-C4C6-491B-B7EF-8A1B24657F87}" name="Column11208" dataCellStyle="Normal 2"/>
    <tableColumn id="11224" xr3:uid="{8BB1C992-E434-483F-ABB2-6203EED67BBA}" name="Column11209" dataCellStyle="Normal 2"/>
    <tableColumn id="11225" xr3:uid="{C8832866-C5F1-4FCE-886B-077C94AB9667}" name="Column11210" dataCellStyle="Normal 2"/>
    <tableColumn id="11226" xr3:uid="{91A885D9-0BD5-4DFA-8249-799A5C1D3C23}" name="Column11211" dataCellStyle="Normal 2"/>
    <tableColumn id="11227" xr3:uid="{E2E21E9A-5426-41FA-8B8F-6F5ED31A57FA}" name="Column11212" dataCellStyle="Normal 2"/>
    <tableColumn id="11228" xr3:uid="{274AC6EF-E5B4-41CC-89B2-94CC3C868F73}" name="Column11213" dataCellStyle="Normal 2"/>
    <tableColumn id="11229" xr3:uid="{DF5475AC-1813-4EB7-9FB5-5D9E60E217EC}" name="Column11214" dataCellStyle="Normal 2"/>
    <tableColumn id="11230" xr3:uid="{C99AD964-56D5-44E7-B7BD-680B4D3AC3CB}" name="Column11215" dataCellStyle="Normal 2"/>
    <tableColumn id="11231" xr3:uid="{1552DF26-9D89-45EC-B978-B2AEF8AEEDD4}" name="Column11216" dataCellStyle="Normal 2"/>
    <tableColumn id="11232" xr3:uid="{C2A9483E-00F8-4303-9CEA-851FF46B22E1}" name="Column11217" dataCellStyle="Normal 2"/>
    <tableColumn id="11233" xr3:uid="{5F0D9543-DD84-49D1-AB51-5E15CF4E1453}" name="Column11218" dataCellStyle="Normal 2"/>
    <tableColumn id="11234" xr3:uid="{C025AC10-508D-4DD6-BAAE-697A8536E31E}" name="Column11219" dataCellStyle="Normal 2"/>
    <tableColumn id="11235" xr3:uid="{87B28CE5-A70B-48EC-9668-FF302435F5C9}" name="Column11220" dataCellStyle="Normal 2"/>
    <tableColumn id="11236" xr3:uid="{1609660F-CFC2-4AD9-88F1-BCC29E2B0F5C}" name="Column11221" dataCellStyle="Normal 2"/>
    <tableColumn id="11237" xr3:uid="{081C5D80-0789-42C2-B71B-97EB7F6C026A}" name="Column11222" dataCellStyle="Normal 2"/>
    <tableColumn id="11238" xr3:uid="{1746B1FA-4DC1-419B-B98D-554694EBFCAC}" name="Column11223" dataCellStyle="Normal 2"/>
    <tableColumn id="11239" xr3:uid="{71AC0165-FD3E-40B5-BA2B-A6FE75960B49}" name="Column11224" dataCellStyle="Normal 2"/>
    <tableColumn id="11240" xr3:uid="{D6236FD9-C4A6-4C7C-A536-EAC0E36375BF}" name="Column11225" dataCellStyle="Normal 2"/>
    <tableColumn id="11241" xr3:uid="{2278495C-C716-47DB-8814-FD16A3EE68A2}" name="Column11226" dataCellStyle="Normal 2"/>
    <tableColumn id="11242" xr3:uid="{2A0C320F-02D2-465F-80C1-008ECCA2BF70}" name="Column11227" dataCellStyle="Normal 2"/>
    <tableColumn id="11243" xr3:uid="{30755322-CF26-48D7-8B31-16B5D3026776}" name="Column11228" dataCellStyle="Normal 2"/>
    <tableColumn id="11244" xr3:uid="{D85C4030-C502-4CDE-91EF-6E7073C771BB}" name="Column11229" dataCellStyle="Normal 2"/>
    <tableColumn id="11245" xr3:uid="{E0F42514-69E2-4BBE-B0CB-1DA0F4D011CC}" name="Column11230" dataCellStyle="Normal 2"/>
    <tableColumn id="11246" xr3:uid="{B0DEBD40-596B-49AB-B928-86FBDE3DA19F}" name="Column11231" dataCellStyle="Normal 2"/>
    <tableColumn id="11247" xr3:uid="{3D389B2A-BE9E-4001-90F4-7755270D1E50}" name="Column11232" dataCellStyle="Normal 2"/>
    <tableColumn id="11248" xr3:uid="{B9E411CF-5A97-44F6-A4CF-9B21B01F9671}" name="Column11233" dataCellStyle="Normal 2"/>
    <tableColumn id="11249" xr3:uid="{9A64642E-89E2-4213-819D-3312AF74314C}" name="Column11234" dataCellStyle="Normal 2"/>
    <tableColumn id="11250" xr3:uid="{78C9B7AF-76F6-4575-B492-79CF1EAA0C7F}" name="Column11235" dataCellStyle="Normal 2"/>
    <tableColumn id="11251" xr3:uid="{ECCD03ED-48F2-442F-8343-FA24D3427E85}" name="Column11236" dataCellStyle="Normal 2"/>
    <tableColumn id="11252" xr3:uid="{5B4F6450-B911-405F-A282-13A33850FE69}" name="Column11237" dataCellStyle="Normal 2"/>
    <tableColumn id="11253" xr3:uid="{5A0B1559-5178-4812-9AE9-7B59B7203165}" name="Column11238" dataCellStyle="Normal 2"/>
    <tableColumn id="11254" xr3:uid="{B4429681-7799-4FE5-ABF2-BABC2A91480D}" name="Column11239" dataCellStyle="Normal 2"/>
    <tableColumn id="11255" xr3:uid="{CAE53BEE-2DD5-4830-9D10-799C10E181C7}" name="Column11240" dataCellStyle="Normal 2"/>
    <tableColumn id="11256" xr3:uid="{AFC18EAA-5640-4CC5-8FFE-04E59C82A71B}" name="Column11241" dataCellStyle="Normal 2"/>
    <tableColumn id="11257" xr3:uid="{36472685-1CF9-4059-B104-44AEA74276E6}" name="Column11242" dataCellStyle="Normal 2"/>
    <tableColumn id="11258" xr3:uid="{8336A50E-4B4D-415B-B955-DCB696069BE5}" name="Column11243" dataCellStyle="Normal 2"/>
    <tableColumn id="11259" xr3:uid="{D80769EB-D3A6-4D96-A847-88322CF29AF1}" name="Column11244" dataCellStyle="Normal 2"/>
    <tableColumn id="11260" xr3:uid="{8C038214-18B3-4F17-9E30-BD184BC281FA}" name="Column11245" dataCellStyle="Normal 2"/>
    <tableColumn id="11261" xr3:uid="{04F93E9D-96C3-4FD5-8DFF-EDFC08C8FF50}" name="Column11246" dataCellStyle="Normal 2"/>
    <tableColumn id="11262" xr3:uid="{FAA6EDBD-33EE-4C2E-8D8D-D73353A1C95F}" name="Column11247" dataCellStyle="Normal 2"/>
    <tableColumn id="11263" xr3:uid="{CEFA6E3D-637E-4A6E-84A0-7528FE3E7E99}" name="Column11248" dataCellStyle="Normal 2"/>
    <tableColumn id="11264" xr3:uid="{F4BA270C-F0A1-4A10-A239-2F1A7F153380}" name="Column11249" dataCellStyle="Normal 2"/>
    <tableColumn id="11265" xr3:uid="{65D2F6EE-8EA9-4F3F-A959-5B2AA55770D0}" name="Column11250" dataCellStyle="Normal 2"/>
    <tableColumn id="11266" xr3:uid="{BCA5CEE7-E238-4C24-A81A-2A8E6FB3FECE}" name="Column11251" dataCellStyle="Normal 2"/>
    <tableColumn id="11267" xr3:uid="{39D1D21A-87C1-4936-9B05-8A0170B5DBD8}" name="Column11252" dataCellStyle="Normal 2"/>
    <tableColumn id="11268" xr3:uid="{5D86DCD6-32E3-47B7-A7A3-9CA2AEFDE1F6}" name="Column11253" dataCellStyle="Normal 2"/>
    <tableColumn id="11269" xr3:uid="{96B90E18-DDAE-4A29-8957-965CE2E13F5C}" name="Column11254" dataCellStyle="Normal 2"/>
    <tableColumn id="11270" xr3:uid="{B8E17842-8E78-4EC0-B762-5F789214F764}" name="Column11255" dataCellStyle="Normal 2"/>
    <tableColumn id="11271" xr3:uid="{C3C223A1-6E93-4138-9A49-663698FEDBB9}" name="Column11256" dataCellStyle="Normal 2"/>
    <tableColumn id="11272" xr3:uid="{756E1C9E-AD49-4E52-8665-6980132039C1}" name="Column11257" dataCellStyle="Normal 2"/>
    <tableColumn id="11273" xr3:uid="{82633AC1-C672-464E-A568-CF4C5C0B9EAF}" name="Column11258" dataCellStyle="Normal 2"/>
    <tableColumn id="11274" xr3:uid="{67F372E3-78F8-4D9F-B78C-29234CCA03FE}" name="Column11259" dataCellStyle="Normal 2"/>
    <tableColumn id="11275" xr3:uid="{217A1E4B-BA54-46DD-B6B5-376228157451}" name="Column11260" dataCellStyle="Normal 2"/>
    <tableColumn id="11276" xr3:uid="{2DAC51BF-D4B5-4E16-9A78-5B791F3A0063}" name="Column11261" dataCellStyle="Normal 2"/>
    <tableColumn id="11277" xr3:uid="{5CBC4C46-2F6C-4A62-ADC6-2041FD63824C}" name="Column11262" dataCellStyle="Normal 2"/>
    <tableColumn id="11278" xr3:uid="{05466A1A-62E4-4920-AFE9-B85A87C5BB30}" name="Column11263" dataCellStyle="Normal 2"/>
    <tableColumn id="11279" xr3:uid="{4A9C6B15-24FF-416F-85C8-692D11E41A47}" name="Column11264" dataCellStyle="Normal 2"/>
    <tableColumn id="11280" xr3:uid="{1C4FE187-AE15-4F41-83DE-DAA75769EC12}" name="Column11265" dataCellStyle="Normal 2"/>
    <tableColumn id="11281" xr3:uid="{B1EC439F-F7F3-46DC-BD8D-4501EBD17B1D}" name="Column11266" dataCellStyle="Normal 2"/>
    <tableColumn id="11282" xr3:uid="{385FB83A-CBE1-4580-96C7-C000662C8235}" name="Column11267" dataCellStyle="Normal 2"/>
    <tableColumn id="11283" xr3:uid="{73607F88-6330-47E2-ADC7-EC4236B9A739}" name="Column11268" dataCellStyle="Normal 2"/>
    <tableColumn id="11284" xr3:uid="{E74A62BF-0262-4297-909D-8A8F2A7A6E72}" name="Column11269" dataCellStyle="Normal 2"/>
    <tableColumn id="11285" xr3:uid="{294A94B2-7286-46CE-B729-B02FAC05D5C5}" name="Column11270" dataCellStyle="Normal 2"/>
    <tableColumn id="11286" xr3:uid="{A39BA393-711D-4623-8130-939E9135D290}" name="Column11271" dataCellStyle="Normal 2"/>
    <tableColumn id="11287" xr3:uid="{C5B9D3FE-B564-49FA-A816-6D1792916FE6}" name="Column11272" dataCellStyle="Normal 2"/>
    <tableColumn id="11288" xr3:uid="{F59686FD-CF60-4271-A71B-7B1879743808}" name="Column11273" dataCellStyle="Normal 2"/>
    <tableColumn id="11289" xr3:uid="{F848FF91-38C8-4EF3-B4B3-B0700FD876A9}" name="Column11274" dataCellStyle="Normal 2"/>
    <tableColumn id="11290" xr3:uid="{770993D0-1FA7-4A2E-BB8A-BCC3F6E78182}" name="Column11275" dataCellStyle="Normal 2"/>
    <tableColumn id="11291" xr3:uid="{6EB18800-93D7-4201-8D39-805D21A37076}" name="Column11276" dataCellStyle="Normal 2"/>
    <tableColumn id="11292" xr3:uid="{44FE7349-0450-4B80-80BE-06818B66F925}" name="Column11277" dataCellStyle="Normal 2"/>
    <tableColumn id="11293" xr3:uid="{7F255EB8-CF4A-40A9-B9F8-B488E3EE667F}" name="Column11278" dataCellStyle="Normal 2"/>
    <tableColumn id="11294" xr3:uid="{88FD6341-E903-49DD-BE12-CDE3F2F31D78}" name="Column11279" dataCellStyle="Normal 2"/>
    <tableColumn id="11295" xr3:uid="{2EBCE048-7164-4F13-AF27-69BCE8832B95}" name="Column11280" dataCellStyle="Normal 2"/>
    <tableColumn id="11296" xr3:uid="{ECE5A0DC-248E-4BEF-9983-C70C53CFD64B}" name="Column11281" dataCellStyle="Normal 2"/>
    <tableColumn id="11297" xr3:uid="{AA72C353-881E-41F6-B66F-F5A0BBD3DE34}" name="Column11282" dataCellStyle="Normal 2"/>
    <tableColumn id="11298" xr3:uid="{C7CF9BEE-0C60-4506-BB2F-1D62BFFDA554}" name="Column11283" dataCellStyle="Normal 2"/>
    <tableColumn id="11299" xr3:uid="{9BD82FA6-A97D-4752-A26B-74B3702FAD16}" name="Column11284" dataCellStyle="Normal 2"/>
    <tableColumn id="11300" xr3:uid="{C77A1578-7086-4A38-9C1B-14BE70CC4507}" name="Column11285" dataCellStyle="Normal 2"/>
    <tableColumn id="11301" xr3:uid="{E446EA33-E775-4D05-9883-AFA8AD7529D0}" name="Column11286" dataCellStyle="Normal 2"/>
    <tableColumn id="11302" xr3:uid="{54C1E508-8784-4318-8139-4D4285C46983}" name="Column11287" dataCellStyle="Normal 2"/>
    <tableColumn id="11303" xr3:uid="{9B7A6617-BFAA-4B31-A30B-28F06C017663}" name="Column11288" dataCellStyle="Normal 2"/>
    <tableColumn id="11304" xr3:uid="{1B14D884-C607-4A53-9128-43364740ED33}" name="Column11289" dataCellStyle="Normal 2"/>
    <tableColumn id="11305" xr3:uid="{2A00769C-5C69-413D-BDD4-1340A1C3D316}" name="Column11290" dataCellStyle="Normal 2"/>
    <tableColumn id="11306" xr3:uid="{9194C933-168C-4904-835A-F36FD06FD9E0}" name="Column11291" dataCellStyle="Normal 2"/>
    <tableColumn id="11307" xr3:uid="{991CFB8D-3806-48A1-8267-423C9A5D2245}" name="Column11292" dataCellStyle="Normal 2"/>
    <tableColumn id="11308" xr3:uid="{FBF21825-516D-4054-822D-DBFEE94E3379}" name="Column11293" dataCellStyle="Normal 2"/>
    <tableColumn id="11309" xr3:uid="{7F8346FE-197D-4CB3-BFFA-A640F32C0D6C}" name="Column11294" dataCellStyle="Normal 2"/>
    <tableColumn id="11310" xr3:uid="{D6675D71-D988-4EEF-A8F1-9E067EA98CE1}" name="Column11295" dataCellStyle="Normal 2"/>
    <tableColumn id="11311" xr3:uid="{1F35399E-A03B-4627-A81B-8A07F20CDB3F}" name="Column11296" dataCellStyle="Normal 2"/>
    <tableColumn id="11312" xr3:uid="{6C368D07-E862-4E36-B842-1962D0AEA776}" name="Column11297" dataCellStyle="Normal 2"/>
    <tableColumn id="11313" xr3:uid="{386F6F0D-ED85-438F-B7AE-8D135169F89A}" name="Column11298" dataCellStyle="Normal 2"/>
    <tableColumn id="11314" xr3:uid="{309FDDEF-5011-4427-B7A2-3F9052695553}" name="Column11299" dataCellStyle="Normal 2"/>
    <tableColumn id="11315" xr3:uid="{634ADB68-DAE0-4D2C-A605-2FF0691F20A0}" name="Column11300" dataCellStyle="Normal 2"/>
    <tableColumn id="11316" xr3:uid="{C10D84F5-2DC0-40B4-877E-3E4062B52006}" name="Column11301" dataCellStyle="Normal 2"/>
    <tableColumn id="11317" xr3:uid="{4503B14C-C897-42B2-9338-6E6DEAB5C183}" name="Column11302" dataCellStyle="Normal 2"/>
    <tableColumn id="11318" xr3:uid="{0BB34F16-FD51-4D78-AAC9-A716C7414FC7}" name="Column11303" dataCellStyle="Normal 2"/>
    <tableColumn id="11319" xr3:uid="{7C90784D-BA4D-4FA2-99BB-A0E7CDF806B0}" name="Column11304" dataCellStyle="Normal 2"/>
    <tableColumn id="11320" xr3:uid="{7E2BCA86-10D2-4BBC-B3B7-1E28841A2682}" name="Column11305" dataCellStyle="Normal 2"/>
    <tableColumn id="11321" xr3:uid="{CB13B174-E53C-4E95-AE17-0836CCC21CE0}" name="Column11306" dataCellStyle="Normal 2"/>
    <tableColumn id="11322" xr3:uid="{E3EE0F38-1F59-4E4F-A13F-5EF55A0E92A8}" name="Column11307" dataCellStyle="Normal 2"/>
    <tableColumn id="11323" xr3:uid="{37883666-5BD3-4090-8145-A157B11FC767}" name="Column11308" dataCellStyle="Normal 2"/>
    <tableColumn id="11324" xr3:uid="{D437A62E-8174-4685-A840-F951373CAD18}" name="Column11309" dataCellStyle="Normal 2"/>
    <tableColumn id="11325" xr3:uid="{C01DCFBF-A3D2-41F0-8AB6-22F7A3B4ABAD}" name="Column11310" dataCellStyle="Normal 2"/>
    <tableColumn id="11326" xr3:uid="{89978429-D74B-431B-B268-ABACB34796CD}" name="Column11311" dataCellStyle="Normal 2"/>
    <tableColumn id="11327" xr3:uid="{F6B737F6-E3C8-433F-A5D9-C84E122ADC16}" name="Column11312" dataCellStyle="Normal 2"/>
    <tableColumn id="11328" xr3:uid="{33556073-8DCF-4C44-9F66-E338F8107023}" name="Column11313" dataCellStyle="Normal 2"/>
    <tableColumn id="11329" xr3:uid="{BFD3347C-68DA-4C94-AF93-8EC9507808A2}" name="Column11314" dataCellStyle="Normal 2"/>
    <tableColumn id="11330" xr3:uid="{3CA0A4E9-4C20-4D3E-ABE3-5073D68016DD}" name="Column11315" dataCellStyle="Normal 2"/>
    <tableColumn id="11331" xr3:uid="{CAF45DB6-72A6-4849-B9EA-A159DA343E84}" name="Column11316" dataCellStyle="Normal 2"/>
    <tableColumn id="11332" xr3:uid="{72F26A3D-9143-4FA6-B7D8-260FF8448ABF}" name="Column11317" dataCellStyle="Normal 2"/>
    <tableColumn id="11333" xr3:uid="{8169B364-980E-4A34-B1CE-4541C6942ED5}" name="Column11318" dataCellStyle="Normal 2"/>
    <tableColumn id="11334" xr3:uid="{0B2BFE12-4456-40FA-B2FA-787DEBBBF41C}" name="Column11319" dataCellStyle="Normal 2"/>
    <tableColumn id="11335" xr3:uid="{1CB0FCC5-38D4-4072-8D16-6EA27E23B391}" name="Column11320" dataCellStyle="Normal 2"/>
    <tableColumn id="11336" xr3:uid="{5F469D57-883B-4ECE-8666-60212B3B1C2B}" name="Column11321" dataCellStyle="Normal 2"/>
    <tableColumn id="11337" xr3:uid="{C5D44E06-40E1-4E55-8178-D0DF58EA91E6}" name="Column11322" dataCellStyle="Normal 2"/>
    <tableColumn id="11338" xr3:uid="{6F326976-07BC-4750-B9DC-F9276FFB45CA}" name="Column11323" dataCellStyle="Normal 2"/>
    <tableColumn id="11339" xr3:uid="{2C104E8A-AAE7-4D10-95F6-DBF52236DCEE}" name="Column11324" dataCellStyle="Normal 2"/>
    <tableColumn id="11340" xr3:uid="{BA4A5135-AD82-4FF5-BA22-1B3314B7953A}" name="Column11325" dataCellStyle="Normal 2"/>
    <tableColumn id="11341" xr3:uid="{7BE806DC-6CAB-4DF6-923D-2F9B75472BFA}" name="Column11326" dataCellStyle="Normal 2"/>
    <tableColumn id="11342" xr3:uid="{3EE657D4-9CD1-465F-B2DE-1FFDC7C6FE77}" name="Column11327" dataCellStyle="Normal 2"/>
    <tableColumn id="11343" xr3:uid="{35BA22B5-17BF-4614-9F06-88163BBA90AE}" name="Column11328" dataCellStyle="Normal 2"/>
    <tableColumn id="11344" xr3:uid="{CCCA0C3C-2EA4-4BDB-B920-F0AEDC92C64F}" name="Column11329" dataCellStyle="Normal 2"/>
    <tableColumn id="11345" xr3:uid="{65AD41AA-22A2-4C4E-A0A7-AFF97278290B}" name="Column11330" dataCellStyle="Normal 2"/>
    <tableColumn id="11346" xr3:uid="{3E8EC7EA-F1A0-43E3-86E8-4E7BDCC78A26}" name="Column11331" dataCellStyle="Normal 2"/>
    <tableColumn id="11347" xr3:uid="{516DA4B1-2E4D-4604-B91E-C3EFF260077B}" name="Column11332" dataCellStyle="Normal 2"/>
    <tableColumn id="11348" xr3:uid="{3D0CB6D3-6AD2-4879-8096-738C7B005BDF}" name="Column11333" dataCellStyle="Normal 2"/>
    <tableColumn id="11349" xr3:uid="{C2706F1E-37BC-49D2-BDAC-DFEBF1C8F29A}" name="Column11334" dataCellStyle="Normal 2"/>
    <tableColumn id="11350" xr3:uid="{6F8883AF-8884-4D4F-A313-CF7EA0EA8330}" name="Column11335" dataCellStyle="Normal 2"/>
    <tableColumn id="11351" xr3:uid="{885DA007-767F-4743-BBBE-FD81993875F0}" name="Column11336" dataCellStyle="Normal 2"/>
    <tableColumn id="11352" xr3:uid="{D3C104A0-2B3E-42D7-94F3-5F4312905B97}" name="Column11337" dataCellStyle="Normal 2"/>
    <tableColumn id="11353" xr3:uid="{3A4674EA-F27C-4E35-A554-5C4E1356C403}" name="Column11338" dataCellStyle="Normal 2"/>
    <tableColumn id="11354" xr3:uid="{9B8F8887-4673-44EB-8495-9C84D8812903}" name="Column11339" dataCellStyle="Normal 2"/>
    <tableColumn id="11355" xr3:uid="{EDC7C3D7-85E5-4051-8579-68E24337B923}" name="Column11340" dataCellStyle="Normal 2"/>
    <tableColumn id="11356" xr3:uid="{0418F819-3CC2-42AF-9BFC-684A4F1F7665}" name="Column11341" dataCellStyle="Normal 2"/>
    <tableColumn id="11357" xr3:uid="{CD0C861E-2A0E-4C01-B8F8-4650E0E4F310}" name="Column11342" dataCellStyle="Normal 2"/>
    <tableColumn id="11358" xr3:uid="{7FD20366-90D9-4C4E-B03F-20374360BE75}" name="Column11343" dataCellStyle="Normal 2"/>
    <tableColumn id="11359" xr3:uid="{21695E80-FE0C-4392-8EBD-26D8AAC53034}" name="Column11344" dataCellStyle="Normal 2"/>
    <tableColumn id="11360" xr3:uid="{810127B1-7C14-4086-938D-A4265EF789DF}" name="Column11345" dataCellStyle="Normal 2"/>
    <tableColumn id="11361" xr3:uid="{55A3C4A7-A4EB-476B-A741-89C867A33EA7}" name="Column11346" dataCellStyle="Normal 2"/>
    <tableColumn id="11362" xr3:uid="{CF3454B1-256E-42C3-A315-7151309B87BE}" name="Column11347" dataCellStyle="Normal 2"/>
    <tableColumn id="11363" xr3:uid="{39D2E070-FEE8-447B-9DEF-A87AAF59D143}" name="Column11348" dataCellStyle="Normal 2"/>
    <tableColumn id="11364" xr3:uid="{08A8CCFA-966E-4DA3-844D-651D0853DBEE}" name="Column11349" dataCellStyle="Normal 2"/>
    <tableColumn id="11365" xr3:uid="{7ABB092D-F3AB-47A9-894F-C54F29ACBFAB}" name="Column11350" dataCellStyle="Normal 2"/>
    <tableColumn id="11366" xr3:uid="{1ECAE830-2DDA-42E8-8F80-54888598AAD9}" name="Column11351" dataCellStyle="Normal 2"/>
    <tableColumn id="11367" xr3:uid="{56A8C60C-B99E-437E-A316-64D17DB9C2DB}" name="Column11352" dataCellStyle="Normal 2"/>
    <tableColumn id="11368" xr3:uid="{692D705B-D7DF-4832-BE73-6411617CE74A}" name="Column11353" dataCellStyle="Normal 2"/>
    <tableColumn id="11369" xr3:uid="{D73E4FEA-9D65-4535-BC98-B980E050DF2E}" name="Column11354" dataCellStyle="Normal 2"/>
    <tableColumn id="11370" xr3:uid="{C883CB62-E228-4A98-AC17-E9FEFE19BC11}" name="Column11355" dataCellStyle="Normal 2"/>
    <tableColumn id="11371" xr3:uid="{C88C9FA8-5BEB-4224-8744-DBA2BB5B9D0C}" name="Column11356" dataCellStyle="Normal 2"/>
    <tableColumn id="11372" xr3:uid="{3DC02AA9-3A72-44B1-A9BB-D490491181EB}" name="Column11357" dataCellStyle="Normal 2"/>
    <tableColumn id="11373" xr3:uid="{435B427D-CAFD-4E3E-A520-2EF94D0A5B29}" name="Column11358" dataCellStyle="Normal 2"/>
    <tableColumn id="11374" xr3:uid="{CE2C7819-A566-4E6A-81A0-1BDF8366CB9A}" name="Column11359" dataCellStyle="Normal 2"/>
    <tableColumn id="11375" xr3:uid="{CFCF5BF9-61AF-41B3-9991-24044F7808BB}" name="Column11360" dataCellStyle="Normal 2"/>
    <tableColumn id="11376" xr3:uid="{A03B325D-AC99-49EB-8F6A-1EACC71F157C}" name="Column11361" dataCellStyle="Normal 2"/>
    <tableColumn id="11377" xr3:uid="{27B7AF40-C6DB-403C-AA37-D25BA1D43895}" name="Column11362" dataCellStyle="Normal 2"/>
    <tableColumn id="11378" xr3:uid="{EEA19D2C-E418-45CC-9EFD-00E2D4DFD997}" name="Column11363" dataCellStyle="Normal 2"/>
    <tableColumn id="11379" xr3:uid="{B5677914-9E15-40F5-A36E-6724D46D0C02}" name="Column11364" dataCellStyle="Normal 2"/>
    <tableColumn id="11380" xr3:uid="{2173881B-5E3C-403C-B7BA-ED69F72D0FA0}" name="Column11365" dataCellStyle="Normal 2"/>
    <tableColumn id="11381" xr3:uid="{DC5892E3-A55D-4A20-80D1-7B0647A496A6}" name="Column11366" dataCellStyle="Normal 2"/>
    <tableColumn id="11382" xr3:uid="{0AC03B4B-5D2A-4C75-AD65-96577501B56F}" name="Column11367" dataCellStyle="Normal 2"/>
    <tableColumn id="11383" xr3:uid="{0C4D807D-CE44-4339-A2DB-F9B6CF11B1E7}" name="Column11368" dataCellStyle="Normal 2"/>
    <tableColumn id="11384" xr3:uid="{06DD8F0B-4324-4E13-B273-A17E963367FE}" name="Column11369" dataCellStyle="Normal 2"/>
    <tableColumn id="11385" xr3:uid="{45211958-665B-4EAC-8632-BD356FC73642}" name="Column11370" dataCellStyle="Normal 2"/>
    <tableColumn id="11386" xr3:uid="{DFAE1EA3-5AC5-4784-95F4-B30842D2167A}" name="Column11371" dataCellStyle="Normal 2"/>
    <tableColumn id="11387" xr3:uid="{00578DF3-8BFD-402B-970B-ED1BD0FFD3DB}" name="Column11372" dataCellStyle="Normal 2"/>
    <tableColumn id="11388" xr3:uid="{C57960E9-2073-4977-BBF8-35FEF47EAA83}" name="Column11373" dataCellStyle="Normal 2"/>
    <tableColumn id="11389" xr3:uid="{C1CA8AA3-F20A-4DCB-B732-58E14DF6BA72}" name="Column11374" dataCellStyle="Normal 2"/>
    <tableColumn id="11390" xr3:uid="{E4FA5929-8851-4047-AEC8-7616BD9B78C2}" name="Column11375" dataCellStyle="Normal 2"/>
    <tableColumn id="11391" xr3:uid="{F0EBFCD4-FC11-4347-A50A-DE3B30449DD7}" name="Column11376" dataCellStyle="Normal 2"/>
    <tableColumn id="11392" xr3:uid="{E746FC61-5E0E-4868-A9FD-161DC021BBF9}" name="Column11377" dataCellStyle="Normal 2"/>
    <tableColumn id="11393" xr3:uid="{30D4BDF8-9B90-4854-B3E8-222163B1E600}" name="Column11378" dataCellStyle="Normal 2"/>
    <tableColumn id="11394" xr3:uid="{048BD728-2099-4E20-9ED0-FD497ADAB1F5}" name="Column11379" dataCellStyle="Normal 2"/>
    <tableColumn id="11395" xr3:uid="{485E774B-86B7-4898-BE70-81C6C1028929}" name="Column11380" dataCellStyle="Normal 2"/>
    <tableColumn id="11396" xr3:uid="{47EFED5F-7022-4B14-BA3C-75CE9C75566A}" name="Column11381" dataCellStyle="Normal 2"/>
    <tableColumn id="11397" xr3:uid="{8074F621-D3A0-4B03-97DB-770B5E462944}" name="Column11382" dataCellStyle="Normal 2"/>
    <tableColumn id="11398" xr3:uid="{57D8259A-4725-41CE-97F0-C8F4F842CB3C}" name="Column11383" dataCellStyle="Normal 2"/>
    <tableColumn id="11399" xr3:uid="{F631F292-DCBA-4BD8-AF1E-AA6D8A5825D1}" name="Column11384" dataCellStyle="Normal 2"/>
    <tableColumn id="11400" xr3:uid="{E94133E2-B939-4059-BCE1-C4554638A87A}" name="Column11385" dataCellStyle="Normal 2"/>
    <tableColumn id="11401" xr3:uid="{8906E912-DBC3-4581-A070-CB307D785985}" name="Column11386" dataCellStyle="Normal 2"/>
    <tableColumn id="11402" xr3:uid="{1F5E7026-D270-4B1D-906F-5B3DD96574D7}" name="Column11387" dataCellStyle="Normal 2"/>
    <tableColumn id="11403" xr3:uid="{6D4693F5-B761-4489-908E-977A184FDB9D}" name="Column11388" dataCellStyle="Normal 2"/>
    <tableColumn id="11404" xr3:uid="{694762D6-86F0-4EDB-AF51-D15A2677AC46}" name="Column11389" dataCellStyle="Normal 2"/>
    <tableColumn id="11405" xr3:uid="{B20F842B-2BC1-4F76-8454-48374D4F798E}" name="Column11390" dataCellStyle="Normal 2"/>
    <tableColumn id="11406" xr3:uid="{8DFB64B2-822E-4B1A-B4F4-9598D27A9889}" name="Column11391" dataCellStyle="Normal 2"/>
    <tableColumn id="11407" xr3:uid="{55B1898C-62D9-4BA6-9CE1-02BB36940ACB}" name="Column11392" dataCellStyle="Normal 2"/>
    <tableColumn id="11408" xr3:uid="{CB66F72C-E6B0-4FAA-AD37-6622CABB9AEB}" name="Column11393" dataCellStyle="Normal 2"/>
    <tableColumn id="11409" xr3:uid="{4E7D0C5B-8BAB-4020-A762-E5B83703006B}" name="Column11394" dataCellStyle="Normal 2"/>
    <tableColumn id="11410" xr3:uid="{BB3898E5-0348-435F-A6AE-CBBCE66A6023}" name="Column11395" dataCellStyle="Normal 2"/>
    <tableColumn id="11411" xr3:uid="{2439493A-176C-4FE2-83E2-9495A899BE7C}" name="Column11396" dataCellStyle="Normal 2"/>
    <tableColumn id="11412" xr3:uid="{DB27744F-30ED-4644-BBF2-57EBF5C2C664}" name="Column11397" dataCellStyle="Normal 2"/>
    <tableColumn id="11413" xr3:uid="{BBAC6FC8-C4F4-4AD2-8F51-644EAFD20295}" name="Column11398" dataCellStyle="Normal 2"/>
    <tableColumn id="11414" xr3:uid="{1D31A139-581A-4F78-8C2A-5AD00ACD195A}" name="Column11399" dataCellStyle="Normal 2"/>
    <tableColumn id="11415" xr3:uid="{98ECC2C1-0E1F-42FD-9216-3181A3F144E0}" name="Column11400" dataCellStyle="Normal 2"/>
    <tableColumn id="11416" xr3:uid="{241CFC44-EFCF-4379-B817-C26E8901AC8F}" name="Column11401" dataCellStyle="Normal 2"/>
    <tableColumn id="11417" xr3:uid="{9911CE58-FA24-4126-987A-BD332A32E108}" name="Column11402" dataCellStyle="Normal 2"/>
    <tableColumn id="11418" xr3:uid="{3500169D-FE1D-4A0F-94AB-3C424FAFA65D}" name="Column11403" dataCellStyle="Normal 2"/>
    <tableColumn id="11419" xr3:uid="{306D3572-65E2-496D-A3F8-C28555E50127}" name="Column11404" dataCellStyle="Normal 2"/>
    <tableColumn id="11420" xr3:uid="{E7FB9739-F267-4ED6-BF36-24BC2282EE47}" name="Column11405" dataCellStyle="Normal 2"/>
    <tableColumn id="11421" xr3:uid="{88BD9E32-29D9-4B0E-81B1-9138E57CD946}" name="Column11406" dataCellStyle="Normal 2"/>
    <tableColumn id="11422" xr3:uid="{4AF90D02-074D-447B-87C2-D34433DF2880}" name="Column11407" dataCellStyle="Normal 2"/>
    <tableColumn id="11423" xr3:uid="{C4F8152F-E7EE-435F-814D-A0510C9DA453}" name="Column11408" dataCellStyle="Normal 2"/>
    <tableColumn id="11424" xr3:uid="{CB5297BE-79E7-4A89-BA18-7403299C9C5D}" name="Column11409" dataCellStyle="Normal 2"/>
    <tableColumn id="11425" xr3:uid="{277448D1-596A-4735-9F81-6DEFDECC7254}" name="Column11410" dataCellStyle="Normal 2"/>
    <tableColumn id="11426" xr3:uid="{96CC4671-E686-4D09-8839-C1FF386CA557}" name="Column11411" dataCellStyle="Normal 2"/>
    <tableColumn id="11427" xr3:uid="{8B436D9C-AEE1-49FB-8636-87C73E65793E}" name="Column11412" dataCellStyle="Normal 2"/>
    <tableColumn id="11428" xr3:uid="{472EF3B7-2498-43DC-AFA5-B04E89D2969F}" name="Column11413" dataCellStyle="Normal 2"/>
    <tableColumn id="11429" xr3:uid="{DAEF88D8-6CE2-4B6C-B22E-F7EAF3255433}" name="Column11414" dataCellStyle="Normal 2"/>
    <tableColumn id="11430" xr3:uid="{D9400A2A-2B34-4003-B421-2D1CEBA284D7}" name="Column11415" dataCellStyle="Normal 2"/>
    <tableColumn id="11431" xr3:uid="{F73B8A50-DE48-442E-B67D-74270D677F17}" name="Column11416" dataCellStyle="Normal 2"/>
    <tableColumn id="11432" xr3:uid="{406A818D-01E0-45FB-BE79-5C64BDB4CA44}" name="Column11417" dataCellStyle="Normal 2"/>
    <tableColumn id="11433" xr3:uid="{912625D9-8055-42BE-A583-4FC49B443D4B}" name="Column11418" dataCellStyle="Normal 2"/>
    <tableColumn id="11434" xr3:uid="{68819B94-C9F4-421E-8AA4-9E4AF627FA65}" name="Column11419" dataCellStyle="Normal 2"/>
    <tableColumn id="11435" xr3:uid="{34FEE867-4473-47C5-92B9-8763A8C8BCC9}" name="Column11420" dataCellStyle="Normal 2"/>
    <tableColumn id="11436" xr3:uid="{02627381-ED04-43B3-9DAA-E2CBCD62F4FE}" name="Column11421" dataCellStyle="Normal 2"/>
    <tableColumn id="11437" xr3:uid="{C7B45BEB-63DD-45C9-A043-2E11F1FB7F1C}" name="Column11422" dataCellStyle="Normal 2"/>
    <tableColumn id="11438" xr3:uid="{0CA9843F-5E31-4883-809C-FC4B3ADDABB0}" name="Column11423" dataCellStyle="Normal 2"/>
    <tableColumn id="11439" xr3:uid="{36802F77-3FE3-49AA-B006-490121CA5363}" name="Column11424" dataCellStyle="Normal 2"/>
    <tableColumn id="11440" xr3:uid="{7889F1C4-49FA-4011-BBEC-56CF138EC9F4}" name="Column11425" dataCellStyle="Normal 2"/>
    <tableColumn id="11441" xr3:uid="{E01B59A2-9158-4FFA-9591-CD2D7D7E0478}" name="Column11426" dataCellStyle="Normal 2"/>
    <tableColumn id="11442" xr3:uid="{F273587E-BDBD-4F36-A9F0-593558733EBF}" name="Column11427" dataCellStyle="Normal 2"/>
    <tableColumn id="11443" xr3:uid="{D1AE23BE-E876-41EA-B4B1-62B74F13A012}" name="Column11428" dataCellStyle="Normal 2"/>
    <tableColumn id="11444" xr3:uid="{AD868368-9D41-4685-A28A-1553E1237856}" name="Column11429" dataCellStyle="Normal 2"/>
    <tableColumn id="11445" xr3:uid="{C910D670-2842-4BCA-A6F4-A48DED42959F}" name="Column11430" dataCellStyle="Normal 2"/>
    <tableColumn id="11446" xr3:uid="{C9117FA1-6E43-4088-8957-50BBB35A02F1}" name="Column11431" dataCellStyle="Normal 2"/>
    <tableColumn id="11447" xr3:uid="{37C8C3F9-9D17-4555-8121-B0299B81FDC8}" name="Column11432" dataCellStyle="Normal 2"/>
    <tableColumn id="11448" xr3:uid="{3320BE7B-E90E-49F2-8D44-9B8484D3C389}" name="Column11433" dataCellStyle="Normal 2"/>
    <tableColumn id="11449" xr3:uid="{51CC453C-A1F2-4C42-88F6-5A1C4220D39F}" name="Column11434" dataCellStyle="Normal 2"/>
    <tableColumn id="11450" xr3:uid="{6BBE989B-9E0C-4DA0-A50B-DB5403EA8455}" name="Column11435" dataCellStyle="Normal 2"/>
    <tableColumn id="11451" xr3:uid="{86AB8E52-E46E-48F3-ACE4-542ABAD4C272}" name="Column11436" dataCellStyle="Normal 2"/>
    <tableColumn id="11452" xr3:uid="{33CAE01A-4A37-4E4E-9272-2F8FCFACC055}" name="Column11437" dataCellStyle="Normal 2"/>
    <tableColumn id="11453" xr3:uid="{9716D956-B5C7-450D-A785-A2D8CD42C59A}" name="Column11438" dataCellStyle="Normal 2"/>
    <tableColumn id="11454" xr3:uid="{3C66E37D-A1C9-43AE-A32A-9F218C52908E}" name="Column11439" dataCellStyle="Normal 2"/>
    <tableColumn id="11455" xr3:uid="{B791680B-CF04-4AA8-996E-8089407290A6}" name="Column11440" dataCellStyle="Normal 2"/>
    <tableColumn id="11456" xr3:uid="{E2DA0892-3A84-4D97-B206-51A4D934C2E3}" name="Column11441" dataCellStyle="Normal 2"/>
    <tableColumn id="11457" xr3:uid="{ADC8798A-A9B4-45CB-BD64-E3B440837AD2}" name="Column11442" dataCellStyle="Normal 2"/>
    <tableColumn id="11458" xr3:uid="{8EE5B6B1-1EBC-43CA-B264-76CCE0252979}" name="Column11443" dataCellStyle="Normal 2"/>
    <tableColumn id="11459" xr3:uid="{9A0B25C7-332E-4B6A-9A64-F70EE7607D13}" name="Column11444" dataCellStyle="Normal 2"/>
    <tableColumn id="11460" xr3:uid="{C86B95D3-B20D-4D4C-94A9-2877A4C06294}" name="Column11445" dataCellStyle="Normal 2"/>
    <tableColumn id="11461" xr3:uid="{FF8C04C4-182C-4BBC-8C9D-3EB06A5C3D0C}" name="Column11446" dataCellStyle="Normal 2"/>
    <tableColumn id="11462" xr3:uid="{3F515E91-9235-4A86-A4FA-5042F6669658}" name="Column11447" dataCellStyle="Normal 2"/>
    <tableColumn id="11463" xr3:uid="{0ED5E584-F7FF-4F35-8FBD-F0FBE590AF9B}" name="Column11448" dataCellStyle="Normal 2"/>
    <tableColumn id="11464" xr3:uid="{2A833EF7-CF95-46E3-AABD-0F371A5B85B5}" name="Column11449" dataCellStyle="Normal 2"/>
    <tableColumn id="11465" xr3:uid="{5D694EA2-8971-4281-A7F0-C7C6863E3C54}" name="Column11450" dataCellStyle="Normal 2"/>
    <tableColumn id="11466" xr3:uid="{94B10CCA-28CC-461F-B263-86E0E6BC99FC}" name="Column11451" dataCellStyle="Normal 2"/>
    <tableColumn id="11467" xr3:uid="{D51F0EC5-0914-4FE9-9F4F-B529E24ED953}" name="Column11452" dataCellStyle="Normal 2"/>
    <tableColumn id="11468" xr3:uid="{18256952-7A92-4068-B7C6-4357EDFEDC73}" name="Column11453" dataCellStyle="Normal 2"/>
    <tableColumn id="11469" xr3:uid="{43E49547-AF7A-4C02-B8BF-DE3FC4C39624}" name="Column11454" dataCellStyle="Normal 2"/>
    <tableColumn id="11470" xr3:uid="{4420E41E-ACEF-49A3-9642-675FB1AE94A4}" name="Column11455" dataCellStyle="Normal 2"/>
    <tableColumn id="11471" xr3:uid="{3E31898D-27D7-4A88-B37A-E528BFB1F78D}" name="Column11456" dataCellStyle="Normal 2"/>
    <tableColumn id="11472" xr3:uid="{1410B7FD-7526-4742-B0F9-79633D4C48BE}" name="Column11457" dataCellStyle="Normal 2"/>
    <tableColumn id="11473" xr3:uid="{057949DB-8007-4F42-AA44-23B7F5120F4C}" name="Column11458" dataCellStyle="Normal 2"/>
    <tableColumn id="11474" xr3:uid="{C08BD42E-AB68-45BD-AA14-E3333C84BC85}" name="Column11459" dataCellStyle="Normal 2"/>
    <tableColumn id="11475" xr3:uid="{EAC4F1CD-8101-46A4-AA21-9F4648764B08}" name="Column11460" dataCellStyle="Normal 2"/>
    <tableColumn id="11476" xr3:uid="{02023425-B919-4EF5-A009-F20F40EABB2C}" name="Column11461" dataCellStyle="Normal 2"/>
    <tableColumn id="11477" xr3:uid="{CC55CA07-404D-4639-A59A-907F30105318}" name="Column11462" dataCellStyle="Normal 2"/>
    <tableColumn id="11478" xr3:uid="{A9F88378-8466-457B-87BB-0F8B54FC7B86}" name="Column11463" dataCellStyle="Normal 2"/>
    <tableColumn id="11479" xr3:uid="{66CD28E0-872A-46B6-91E8-E1CA678CCFA8}" name="Column11464" dataCellStyle="Normal 2"/>
    <tableColumn id="11480" xr3:uid="{CB55FFAD-41B9-4673-AAB6-BC3D1EE8BEFE}" name="Column11465" dataCellStyle="Normal 2"/>
    <tableColumn id="11481" xr3:uid="{ED70C89E-5DE0-48AF-B3C3-D846312E312F}" name="Column11466" dataCellStyle="Normal 2"/>
    <tableColumn id="11482" xr3:uid="{1CFAFD37-19F2-4199-B427-BA76E20153D5}" name="Column11467" dataCellStyle="Normal 2"/>
    <tableColumn id="11483" xr3:uid="{616D1434-C610-4726-A0A1-B1654847B711}" name="Column11468" dataCellStyle="Normal 2"/>
    <tableColumn id="11484" xr3:uid="{52FA9DD6-1632-4B23-89D0-CC473A3EAEFB}" name="Column11469" dataCellStyle="Normal 2"/>
    <tableColumn id="11485" xr3:uid="{659D957B-6920-436E-A209-03615B4A54CE}" name="Column11470" dataCellStyle="Normal 2"/>
    <tableColumn id="11486" xr3:uid="{309CA0BA-4745-425E-96D5-329E3D1537B0}" name="Column11471" dataCellStyle="Normal 2"/>
    <tableColumn id="11487" xr3:uid="{0F5187B7-3EC4-41B0-B6A1-88410D005EFC}" name="Column11472" dataCellStyle="Normal 2"/>
    <tableColumn id="11488" xr3:uid="{D78C6F25-0075-43B7-9814-B195234F9763}" name="Column11473" dataCellStyle="Normal 2"/>
    <tableColumn id="11489" xr3:uid="{F80BE765-FC65-43B3-BC3E-189F6EAE5055}" name="Column11474" dataCellStyle="Normal 2"/>
    <tableColumn id="11490" xr3:uid="{0605C0DF-1046-48F6-B8A3-6EC64AE6BE43}" name="Column11475" dataCellStyle="Normal 2"/>
    <tableColumn id="11491" xr3:uid="{C3EE5446-9D49-480F-85B8-3B0B17C39683}" name="Column11476" dataCellStyle="Normal 2"/>
    <tableColumn id="11492" xr3:uid="{E6AFF015-1815-4021-8DA8-F8B1EBDA8AA1}" name="Column11477" dataCellStyle="Normal 2"/>
    <tableColumn id="11493" xr3:uid="{27BC0C71-192B-4C0C-9BD5-3780FC0B2C11}" name="Column11478" dataCellStyle="Normal 2"/>
    <tableColumn id="11494" xr3:uid="{1C2FF145-AB4A-49DB-8E5E-B68EC182333B}" name="Column11479" dataCellStyle="Normal 2"/>
    <tableColumn id="11495" xr3:uid="{741E59EE-73AC-4C02-AB17-8B911ABE381B}" name="Column11480" dataCellStyle="Normal 2"/>
    <tableColumn id="11496" xr3:uid="{27A4F7B8-EB49-4353-8ADC-748B558D22E5}" name="Column11481" dataCellStyle="Normal 2"/>
    <tableColumn id="11497" xr3:uid="{4C2AF327-1951-4E90-AC93-199D56E33F9D}" name="Column11482" dataCellStyle="Normal 2"/>
    <tableColumn id="11498" xr3:uid="{7BE4304B-87B6-4F81-BD24-D0C75C55C0E4}" name="Column11483" dataCellStyle="Normal 2"/>
    <tableColumn id="11499" xr3:uid="{2ED6AAA0-A906-4014-B4F9-5FB1B3A1C00B}" name="Column11484" dataCellStyle="Normal 2"/>
    <tableColumn id="11500" xr3:uid="{503DA58E-702F-46AE-80B5-6657C6A48EDC}" name="Column11485" dataCellStyle="Normal 2"/>
    <tableColumn id="11501" xr3:uid="{27BA1E80-6A5A-4B05-9557-E0D9C269FCC7}" name="Column11486" dataCellStyle="Normal 2"/>
    <tableColumn id="11502" xr3:uid="{D9C28451-ADFD-4ECC-A708-504C6C3FA50E}" name="Column11487" dataCellStyle="Normal 2"/>
    <tableColumn id="11503" xr3:uid="{F8A6ED8D-C634-4EE1-905C-1E565E932D5D}" name="Column11488" dataCellStyle="Normal 2"/>
    <tableColumn id="11504" xr3:uid="{66981D9A-0FEE-48D4-B207-77E86E465554}" name="Column11489" dataCellStyle="Normal 2"/>
    <tableColumn id="11505" xr3:uid="{E34975AD-491D-4821-AAAC-485B4D4B226F}" name="Column11490" dataCellStyle="Normal 2"/>
    <tableColumn id="11506" xr3:uid="{455B75D6-6E3E-4D9C-AF3E-383271333ED7}" name="Column11491" dataCellStyle="Normal 2"/>
    <tableColumn id="11507" xr3:uid="{BE2EF207-7E87-474B-8D71-AA9550A90F7B}" name="Column11492" dataCellStyle="Normal 2"/>
    <tableColumn id="11508" xr3:uid="{32D2DE1C-7FE1-49C6-9227-84A2BED34557}" name="Column11493" dataCellStyle="Normal 2"/>
    <tableColumn id="11509" xr3:uid="{B1CDBB68-9CA5-4861-AB17-0AAD1E890BE0}" name="Column11494" dataCellStyle="Normal 2"/>
    <tableColumn id="11510" xr3:uid="{C9DC1CB5-468D-4B4F-855C-03DC2C450C4E}" name="Column11495" dataCellStyle="Normal 2"/>
    <tableColumn id="11511" xr3:uid="{AB0FA8B2-D43E-4165-BD60-B0136335DDC8}" name="Column11496" dataCellStyle="Normal 2"/>
    <tableColumn id="11512" xr3:uid="{178271FA-A884-4BBF-AE6D-89C2AB25099B}" name="Column11497" dataCellStyle="Normal 2"/>
    <tableColumn id="11513" xr3:uid="{3FABB2A1-9BE1-437F-8825-5510814BCD1A}" name="Column11498" dataCellStyle="Normal 2"/>
    <tableColumn id="11514" xr3:uid="{C7DC3444-FCD7-42ED-93C4-21EF731F9EEA}" name="Column11499" dataCellStyle="Normal 2"/>
    <tableColumn id="11515" xr3:uid="{353BAF18-996E-498D-9001-F4CC7E63B5D4}" name="Column11500" dataCellStyle="Normal 2"/>
    <tableColumn id="11516" xr3:uid="{6F06A2BE-50DF-444B-9D30-ACBBF5B4BD36}" name="Column11501" dataCellStyle="Normal 2"/>
    <tableColumn id="11517" xr3:uid="{A3EA39DC-F016-4648-A0B3-21DDB982585B}" name="Column11502" dataCellStyle="Normal 2"/>
    <tableColumn id="11518" xr3:uid="{F3A58E88-0D72-41F0-AAA4-1624482466EA}" name="Column11503" dataCellStyle="Normal 2"/>
    <tableColumn id="11519" xr3:uid="{3EB21DEE-171E-42E6-A18E-3162A35979D9}" name="Column11504" dataCellStyle="Normal 2"/>
    <tableColumn id="11520" xr3:uid="{21ED6F7B-C667-4551-AC93-09B72921E985}" name="Column11505" dataCellStyle="Normal 2"/>
    <tableColumn id="11521" xr3:uid="{71C5D83B-6952-4DD5-9D89-CE7F21242073}" name="Column11506" dataCellStyle="Normal 2"/>
    <tableColumn id="11522" xr3:uid="{86BDDDBD-0D0D-41DA-A26D-2A7D7CC63646}" name="Column11507" dataCellStyle="Normal 2"/>
    <tableColumn id="11523" xr3:uid="{07A0E02A-E11D-4E1D-92EA-6DBEB619BE4D}" name="Column11508" dataCellStyle="Normal 2"/>
    <tableColumn id="11524" xr3:uid="{0D7B4318-80C4-4296-BA8E-F0560C67E58C}" name="Column11509" dataCellStyle="Normal 2"/>
    <tableColumn id="11525" xr3:uid="{44EDCEAC-9AFB-4221-A4C3-CB996E7ECAED}" name="Column11510" dataCellStyle="Normal 2"/>
    <tableColumn id="11526" xr3:uid="{9D8835CE-DB4A-47B9-A0D9-6E28AC0EE752}" name="Column11511" dataCellStyle="Normal 2"/>
    <tableColumn id="11527" xr3:uid="{AAFA6C06-1B93-44C9-A258-E3538E96F881}" name="Column11512" dataCellStyle="Normal 2"/>
    <tableColumn id="11528" xr3:uid="{1144C208-8F64-47B7-AD77-19E7DD72D09B}" name="Column11513" dataCellStyle="Normal 2"/>
    <tableColumn id="11529" xr3:uid="{7D8777FE-F11F-4BD2-BACC-70BC3A664F94}" name="Column11514" dataCellStyle="Normal 2"/>
    <tableColumn id="11530" xr3:uid="{1201AA1E-44BC-4B29-9EB6-4F7837CEB168}" name="Column11515" dataCellStyle="Normal 2"/>
    <tableColumn id="11531" xr3:uid="{F60550C0-11A7-42A0-80E9-F2BFDAA994E1}" name="Column11516" dataCellStyle="Normal 2"/>
    <tableColumn id="11532" xr3:uid="{AF7F971D-2F3D-4B1E-89EC-B53175A579C6}" name="Column11517" dataCellStyle="Normal 2"/>
    <tableColumn id="11533" xr3:uid="{86F2E691-9B50-4433-869F-C75AA51E4A7D}" name="Column11518" dataCellStyle="Normal 2"/>
    <tableColumn id="11534" xr3:uid="{AB07174B-45BA-49B7-86F1-1153AB504750}" name="Column11519" dataCellStyle="Normal 2"/>
    <tableColumn id="11535" xr3:uid="{23A408DC-AF3F-4442-B6A5-EA0B440411FB}" name="Column11520" dataCellStyle="Normal 2"/>
    <tableColumn id="11536" xr3:uid="{F0586261-3516-4033-BF13-64147916A0DA}" name="Column11521" dataCellStyle="Normal 2"/>
    <tableColumn id="11537" xr3:uid="{2B1BE012-612D-4D51-B56F-19A0577994E5}" name="Column11522" dataCellStyle="Normal 2"/>
    <tableColumn id="11538" xr3:uid="{FF43D011-6A15-48A3-8BB3-D9EC3EA68285}" name="Column11523" dataCellStyle="Normal 2"/>
    <tableColumn id="11539" xr3:uid="{6A72D7C8-2800-4094-9825-D41032B20F1D}" name="Column11524" dataCellStyle="Normal 2"/>
    <tableColumn id="11540" xr3:uid="{1F4BDD6E-4D4A-45F0-9659-191C5CDF6B11}" name="Column11525" dataCellStyle="Normal 2"/>
    <tableColumn id="11541" xr3:uid="{778D409F-14C0-4FC1-B778-5ED8D6646817}" name="Column11526" dataCellStyle="Normal 2"/>
    <tableColumn id="11542" xr3:uid="{4588232E-32D8-4306-9300-5CD391DAE51B}" name="Column11527" dataCellStyle="Normal 2"/>
    <tableColumn id="11543" xr3:uid="{A8815454-EC5A-4B7C-B05F-06A942212A99}" name="Column11528" dataCellStyle="Normal 2"/>
    <tableColumn id="11544" xr3:uid="{D5BB6689-6993-4675-A82B-9EFC76E09568}" name="Column11529" dataCellStyle="Normal 2"/>
    <tableColumn id="11545" xr3:uid="{E2F9EA89-D752-4481-8A92-B17780A10C22}" name="Column11530" dataCellStyle="Normal 2"/>
    <tableColumn id="11546" xr3:uid="{EB6A1DCE-1D52-4A74-ABA4-53C4360AD8AA}" name="Column11531" dataCellStyle="Normal 2"/>
    <tableColumn id="11547" xr3:uid="{C80A234F-08F1-490C-AE8F-9BF093DFE106}" name="Column11532" dataCellStyle="Normal 2"/>
    <tableColumn id="11548" xr3:uid="{3B3983D0-9835-49FF-842A-61E692D17E99}" name="Column11533" dataCellStyle="Normal 2"/>
    <tableColumn id="11549" xr3:uid="{476ACF8E-A09D-493A-9D83-091E2C8F9C20}" name="Column11534" dataCellStyle="Normal 2"/>
    <tableColumn id="11550" xr3:uid="{7DF18609-0618-47FB-853F-BECCCA855719}" name="Column11535" dataCellStyle="Normal 2"/>
    <tableColumn id="11551" xr3:uid="{17827870-D587-4C4A-944C-BC09B670BA39}" name="Column11536" dataCellStyle="Normal 2"/>
    <tableColumn id="11552" xr3:uid="{0B9ABC09-B78D-4C0E-991D-F929FD642B88}" name="Column11537" dataCellStyle="Normal 2"/>
    <tableColumn id="11553" xr3:uid="{5937640D-FAE1-4C0B-9E65-CA753A36CABD}" name="Column11538" dataCellStyle="Normal 2"/>
    <tableColumn id="11554" xr3:uid="{432DFC3A-CE6C-4EA5-85AA-938B5FA84DFE}" name="Column11539" dataCellStyle="Normal 2"/>
    <tableColumn id="11555" xr3:uid="{1D844670-1F22-4E19-BC9B-8A777B9C4C88}" name="Column11540" dataCellStyle="Normal 2"/>
    <tableColumn id="11556" xr3:uid="{4D0276EB-3C60-4A05-9F14-4D629DC81413}" name="Column11541" dataCellStyle="Normal 2"/>
    <tableColumn id="11557" xr3:uid="{B37D0B71-9959-44A9-B350-3246EF1D3BF8}" name="Column11542" dataCellStyle="Normal 2"/>
    <tableColumn id="11558" xr3:uid="{8F6BD8A9-458C-4387-AA48-0077208949D1}" name="Column11543" dataCellStyle="Normal 2"/>
    <tableColumn id="11559" xr3:uid="{27BC96D4-248C-4267-B0EA-4C31FBEED056}" name="Column11544" dataCellStyle="Normal 2"/>
    <tableColumn id="11560" xr3:uid="{F62D2940-3AA8-48D7-B531-1F35E55460E9}" name="Column11545" dataCellStyle="Normal 2"/>
    <tableColumn id="11561" xr3:uid="{76A281FC-5934-491A-9264-C473D1D84550}" name="Column11546" dataCellStyle="Normal 2"/>
    <tableColumn id="11562" xr3:uid="{638004FD-8245-4354-9C24-A2CA4C0332A3}" name="Column11547" dataCellStyle="Normal 2"/>
    <tableColumn id="11563" xr3:uid="{7ECAE42E-DAD8-45E8-AB57-7B2A8B85518E}" name="Column11548" dataCellStyle="Normal 2"/>
    <tableColumn id="11564" xr3:uid="{0D16C56F-51C8-42A9-9FF6-1996CAEF7A69}" name="Column11549" dataCellStyle="Normal 2"/>
    <tableColumn id="11565" xr3:uid="{234A0B50-1B82-4479-8769-6124FB5049D9}" name="Column11550" dataCellStyle="Normal 2"/>
    <tableColumn id="11566" xr3:uid="{FCC94F2B-8233-41A4-9840-2AA1070460C7}" name="Column11551" dataCellStyle="Normal 2"/>
    <tableColumn id="11567" xr3:uid="{17C6C5FE-423F-4BEF-A133-52192760E334}" name="Column11552" dataCellStyle="Normal 2"/>
    <tableColumn id="11568" xr3:uid="{07A84231-B1B7-4772-A9FD-4A429AF2A018}" name="Column11553" dataCellStyle="Normal 2"/>
    <tableColumn id="11569" xr3:uid="{D2E853A8-958A-41B4-A4AA-83A050B06F0A}" name="Column11554" dataCellStyle="Normal 2"/>
    <tableColumn id="11570" xr3:uid="{BB3246B2-23C3-4497-88F8-7F80E79B3012}" name="Column11555" dataCellStyle="Normal 2"/>
    <tableColumn id="11571" xr3:uid="{07FFCBAB-1F69-42A3-928A-76A999DF528A}" name="Column11556" dataCellStyle="Normal 2"/>
    <tableColumn id="11572" xr3:uid="{B7D4B576-975B-4D47-9FBB-7ABD64834F5A}" name="Column11557" dataCellStyle="Normal 2"/>
    <tableColumn id="11573" xr3:uid="{46909081-95E8-4300-889A-B7D5FFE73C66}" name="Column11558" dataCellStyle="Normal 2"/>
    <tableColumn id="11574" xr3:uid="{5E192EF6-66EA-4916-90BC-C2A7415B5ECD}" name="Column11559" dataCellStyle="Normal 2"/>
    <tableColumn id="11575" xr3:uid="{1C84770F-915F-4DD8-A6B1-49D8E798FC57}" name="Column11560" dataCellStyle="Normal 2"/>
    <tableColumn id="11576" xr3:uid="{849CC52E-C683-4B83-A9AB-D88289764862}" name="Column11561" dataCellStyle="Normal 2"/>
    <tableColumn id="11577" xr3:uid="{9CF6FEF4-9B6B-4B87-A7A8-ADEB427A8F84}" name="Column11562" dataCellStyle="Normal 2"/>
    <tableColumn id="11578" xr3:uid="{487F5303-DDAC-4C6A-BF38-C8E702F038B2}" name="Column11563" dataCellStyle="Normal 2"/>
    <tableColumn id="11579" xr3:uid="{745DEC41-8C99-4648-9920-7D1F2F9A2EBC}" name="Column11564" dataCellStyle="Normal 2"/>
    <tableColumn id="11580" xr3:uid="{F62CE74A-1B2F-40E7-B882-BE9301296105}" name="Column11565" dataCellStyle="Normal 2"/>
    <tableColumn id="11581" xr3:uid="{442A1315-DA59-41B9-B4FA-C1DFAF1692F6}" name="Column11566" dataCellStyle="Normal 2"/>
    <tableColumn id="11582" xr3:uid="{C346889B-3853-4F00-BF73-BC5F14AED0B9}" name="Column11567" dataCellStyle="Normal 2"/>
    <tableColumn id="11583" xr3:uid="{A760ECB6-1B8B-4435-B1CA-BCF4DF907DC5}" name="Column11568" dataCellStyle="Normal 2"/>
    <tableColumn id="11584" xr3:uid="{661256B8-0497-47F6-BEF4-9D86010E49AF}" name="Column11569" dataCellStyle="Normal 2"/>
    <tableColumn id="11585" xr3:uid="{A2836D2B-9E98-4CB0-A5B8-01CB453B6DD6}" name="Column11570" dataCellStyle="Normal 2"/>
    <tableColumn id="11586" xr3:uid="{D1A27247-BEF5-4BDC-A333-AD037A463CC6}" name="Column11571" dataCellStyle="Normal 2"/>
    <tableColumn id="11587" xr3:uid="{8F1D701D-A4DF-4657-A59C-0A9314B0AD3C}" name="Column11572" dataCellStyle="Normal 2"/>
    <tableColumn id="11588" xr3:uid="{C6492104-21FA-4744-A4B0-690657FCEC97}" name="Column11573" dataCellStyle="Normal 2"/>
    <tableColumn id="11589" xr3:uid="{C1DAE1B6-CE86-4774-BA70-208D985C6C57}" name="Column11574" dataCellStyle="Normal 2"/>
    <tableColumn id="11590" xr3:uid="{165514DE-4401-4E88-B592-DC75BD00DE01}" name="Column11575" dataCellStyle="Normal 2"/>
    <tableColumn id="11591" xr3:uid="{466A9CB1-69F5-4519-B65D-A9BA19713DBE}" name="Column11576" dataCellStyle="Normal 2"/>
    <tableColumn id="11592" xr3:uid="{CD174DBE-7FCA-47A1-AC0E-6CEFEED5F1BA}" name="Column11577" dataCellStyle="Normal 2"/>
    <tableColumn id="11593" xr3:uid="{D2991739-677A-43DB-BE99-AC98A5719732}" name="Column11578" dataCellStyle="Normal 2"/>
    <tableColumn id="11594" xr3:uid="{AC108D4D-2BF2-42A2-A183-63398012E3F7}" name="Column11579" dataCellStyle="Normal 2"/>
    <tableColumn id="11595" xr3:uid="{CE85961A-0BEA-431E-ABCA-E36F9BF8436D}" name="Column11580" dataCellStyle="Normal 2"/>
    <tableColumn id="11596" xr3:uid="{4D3AC797-04B7-40CD-A856-BCD2D78B258A}" name="Column11581" dataCellStyle="Normal 2"/>
    <tableColumn id="11597" xr3:uid="{5FAB00C0-185A-49C1-93DE-3DD3A2C47893}" name="Column11582" dataCellStyle="Normal 2"/>
    <tableColumn id="11598" xr3:uid="{35A0ED52-2BAA-4115-ADDA-CD6CECE3C7E6}" name="Column11583" dataCellStyle="Normal 2"/>
    <tableColumn id="11599" xr3:uid="{4447C944-A6E3-486A-9DAE-A0614F5F4B0E}" name="Column11584" dataCellStyle="Normal 2"/>
    <tableColumn id="11600" xr3:uid="{693E579E-6064-4B83-8CAC-EB67442C36DF}" name="Column11585" dataCellStyle="Normal 2"/>
    <tableColumn id="11601" xr3:uid="{F67F7BF1-1EB5-487D-895E-5E6545546154}" name="Column11586" dataCellStyle="Normal 2"/>
    <tableColumn id="11602" xr3:uid="{C2219801-F67D-428B-B8E7-686947CD60DC}" name="Column11587" dataCellStyle="Normal 2"/>
    <tableColumn id="11603" xr3:uid="{950B0C99-2D7A-49DF-8411-5CA30CA92DB2}" name="Column11588" dataCellStyle="Normal 2"/>
    <tableColumn id="11604" xr3:uid="{033AB750-301C-4025-98F1-B74AA1568DC3}" name="Column11589" dataCellStyle="Normal 2"/>
    <tableColumn id="11605" xr3:uid="{970C027D-3AA2-4580-BDCA-362E4E62BAFB}" name="Column11590" dataCellStyle="Normal 2"/>
    <tableColumn id="11606" xr3:uid="{3BBFE1AC-B515-4808-89E6-ABB104AE21A9}" name="Column11591" dataCellStyle="Normal 2"/>
    <tableColumn id="11607" xr3:uid="{859D5317-8B5C-4A45-AED4-C85DE15726BB}" name="Column11592" dataCellStyle="Normal 2"/>
    <tableColumn id="11608" xr3:uid="{81C07924-6FC6-47AC-91B7-342D7221C00A}" name="Column11593" dataCellStyle="Normal 2"/>
    <tableColumn id="11609" xr3:uid="{1C17603F-ADCF-449A-B742-80AFB9836F7B}" name="Column11594" dataCellStyle="Normal 2"/>
    <tableColumn id="11610" xr3:uid="{6AACF648-4BB7-43B8-9087-25FE1D04E453}" name="Column11595" dataCellStyle="Normal 2"/>
    <tableColumn id="11611" xr3:uid="{27E2D996-3632-4430-9332-902FFB12E9F5}" name="Column11596" dataCellStyle="Normal 2"/>
    <tableColumn id="11612" xr3:uid="{2A0BAA76-2900-4459-83E0-937A626865DB}" name="Column11597" dataCellStyle="Normal 2"/>
    <tableColumn id="11613" xr3:uid="{85449C05-FF2D-493D-9A0D-FA8E632D3C89}" name="Column11598" dataCellStyle="Normal 2"/>
    <tableColumn id="11614" xr3:uid="{C5E2BBAD-ECB3-42C3-A86B-3186DE2D65BB}" name="Column11599" dataCellStyle="Normal 2"/>
    <tableColumn id="11615" xr3:uid="{E540B4D3-00B0-4698-8D97-E3F0B09CEF33}" name="Column11600" dataCellStyle="Normal 2"/>
    <tableColumn id="11616" xr3:uid="{381FE471-D897-4080-B84E-23539EDBBF5E}" name="Column11601" dataCellStyle="Normal 2"/>
    <tableColumn id="11617" xr3:uid="{1427631E-5B34-45FE-89D3-ABDBC939B8E9}" name="Column11602" dataCellStyle="Normal 2"/>
    <tableColumn id="11618" xr3:uid="{9456091E-DC6F-488B-8A44-712FF7333C6D}" name="Column11603" dataCellStyle="Normal 2"/>
    <tableColumn id="11619" xr3:uid="{B010DAC6-B970-4BB8-A007-D194B5D9FD38}" name="Column11604" dataCellStyle="Normal 2"/>
    <tableColumn id="11620" xr3:uid="{AF7677E8-F148-414C-8580-574DD81FF5AA}" name="Column11605" dataCellStyle="Normal 2"/>
    <tableColumn id="11621" xr3:uid="{D1A35585-F76C-42A2-B055-66B8356F23D4}" name="Column11606" dataCellStyle="Normal 2"/>
    <tableColumn id="11622" xr3:uid="{5331905D-C543-4B06-BFBD-2850688335FD}" name="Column11607" dataCellStyle="Normal 2"/>
    <tableColumn id="11623" xr3:uid="{3C799AA1-46CA-45A1-8928-DC892E82DC47}" name="Column11608" dataCellStyle="Normal 2"/>
    <tableColumn id="11624" xr3:uid="{51D00CCE-B815-42A1-90F6-328A6F98420C}" name="Column11609" dataCellStyle="Normal 2"/>
    <tableColumn id="11625" xr3:uid="{715B83E3-7DB4-4EBC-86CC-1EBFAEBEC367}" name="Column11610" dataCellStyle="Normal 2"/>
    <tableColumn id="11626" xr3:uid="{73C83509-4C1C-4F80-A23F-7C6755BD7520}" name="Column11611" dataCellStyle="Normal 2"/>
    <tableColumn id="11627" xr3:uid="{465C1B22-2B5A-4226-B27F-6CD5CDF04E16}" name="Column11612" dataCellStyle="Normal 2"/>
    <tableColumn id="11628" xr3:uid="{EEFC410B-5A08-430B-833C-7901BCAF04A5}" name="Column11613" dataCellStyle="Normal 2"/>
    <tableColumn id="11629" xr3:uid="{260F5C98-E72E-4D0D-9921-602E6AA8C07C}" name="Column11614" dataCellStyle="Normal 2"/>
    <tableColumn id="11630" xr3:uid="{7B8E141D-B05F-4892-AA53-B9ECACD3C847}" name="Column11615" dataCellStyle="Normal 2"/>
    <tableColumn id="11631" xr3:uid="{28735E33-B7EE-4389-B1CF-EFBC116D1DC1}" name="Column11616" dataCellStyle="Normal 2"/>
    <tableColumn id="11632" xr3:uid="{62CD10DA-6C2A-46FF-BD19-9AEF4B8ABC9A}" name="Column11617" dataCellStyle="Normal 2"/>
    <tableColumn id="11633" xr3:uid="{A3713F6F-C5DB-4E62-9CA5-B93B87335731}" name="Column11618" dataCellStyle="Normal 2"/>
    <tableColumn id="11634" xr3:uid="{8272AFBE-91DE-46AE-9A3B-0D3240BE2600}" name="Column11619" dataCellStyle="Normal 2"/>
    <tableColumn id="11635" xr3:uid="{CAA4DFE4-A1ED-4716-8FF8-484EBDA0270C}" name="Column11620" dataCellStyle="Normal 2"/>
    <tableColumn id="11636" xr3:uid="{9523802A-09D7-467D-9EEC-3095E26F8D98}" name="Column11621" dataCellStyle="Normal 2"/>
    <tableColumn id="11637" xr3:uid="{5C442DFC-BA93-4BD5-8410-4252D3313EC6}" name="Column11622" dataCellStyle="Normal 2"/>
    <tableColumn id="11638" xr3:uid="{16A5AC33-0857-4A26-B4CD-CEED194C580F}" name="Column11623" dataCellStyle="Normal 2"/>
    <tableColumn id="11639" xr3:uid="{995F28C1-D94D-41AD-8177-B128ADDB57DC}" name="Column11624" dataCellStyle="Normal 2"/>
    <tableColumn id="11640" xr3:uid="{E639F292-21BC-4A9C-B5FB-F14BC4672E97}" name="Column11625" dataCellStyle="Normal 2"/>
    <tableColumn id="11641" xr3:uid="{F772C4EB-D8B0-4D9D-B679-DF3F4E3A4FCB}" name="Column11626" dataCellStyle="Normal 2"/>
    <tableColumn id="11642" xr3:uid="{8E6C4880-832D-45CC-BB72-257D4F7FC5BA}" name="Column11627" dataCellStyle="Normal 2"/>
    <tableColumn id="11643" xr3:uid="{33D3F32D-620B-48FF-B2BE-6CF15D7C282D}" name="Column11628" dataCellStyle="Normal 2"/>
    <tableColumn id="11644" xr3:uid="{317A68B3-FF78-45FD-84E2-05C095555CC9}" name="Column11629" dataCellStyle="Normal 2"/>
    <tableColumn id="11645" xr3:uid="{949EA960-1ED7-4D31-A4E9-F8BB486C9D52}" name="Column11630" dataCellStyle="Normal 2"/>
    <tableColumn id="11646" xr3:uid="{1C09CEAB-EFD2-4B11-98F0-50235D7E5115}" name="Column11631" dataCellStyle="Normal 2"/>
    <tableColumn id="11647" xr3:uid="{30C84B2B-80B8-41CA-AD8D-400413C77083}" name="Column11632" dataCellStyle="Normal 2"/>
    <tableColumn id="11648" xr3:uid="{4209D5C0-67B5-4D41-BBA1-0FAB6A15022E}" name="Column11633" dataCellStyle="Normal 2"/>
    <tableColumn id="11649" xr3:uid="{A84531FB-F7E6-4F61-8B4E-3AF723FB9BC7}" name="Column11634" dataCellStyle="Normal 2"/>
    <tableColumn id="11650" xr3:uid="{2643236A-8958-45B5-8A54-C9471E5C5829}" name="Column11635" dataCellStyle="Normal 2"/>
    <tableColumn id="11651" xr3:uid="{A92678E8-7F0E-4715-A47E-AC91B47D4F10}" name="Column11636" dataCellStyle="Normal 2"/>
    <tableColumn id="11652" xr3:uid="{701ECDD2-F122-42B1-AB15-99491D0038EF}" name="Column11637" dataCellStyle="Normal 2"/>
    <tableColumn id="11653" xr3:uid="{B8551DA1-E33F-4062-98F4-EC893F630F7F}" name="Column11638" dataCellStyle="Normal 2"/>
    <tableColumn id="11654" xr3:uid="{C2D5B741-7B92-4E19-8E15-124BFF07FDD3}" name="Column11639" dataCellStyle="Normal 2"/>
    <tableColumn id="11655" xr3:uid="{EA387042-8F7E-44C5-B4E1-89757D224C1F}" name="Column11640" dataCellStyle="Normal 2"/>
    <tableColumn id="11656" xr3:uid="{2ED4652A-BB44-4003-95C6-CDCA7A353BB6}" name="Column11641" dataCellStyle="Normal 2"/>
    <tableColumn id="11657" xr3:uid="{260DD17A-D58A-4747-BC0C-B72E17C38B94}" name="Column11642" dataCellStyle="Normal 2"/>
    <tableColumn id="11658" xr3:uid="{B1F9E951-D39E-4977-AE4B-B5E97C1D1433}" name="Column11643" dataCellStyle="Normal 2"/>
    <tableColumn id="11659" xr3:uid="{0EFE9EE4-2D20-48FA-A737-5731E271260A}" name="Column11644" dataCellStyle="Normal 2"/>
    <tableColumn id="11660" xr3:uid="{837763D6-E2C8-4DD8-BEED-F0A0D312E356}" name="Column11645" dataCellStyle="Normal 2"/>
    <tableColumn id="11661" xr3:uid="{6E041F9F-5E9B-495D-989F-88BE8F73B22A}" name="Column11646" dataCellStyle="Normal 2"/>
    <tableColumn id="11662" xr3:uid="{003E64CF-1D49-4A26-B581-49D54C6BBADA}" name="Column11647" dataCellStyle="Normal 2"/>
    <tableColumn id="11663" xr3:uid="{19A2B535-D717-4611-BF7C-A7CACA7C11FB}" name="Column11648" dataCellStyle="Normal 2"/>
    <tableColumn id="11664" xr3:uid="{E7D201AA-FBDB-4F44-BDBF-06FB62C87581}" name="Column11649" dataCellStyle="Normal 2"/>
    <tableColumn id="11665" xr3:uid="{31F98676-A257-4C3C-AE6A-CFDA8595243E}" name="Column11650" dataCellStyle="Normal 2"/>
    <tableColumn id="11666" xr3:uid="{A9C09C9A-68EA-478D-8B03-2D3AA2174D77}" name="Column11651" dataCellStyle="Normal 2"/>
    <tableColumn id="11667" xr3:uid="{F4C52844-11AB-4F00-B800-FFA0896D694F}" name="Column11652" dataCellStyle="Normal 2"/>
    <tableColumn id="11668" xr3:uid="{6B1DB6BF-B112-4160-A09D-FB5E1BA1B140}" name="Column11653" dataCellStyle="Normal 2"/>
    <tableColumn id="11669" xr3:uid="{856B0164-CB5C-4391-B1B6-44FA286C82D2}" name="Column11654" dataCellStyle="Normal 2"/>
    <tableColumn id="11670" xr3:uid="{A549D5E9-978B-42C6-BB11-6D25067CE129}" name="Column11655" dataCellStyle="Normal 2"/>
    <tableColumn id="11671" xr3:uid="{25E15356-A9A6-4AAE-BD7B-7889A1324181}" name="Column11656" dataCellStyle="Normal 2"/>
    <tableColumn id="11672" xr3:uid="{06BD6C2F-680C-4179-8818-30FBA4E7819F}" name="Column11657" dataCellStyle="Normal 2"/>
    <tableColumn id="11673" xr3:uid="{872B37F0-065C-479A-9097-C30C2F8E0A1A}" name="Column11658" dataCellStyle="Normal 2"/>
    <tableColumn id="11674" xr3:uid="{4FF0C383-AAC5-408F-A166-431F8DF0D7E8}" name="Column11659" dataCellStyle="Normal 2"/>
    <tableColumn id="11675" xr3:uid="{3739FD40-3804-428D-ABC2-49EDEE211DCB}" name="Column11660" dataCellStyle="Normal 2"/>
    <tableColumn id="11676" xr3:uid="{F9934B01-1D53-4EB7-8B8D-30B8FAE3B34C}" name="Column11661" dataCellStyle="Normal 2"/>
    <tableColumn id="11677" xr3:uid="{F9CED007-05FE-496C-8F59-336CA0E283D6}" name="Column11662" dataCellStyle="Normal 2"/>
    <tableColumn id="11678" xr3:uid="{7B727219-034A-4D5F-9246-80523E9CF4F5}" name="Column11663" dataCellStyle="Normal 2"/>
    <tableColumn id="11679" xr3:uid="{88A5BAAD-0DF8-4E59-A3EA-BA947E7102A6}" name="Column11664" dataCellStyle="Normal 2"/>
    <tableColumn id="11680" xr3:uid="{7C3F7E1C-A0D5-4B51-8B99-663D463648E7}" name="Column11665" dataCellStyle="Normal 2"/>
    <tableColumn id="11681" xr3:uid="{ECAF9DDD-EBDD-49A7-8DE4-6A467DEE73E7}" name="Column11666" dataCellStyle="Normal 2"/>
    <tableColumn id="11682" xr3:uid="{87509874-9496-4933-B282-738EDA643C20}" name="Column11667" dataCellStyle="Normal 2"/>
    <tableColumn id="11683" xr3:uid="{CA84DD30-3DE6-4732-9CF5-EBA17FC8813F}" name="Column11668" dataCellStyle="Normal 2"/>
    <tableColumn id="11684" xr3:uid="{4F54D4B1-9894-4848-9A08-5CAC9D290CE8}" name="Column11669" dataCellStyle="Normal 2"/>
    <tableColumn id="11685" xr3:uid="{35B87599-E803-466C-B129-669D22783674}" name="Column11670" dataCellStyle="Normal 2"/>
    <tableColumn id="11686" xr3:uid="{91DED43A-D3C4-4ECD-B05D-A90762F0AB9A}" name="Column11671" dataCellStyle="Normal 2"/>
    <tableColumn id="11687" xr3:uid="{B572AFF0-D6BE-4182-98EB-E742651B2C89}" name="Column11672" dataCellStyle="Normal 2"/>
    <tableColumn id="11688" xr3:uid="{C3F6F8FB-4046-461B-AC72-2E68AFB02447}" name="Column11673" dataCellStyle="Normal 2"/>
    <tableColumn id="11689" xr3:uid="{A05615BC-2329-4CB3-A8F7-065787FC75D5}" name="Column11674" dataCellStyle="Normal 2"/>
    <tableColumn id="11690" xr3:uid="{9D2B02DF-8087-4BD0-AC95-51D05BACCB6A}" name="Column11675" dataCellStyle="Normal 2"/>
    <tableColumn id="11691" xr3:uid="{C237003B-3946-4F38-A16B-BC11990998B4}" name="Column11676" dataCellStyle="Normal 2"/>
    <tableColumn id="11692" xr3:uid="{8CA150D3-7032-4CC6-A481-25C42CE54EE1}" name="Column11677" dataCellStyle="Normal 2"/>
    <tableColumn id="11693" xr3:uid="{5E8ED9CC-E38D-4E45-9CE1-56F8733B5C2C}" name="Column11678" dataCellStyle="Normal 2"/>
    <tableColumn id="11694" xr3:uid="{77579A15-4992-4D53-AF6F-3D63A6A171A2}" name="Column11679" dataCellStyle="Normal 2"/>
    <tableColumn id="11695" xr3:uid="{49D7A811-97D9-424F-A61C-26EEAB11AD64}" name="Column11680" dataCellStyle="Normal 2"/>
    <tableColumn id="11696" xr3:uid="{382C4019-A91C-459F-9337-39A547010AA7}" name="Column11681" dataCellStyle="Normal 2"/>
    <tableColumn id="11697" xr3:uid="{6BCD3482-07A0-4BC1-A3B8-96A839535E42}" name="Column11682" dataCellStyle="Normal 2"/>
    <tableColumn id="11698" xr3:uid="{8747F09B-BC00-4345-B891-D6396B299399}" name="Column11683" dataCellStyle="Normal 2"/>
    <tableColumn id="11699" xr3:uid="{4FAD0FEB-6437-4459-B50D-B846CA985A5C}" name="Column11684" dataCellStyle="Normal 2"/>
    <tableColumn id="11700" xr3:uid="{04E2AB33-F03E-4A54-8BA8-47B5A4032574}" name="Column11685" dataCellStyle="Normal 2"/>
    <tableColumn id="11701" xr3:uid="{4715CCF1-9D75-4C28-912C-D5EAD3E27919}" name="Column11686" dataCellStyle="Normal 2"/>
    <tableColumn id="11702" xr3:uid="{2AD0C4A4-0682-41C2-A928-6FCDF8566144}" name="Column11687" dataCellStyle="Normal 2"/>
    <tableColumn id="11703" xr3:uid="{059FEC54-798F-48A0-870C-DD1B3ADDC60F}" name="Column11688" dataCellStyle="Normal 2"/>
    <tableColumn id="11704" xr3:uid="{1BD5CC84-9FE6-4F5E-BAC0-55787BFCD389}" name="Column11689" dataCellStyle="Normal 2"/>
    <tableColumn id="11705" xr3:uid="{32E38A81-3D9A-4D87-9E9F-958FBD96FDA2}" name="Column11690" dataCellStyle="Normal 2"/>
    <tableColumn id="11706" xr3:uid="{28D1D270-C60E-4069-8313-988B1DB6F20C}" name="Column11691" dataCellStyle="Normal 2"/>
    <tableColumn id="11707" xr3:uid="{721EF5AD-748F-4BB5-83FC-19A42FF323AE}" name="Column11692" dataCellStyle="Normal 2"/>
    <tableColumn id="11708" xr3:uid="{E4CEB921-FABC-4773-9182-F2F8B7149BE7}" name="Column11693" dataCellStyle="Normal 2"/>
    <tableColumn id="11709" xr3:uid="{01A829F4-6935-48AD-BDB2-DF281F112D9A}" name="Column11694" dataCellStyle="Normal 2"/>
    <tableColumn id="11710" xr3:uid="{B2705E6F-273D-4702-9FBD-1DED6A8610E3}" name="Column11695" dataCellStyle="Normal 2"/>
    <tableColumn id="11711" xr3:uid="{142D6000-514A-4C00-B0B4-0B5EA1EC2F82}" name="Column11696" dataCellStyle="Normal 2"/>
    <tableColumn id="11712" xr3:uid="{4130D4BA-6E98-4387-95DC-B4668DE0D707}" name="Column11697" dataCellStyle="Normal 2"/>
    <tableColumn id="11713" xr3:uid="{EE94329D-6554-4984-BF2C-66611DA4058B}" name="Column11698" dataCellStyle="Normal 2"/>
    <tableColumn id="11714" xr3:uid="{465C53FB-51EA-444E-9466-9110A29DEEE9}" name="Column11699" dataCellStyle="Normal 2"/>
    <tableColumn id="11715" xr3:uid="{2090C769-DF63-4DFE-A85D-13913EC2F84C}" name="Column11700" dataCellStyle="Normal 2"/>
    <tableColumn id="11716" xr3:uid="{3322498C-BF83-45DD-80A7-6BE6A1202BBC}" name="Column11701" dataCellStyle="Normal 2"/>
    <tableColumn id="11717" xr3:uid="{CAC3C2C7-8066-4297-9298-58048D9B4880}" name="Column11702" dataCellStyle="Normal 2"/>
    <tableColumn id="11718" xr3:uid="{08B5D148-ED9B-4FDC-AF62-68E4954F0CAC}" name="Column11703" dataCellStyle="Normal 2"/>
    <tableColumn id="11719" xr3:uid="{0F3BD869-AD89-4C13-9647-43095163B813}" name="Column11704" dataCellStyle="Normal 2"/>
    <tableColumn id="11720" xr3:uid="{49559E1E-7040-4390-A186-4677A78C57A2}" name="Column11705" dataCellStyle="Normal 2"/>
    <tableColumn id="11721" xr3:uid="{77FB4920-E77A-4C5A-82DD-1BE24426355F}" name="Column11706" dataCellStyle="Normal 2"/>
    <tableColumn id="11722" xr3:uid="{610552B1-3890-4E65-A0E2-EB246901F49C}" name="Column11707" dataCellStyle="Normal 2"/>
    <tableColumn id="11723" xr3:uid="{6B6176DB-261B-46DE-98A5-A060E0D7B61B}" name="Column11708" dataCellStyle="Normal 2"/>
    <tableColumn id="11724" xr3:uid="{C89F930E-2A33-4B36-90FD-5E5542A34B0E}" name="Column11709" dataCellStyle="Normal 2"/>
    <tableColumn id="11725" xr3:uid="{1F773BCB-9B14-4720-A4F4-C5898E840F99}" name="Column11710" dataCellStyle="Normal 2"/>
    <tableColumn id="11726" xr3:uid="{23FED4BF-A350-4499-AB17-93E297B195D7}" name="Column11711" dataCellStyle="Normal 2"/>
    <tableColumn id="11727" xr3:uid="{DB06B29C-B402-448F-810F-CE2B0AFA432D}" name="Column11712" dataCellStyle="Normal 2"/>
    <tableColumn id="11728" xr3:uid="{C62A8E3B-AB66-405D-A481-8D99B1469314}" name="Column11713" dataCellStyle="Normal 2"/>
    <tableColumn id="11729" xr3:uid="{189A74BB-0DDC-435E-8AF8-45DC20D45DB8}" name="Column11714" dataCellStyle="Normal 2"/>
    <tableColumn id="11730" xr3:uid="{96B479B1-D03F-4189-AC1B-1A573D38E897}" name="Column11715" dataCellStyle="Normal 2"/>
    <tableColumn id="11731" xr3:uid="{06611289-C440-43A2-A48A-090F860B7B0B}" name="Column11716" dataCellStyle="Normal 2"/>
    <tableColumn id="11732" xr3:uid="{42467E8B-61BE-46B5-AC3F-58302682A665}" name="Column11717" dataCellStyle="Normal 2"/>
    <tableColumn id="11733" xr3:uid="{7D50E0DD-833F-43F5-81CA-6D1C3F578DD9}" name="Column11718" dataCellStyle="Normal 2"/>
    <tableColumn id="11734" xr3:uid="{A0FD8303-7064-4F9A-A121-5F1029F11B32}" name="Column11719" dataCellStyle="Normal 2"/>
    <tableColumn id="11735" xr3:uid="{9EE0C5C9-A0A6-48DE-92FF-D732D1E7EEA5}" name="Column11720" dataCellStyle="Normal 2"/>
    <tableColumn id="11736" xr3:uid="{0427727A-3B1C-4162-A868-DE4795C41631}" name="Column11721" dataCellStyle="Normal 2"/>
    <tableColumn id="11737" xr3:uid="{1CD3898D-F2A5-425B-A006-EB9615DBAD5B}" name="Column11722" dataCellStyle="Normal 2"/>
    <tableColumn id="11738" xr3:uid="{C4745EF1-A6A2-4775-A80C-AA9FDAA8579A}" name="Column11723" dataCellStyle="Normal 2"/>
    <tableColumn id="11739" xr3:uid="{988A05F7-DAE4-4D3A-957D-8284CA4BB474}" name="Column11724" dataCellStyle="Normal 2"/>
    <tableColumn id="11740" xr3:uid="{68755571-CC40-45C3-9E17-F0FB8B24F3BB}" name="Column11725" dataCellStyle="Normal 2"/>
    <tableColumn id="11741" xr3:uid="{CEF63C14-DE08-4871-BCB7-686B98CF5F37}" name="Column11726" dataCellStyle="Normal 2"/>
    <tableColumn id="11742" xr3:uid="{36A46DF8-180D-4FD7-8F83-7C7D1878F5E6}" name="Column11727" dataCellStyle="Normal 2"/>
    <tableColumn id="11743" xr3:uid="{1FBBF270-355C-4DBA-9088-DA2EB062C1D2}" name="Column11728" dataCellStyle="Normal 2"/>
    <tableColumn id="11744" xr3:uid="{7E866241-0664-4DA0-A852-79A9C1CFB90D}" name="Column11729" dataCellStyle="Normal 2"/>
    <tableColumn id="11745" xr3:uid="{1D999CDF-F214-40CC-AD9D-0F8E82AEEEA7}" name="Column11730" dataCellStyle="Normal 2"/>
    <tableColumn id="11746" xr3:uid="{9DC928E2-670F-41FF-9888-31C133D4E1EF}" name="Column11731" dataCellStyle="Normal 2"/>
    <tableColumn id="11747" xr3:uid="{FE501C75-E4B6-4BB2-9DE3-F88EAF70AD9C}" name="Column11732" dataCellStyle="Normal 2"/>
    <tableColumn id="11748" xr3:uid="{619BE79D-7733-426E-9A99-F5DA2AC69FF0}" name="Column11733" dataCellStyle="Normal 2"/>
    <tableColumn id="11749" xr3:uid="{36385620-6B48-4DEF-BEFB-03CA6AE2022B}" name="Column11734" dataCellStyle="Normal 2"/>
    <tableColumn id="11750" xr3:uid="{34054418-75CA-41A3-8BBE-A6CAA08F37DB}" name="Column11735" dataCellStyle="Normal 2"/>
    <tableColumn id="11751" xr3:uid="{6F7E9BA4-01E0-4757-AB6A-AAEE0F7234C5}" name="Column11736" dataCellStyle="Normal 2"/>
    <tableColumn id="11752" xr3:uid="{FD0FAC2B-1690-41F8-93CF-E1606419AED2}" name="Column11737" dataCellStyle="Normal 2"/>
    <tableColumn id="11753" xr3:uid="{7606FE0E-525A-4FCB-A317-19983CFA99E6}" name="Column11738" dataCellStyle="Normal 2"/>
    <tableColumn id="11754" xr3:uid="{7D922ACB-116D-44E3-BCA8-C7D936855A02}" name="Column11739" dataCellStyle="Normal 2"/>
    <tableColumn id="11755" xr3:uid="{E1F007D7-2489-4667-98CA-161C47AAAD30}" name="Column11740" dataCellStyle="Normal 2"/>
    <tableColumn id="11756" xr3:uid="{147D96AD-F8BF-4ECB-82AE-B07FB16635D3}" name="Column11741" dataCellStyle="Normal 2"/>
    <tableColumn id="11757" xr3:uid="{94F68474-C5C9-4513-A933-92AA370C4C88}" name="Column11742" dataCellStyle="Normal 2"/>
    <tableColumn id="11758" xr3:uid="{DBF99D24-B082-4EFD-B1DF-FF8F5718FB16}" name="Column11743" dataCellStyle="Normal 2"/>
    <tableColumn id="11759" xr3:uid="{900174B3-726E-47B2-997A-618439352BF6}" name="Column11744" dataCellStyle="Normal 2"/>
    <tableColumn id="11760" xr3:uid="{A9ED7F75-8191-4FEA-B93A-ECD7FD702EFC}" name="Column11745" dataCellStyle="Normal 2"/>
    <tableColumn id="11761" xr3:uid="{1D024A07-EF4F-4F4F-A8B5-FD1A9C40191E}" name="Column11746" dataCellStyle="Normal 2"/>
    <tableColumn id="11762" xr3:uid="{1D90B2FD-AC8C-49D2-9353-7090F143E610}" name="Column11747" dataCellStyle="Normal 2"/>
    <tableColumn id="11763" xr3:uid="{20BA2E33-F9C8-4192-9969-2486D6F4F626}" name="Column11748" dataCellStyle="Normal 2"/>
    <tableColumn id="11764" xr3:uid="{EE7463C7-5E94-4356-89C2-D96B747A88FB}" name="Column11749" dataCellStyle="Normal 2"/>
    <tableColumn id="11765" xr3:uid="{D53DB4B7-9487-4B94-8FF0-D614DF120AF8}" name="Column11750" dataCellStyle="Normal 2"/>
    <tableColumn id="11766" xr3:uid="{BFE9A5B4-7AE0-4B60-BCD6-C737B0360D6E}" name="Column11751" dataCellStyle="Normal 2"/>
    <tableColumn id="11767" xr3:uid="{BBA72152-5E97-4079-B5F5-43869115E500}" name="Column11752" dataCellStyle="Normal 2"/>
    <tableColumn id="11768" xr3:uid="{5E91D07C-5C29-471D-B837-B4AEC69B34DE}" name="Column11753" dataCellStyle="Normal 2"/>
    <tableColumn id="11769" xr3:uid="{2D3DF242-7962-4E17-9FA3-24F4605B15E3}" name="Column11754" dataCellStyle="Normal 2"/>
    <tableColumn id="11770" xr3:uid="{9B447396-CE76-4F6F-95D0-62650F97B77D}" name="Column11755" dataCellStyle="Normal 2"/>
    <tableColumn id="11771" xr3:uid="{31CF03C5-35B2-47FB-BD15-708D44469C34}" name="Column11756" dataCellStyle="Normal 2"/>
    <tableColumn id="11772" xr3:uid="{967FD30F-E55D-441A-B45A-FC8471E2D9BD}" name="Column11757" dataCellStyle="Normal 2"/>
    <tableColumn id="11773" xr3:uid="{7D7F4F0A-B5BA-4392-A5E1-D9B1BCA78957}" name="Column11758" dataCellStyle="Normal 2"/>
    <tableColumn id="11774" xr3:uid="{07478ED1-BE55-420D-A814-111012C7CC11}" name="Column11759" dataCellStyle="Normal 2"/>
    <tableColumn id="11775" xr3:uid="{5ADC85E9-8B36-4203-BF3F-2DC37ABF9E80}" name="Column11760" dataCellStyle="Normal 2"/>
    <tableColumn id="11776" xr3:uid="{FFAC7590-A404-454D-AD16-E76B1D5F92D9}" name="Column11761" dataCellStyle="Normal 2"/>
    <tableColumn id="11777" xr3:uid="{A67717B1-3928-42D4-9B4E-052BF158B3CF}" name="Column11762" dataCellStyle="Normal 2"/>
    <tableColumn id="11778" xr3:uid="{89D29CB0-F8E5-4667-B383-70FCEAEF1A3B}" name="Column11763" dataCellStyle="Normal 2"/>
    <tableColumn id="11779" xr3:uid="{57C86C34-58D5-4EDE-8398-85C9B3DCC220}" name="Column11764" dataCellStyle="Normal 2"/>
    <tableColumn id="11780" xr3:uid="{D657F1F2-B5AA-427E-A3B3-E891CFFB0D37}" name="Column11765" dataCellStyle="Normal 2"/>
    <tableColumn id="11781" xr3:uid="{E50676D5-594A-4B9F-A2A3-404FB0D82458}" name="Column11766" dataCellStyle="Normal 2"/>
    <tableColumn id="11782" xr3:uid="{19C40B2E-6A2C-4BA2-A558-15D541949452}" name="Column11767" dataCellStyle="Normal 2"/>
    <tableColumn id="11783" xr3:uid="{F5263686-0A6A-4B1F-84D0-DEA8084233EE}" name="Column11768" dataCellStyle="Normal 2"/>
    <tableColumn id="11784" xr3:uid="{EA5623DA-E299-4A9B-8089-30A622077BDB}" name="Column11769" dataCellStyle="Normal 2"/>
    <tableColumn id="11785" xr3:uid="{25F08CED-F377-4A2B-835A-71BA6FE12F88}" name="Column11770" dataCellStyle="Normal 2"/>
    <tableColumn id="11786" xr3:uid="{6346F5D2-8072-476C-B987-2859D6D155F3}" name="Column11771" dataCellStyle="Normal 2"/>
    <tableColumn id="11787" xr3:uid="{96AF847C-2490-40D6-BB98-A6BA358880D0}" name="Column11772" dataCellStyle="Normal 2"/>
    <tableColumn id="11788" xr3:uid="{53177247-76EB-40D2-B7C3-D09CE6DB32F1}" name="Column11773" dataCellStyle="Normal 2"/>
    <tableColumn id="11789" xr3:uid="{71AA1A23-E19D-4800-89A5-22A2A96F16F8}" name="Column11774" dataCellStyle="Normal 2"/>
    <tableColumn id="11790" xr3:uid="{503B982F-5F2F-4E61-B10D-4E0BDA0BB1A8}" name="Column11775" dataCellStyle="Normal 2"/>
    <tableColumn id="11791" xr3:uid="{7C2C1E53-C892-40CE-9999-BC2DED3AD472}" name="Column11776" dataCellStyle="Normal 2"/>
    <tableColumn id="11792" xr3:uid="{8C3BC869-CA52-41C3-8212-8A286240F884}" name="Column11777" dataCellStyle="Normal 2"/>
    <tableColumn id="11793" xr3:uid="{477AD138-042B-4F47-BBE8-F01EA402C87B}" name="Column11778" dataCellStyle="Normal 2"/>
    <tableColumn id="11794" xr3:uid="{53A43A00-BCE5-4528-B02E-35704452FDE3}" name="Column11779" dataCellStyle="Normal 2"/>
    <tableColumn id="11795" xr3:uid="{9EF21CDA-67EB-44EE-83E0-9CF5772BA643}" name="Column11780" dataCellStyle="Normal 2"/>
    <tableColumn id="11796" xr3:uid="{A53BF935-8440-4B1D-827A-2EC4725EBA11}" name="Column11781" dataCellStyle="Normal 2"/>
    <tableColumn id="11797" xr3:uid="{60D8E249-56AC-4C19-9C7D-E8B8F24B2496}" name="Column11782" dataCellStyle="Normal 2"/>
    <tableColumn id="11798" xr3:uid="{9565D8E3-23F7-4B6F-90DB-9CBECA6289D0}" name="Column11783" dataCellStyle="Normal 2"/>
    <tableColumn id="11799" xr3:uid="{A56F8A07-68F9-43E6-9E64-62BA603F591A}" name="Column11784" dataCellStyle="Normal 2"/>
    <tableColumn id="11800" xr3:uid="{3AB20071-CF0B-4DBA-9690-87E9A9AB0BEC}" name="Column11785" dataCellStyle="Normal 2"/>
    <tableColumn id="11801" xr3:uid="{901F7FAB-A8B5-4EB7-8E52-51E4AA47363D}" name="Column11786" dataCellStyle="Normal 2"/>
    <tableColumn id="11802" xr3:uid="{FCB434BF-9D6D-464B-9AB7-0DC5CC11756D}" name="Column11787" dataCellStyle="Normal 2"/>
    <tableColumn id="11803" xr3:uid="{D456B5AD-B263-474F-9254-4AA76EAE3D07}" name="Column11788" dataCellStyle="Normal 2"/>
    <tableColumn id="11804" xr3:uid="{67CA87FC-DE1B-49A6-9403-15FC1733B3D8}" name="Column11789" dataCellStyle="Normal 2"/>
    <tableColumn id="11805" xr3:uid="{8515F451-4C97-4EAA-9D86-FC0BE5CA1856}" name="Column11790" dataCellStyle="Normal 2"/>
    <tableColumn id="11806" xr3:uid="{1E487D08-D221-4F10-8D1D-D5C26021475E}" name="Column11791" dataCellStyle="Normal 2"/>
    <tableColumn id="11807" xr3:uid="{C85F5B8C-3623-4735-9993-9A9E2558DAC1}" name="Column11792" dataCellStyle="Normal 2"/>
    <tableColumn id="11808" xr3:uid="{062760D7-53F8-41F7-A067-FCB1AE7E81B9}" name="Column11793" dataCellStyle="Normal 2"/>
    <tableColumn id="11809" xr3:uid="{A99BA285-1223-44E8-AE1F-9902A8ADBD79}" name="Column11794" dataCellStyle="Normal 2"/>
    <tableColumn id="11810" xr3:uid="{757C4D02-7EE0-40EE-AFA6-8C388B0C7AD7}" name="Column11795" dataCellStyle="Normal 2"/>
    <tableColumn id="11811" xr3:uid="{8526641B-BFBA-46B1-AAC1-3998422CE790}" name="Column11796" dataCellStyle="Normal 2"/>
    <tableColumn id="11812" xr3:uid="{8BEB61C5-B007-4B5B-B462-8AA94F0AD0F8}" name="Column11797" dataCellStyle="Normal 2"/>
    <tableColumn id="11813" xr3:uid="{ABCB67AE-3D10-4178-BC18-ABE8D6F8A056}" name="Column11798" dataCellStyle="Normal 2"/>
    <tableColumn id="11814" xr3:uid="{D908C6A8-B37C-42A5-8B67-0BDC5D95B2F5}" name="Column11799" dataCellStyle="Normal 2"/>
    <tableColumn id="11815" xr3:uid="{678C916D-1763-480D-866F-CCEDA2E5C3E3}" name="Column11800" dataCellStyle="Normal 2"/>
    <tableColumn id="11816" xr3:uid="{41F2A896-051C-4C8A-8C5E-B9340F69CA3C}" name="Column11801" dataCellStyle="Normal 2"/>
    <tableColumn id="11817" xr3:uid="{836D05B3-A9A4-4EBC-8F6D-A64B9CDA09F8}" name="Column11802" dataCellStyle="Normal 2"/>
    <tableColumn id="11818" xr3:uid="{7A0FC0D5-2619-4B89-95CF-694CB081E3EA}" name="Column11803" dataCellStyle="Normal 2"/>
    <tableColumn id="11819" xr3:uid="{D797B085-6F74-416A-A802-2B6C6012E67D}" name="Column11804" dataCellStyle="Normal 2"/>
    <tableColumn id="11820" xr3:uid="{02527736-B940-4466-8ADC-723D00820E3A}" name="Column11805" dataCellStyle="Normal 2"/>
    <tableColumn id="11821" xr3:uid="{4ACDA815-6AD2-4920-B94F-8450A3F6E878}" name="Column11806" dataCellStyle="Normal 2"/>
    <tableColumn id="11822" xr3:uid="{824A7832-1F0C-4C2B-9DC8-B1D0E163A0BA}" name="Column11807" dataCellStyle="Normal 2"/>
    <tableColumn id="11823" xr3:uid="{0A6F35AA-583F-4EFB-9DAD-8C293497B29A}" name="Column11808" dataCellStyle="Normal 2"/>
    <tableColumn id="11824" xr3:uid="{930CD12D-A3D6-4634-82B8-E5AEAAC36A20}" name="Column11809" dataCellStyle="Normal 2"/>
    <tableColumn id="11825" xr3:uid="{90337A76-17F6-4191-9E30-0062AE9CB000}" name="Column11810" dataCellStyle="Normal 2"/>
    <tableColumn id="11826" xr3:uid="{F9A88249-6627-4A13-99D8-A661B0CA18CF}" name="Column11811" dataCellStyle="Normal 2"/>
    <tableColumn id="11827" xr3:uid="{0341DC73-F763-463A-B892-28CC8B9A3BD6}" name="Column11812" dataCellStyle="Normal 2"/>
    <tableColumn id="11828" xr3:uid="{7F4B9525-9B66-4A93-9DF3-78527C3F0C62}" name="Column11813" dataCellStyle="Normal 2"/>
    <tableColumn id="11829" xr3:uid="{3B3B0B2D-E3ED-456D-AF76-F9D5440CD579}" name="Column11814" dataCellStyle="Normal 2"/>
    <tableColumn id="11830" xr3:uid="{1832E36B-1769-4D46-B520-ED1EDF0B3991}" name="Column11815" dataCellStyle="Normal 2"/>
    <tableColumn id="11831" xr3:uid="{2033A67F-314E-45A6-B498-DC08D3619164}" name="Column11816" dataCellStyle="Normal 2"/>
    <tableColumn id="11832" xr3:uid="{AFBD12BD-3F9D-49CD-A714-0926BE89328D}" name="Column11817" dataCellStyle="Normal 2"/>
    <tableColumn id="11833" xr3:uid="{16D030F2-ED13-4C66-9781-87E10479FF57}" name="Column11818" dataCellStyle="Normal 2"/>
    <tableColumn id="11834" xr3:uid="{9B94DC0A-CF6B-4A04-889C-C0CF2F961136}" name="Column11819" dataCellStyle="Normal 2"/>
    <tableColumn id="11835" xr3:uid="{CAEC4958-3476-4E0E-A8CB-8745A00C7F2E}" name="Column11820" dataCellStyle="Normal 2"/>
    <tableColumn id="11836" xr3:uid="{4A9DE239-F02F-414D-8F89-BBD51281C6C7}" name="Column11821" dataCellStyle="Normal 2"/>
    <tableColumn id="11837" xr3:uid="{2524F7B3-F109-40D7-B001-D443A71D1D73}" name="Column11822" dataCellStyle="Normal 2"/>
    <tableColumn id="11838" xr3:uid="{4B67FA89-315A-4065-BD9E-E7453F508C86}" name="Column11823" dataCellStyle="Normal 2"/>
    <tableColumn id="11839" xr3:uid="{898631A6-9473-469B-8EE1-10B19F48E3D7}" name="Column11824" dataCellStyle="Normal 2"/>
    <tableColumn id="11840" xr3:uid="{D726F4D2-4184-4607-B641-C89BC5C90F1F}" name="Column11825" dataCellStyle="Normal 2"/>
    <tableColumn id="11841" xr3:uid="{7918FB9C-264B-4D4C-88F8-DA388E6146A0}" name="Column11826" dataCellStyle="Normal 2"/>
    <tableColumn id="11842" xr3:uid="{71A31753-3227-4408-A5F0-5AE1AB72C4C6}" name="Column11827" dataCellStyle="Normal 2"/>
    <tableColumn id="11843" xr3:uid="{45A6E142-F2B0-4EBE-ACF7-271DC1726678}" name="Column11828" dataCellStyle="Normal 2"/>
    <tableColumn id="11844" xr3:uid="{BD8D2F5C-375B-4953-BC03-ABEE5872FE43}" name="Column11829" dataCellStyle="Normal 2"/>
    <tableColumn id="11845" xr3:uid="{96E8EB20-5D44-4C88-9531-D021B28A48D2}" name="Column11830" dataCellStyle="Normal 2"/>
    <tableColumn id="11846" xr3:uid="{339F6912-6FC1-4D3E-A3DC-5C61CCC5316D}" name="Column11831" dataCellStyle="Normal 2"/>
    <tableColumn id="11847" xr3:uid="{D0D9C246-C9DF-4743-96E6-2ACBB6AF9B01}" name="Column11832" dataCellStyle="Normal 2"/>
    <tableColumn id="11848" xr3:uid="{077D14B2-32DD-4BC7-AF3F-0BD3BBE9BCA5}" name="Column11833" dataCellStyle="Normal 2"/>
    <tableColumn id="11849" xr3:uid="{326A1C37-D3FC-4546-9E86-3AE43428EFEF}" name="Column11834" dataCellStyle="Normal 2"/>
    <tableColumn id="11850" xr3:uid="{56D7E9DE-8424-4232-80D5-0AFD834B59FB}" name="Column11835" dataCellStyle="Normal 2"/>
    <tableColumn id="11851" xr3:uid="{08507E3B-653D-4D9D-9288-A9A8126F991C}" name="Column11836" dataCellStyle="Normal 2"/>
    <tableColumn id="11852" xr3:uid="{A06F082D-7AD6-40B8-883A-E12204718C2C}" name="Column11837" dataCellStyle="Normal 2"/>
    <tableColumn id="11853" xr3:uid="{6BE41F35-4B59-4E6C-8224-96D52064DF36}" name="Column11838" dataCellStyle="Normal 2"/>
    <tableColumn id="11854" xr3:uid="{7343666B-AF5B-4F7F-987B-2408086BD1E3}" name="Column11839" dataCellStyle="Normal 2"/>
    <tableColumn id="11855" xr3:uid="{FED47BB1-D35F-4105-A82E-64C332BFE726}" name="Column11840" dataCellStyle="Normal 2"/>
    <tableColumn id="11856" xr3:uid="{4AFC48DA-A5A8-4E56-8321-7F10073A702A}" name="Column11841" dataCellStyle="Normal 2"/>
    <tableColumn id="11857" xr3:uid="{C402BBCF-B32B-44D9-A212-A1308C231D03}" name="Column11842" dataCellStyle="Normal 2"/>
    <tableColumn id="11858" xr3:uid="{AE0E6ABD-8F23-4C5A-843D-038CA79124A2}" name="Column11843" dataCellStyle="Normal 2"/>
    <tableColumn id="11859" xr3:uid="{4CFC97A2-BCC0-4413-BA6F-23A0A4B84946}" name="Column11844" dataCellStyle="Normal 2"/>
    <tableColumn id="11860" xr3:uid="{9B340F2E-CB5A-482E-BB13-A765B222C4C7}" name="Column11845" dataCellStyle="Normal 2"/>
    <tableColumn id="11861" xr3:uid="{1D92B86C-7724-4E73-9ACA-77454C8FB17C}" name="Column11846" dataCellStyle="Normal 2"/>
    <tableColumn id="11862" xr3:uid="{8F0C574F-6166-4A25-B948-95FE2E3B72E6}" name="Column11847" dataCellStyle="Normal 2"/>
    <tableColumn id="11863" xr3:uid="{1633C92A-3864-46CC-AF52-0AACB9C4A457}" name="Column11848" dataCellStyle="Normal 2"/>
    <tableColumn id="11864" xr3:uid="{D2BA5933-D1F2-487A-A7F0-073C5B6EB53F}" name="Column11849" dataCellStyle="Normal 2"/>
    <tableColumn id="11865" xr3:uid="{2CC12137-3FDE-439C-BA50-59843C76E8F6}" name="Column11850" dataCellStyle="Normal 2"/>
    <tableColumn id="11866" xr3:uid="{18285BB8-CA9C-4C11-BB5C-FF6E726E16AB}" name="Column11851" dataCellStyle="Normal 2"/>
    <tableColumn id="11867" xr3:uid="{DBBDB22A-9A58-4994-83B7-F3387376B881}" name="Column11852" dataCellStyle="Normal 2"/>
    <tableColumn id="11868" xr3:uid="{A6614674-85A3-408A-9658-37D79ACD0D53}" name="Column11853" dataCellStyle="Normal 2"/>
    <tableColumn id="11869" xr3:uid="{2E544A79-2613-458E-BD63-6F1B7A99AE21}" name="Column11854" dataCellStyle="Normal 2"/>
    <tableColumn id="11870" xr3:uid="{1D2D7EB7-B24A-4E1F-9829-310E0CA309CB}" name="Column11855" dataCellStyle="Normal 2"/>
    <tableColumn id="11871" xr3:uid="{F0FA9831-BB40-499E-8F7B-B4948FDF93DD}" name="Column11856" dataCellStyle="Normal 2"/>
    <tableColumn id="11872" xr3:uid="{EBE113A4-19CE-4CD9-AFA3-A3FD1D3A9983}" name="Column11857" dataCellStyle="Normal 2"/>
    <tableColumn id="11873" xr3:uid="{9AB4AB5A-D02A-4498-B45F-51BCD08B6266}" name="Column11858" dataCellStyle="Normal 2"/>
    <tableColumn id="11874" xr3:uid="{D07B8377-E9A5-4344-AE18-CB56CC2CE8C9}" name="Column11859" dataCellStyle="Normal 2"/>
    <tableColumn id="11875" xr3:uid="{E334AF8F-CBA5-4331-B96F-4CF6F015AEDB}" name="Column11860" dataCellStyle="Normal 2"/>
    <tableColumn id="11876" xr3:uid="{B37EC359-7EC5-4DBF-841B-C1E749F16578}" name="Column11861" dataCellStyle="Normal 2"/>
    <tableColumn id="11877" xr3:uid="{1D1E38BA-7F1F-4F9F-BC8C-90AB38BC6CEA}" name="Column11862" dataCellStyle="Normal 2"/>
    <tableColumn id="11878" xr3:uid="{2B1C399A-62F5-4D5C-A9DF-509197F21E0F}" name="Column11863" dataCellStyle="Normal 2"/>
    <tableColumn id="11879" xr3:uid="{A319A6FD-768F-402B-AAB2-000F09607231}" name="Column11864" dataCellStyle="Normal 2"/>
    <tableColumn id="11880" xr3:uid="{09459472-CA08-4BF6-9D07-A80074C783E2}" name="Column11865" dataCellStyle="Normal 2"/>
    <tableColumn id="11881" xr3:uid="{3866D979-AA05-4253-9480-782D88DCA1EE}" name="Column11866" dataCellStyle="Normal 2"/>
    <tableColumn id="11882" xr3:uid="{C3D266EF-90C2-41B1-AA3D-F1A50BEDE4FC}" name="Column11867" dataCellStyle="Normal 2"/>
    <tableColumn id="11883" xr3:uid="{DF2993FB-CF27-4BA7-B7C1-6BC42973E931}" name="Column11868" dataCellStyle="Normal 2"/>
    <tableColumn id="11884" xr3:uid="{ACB27AD0-B84B-4B2B-BFE5-87B80517B165}" name="Column11869" dataCellStyle="Normal 2"/>
    <tableColumn id="11885" xr3:uid="{B42BB0D1-58DE-41D5-B575-95A78FDB44C0}" name="Column11870" dataCellStyle="Normal 2"/>
    <tableColumn id="11886" xr3:uid="{592FFB19-5250-462A-AFEA-4EE8EA723B1A}" name="Column11871" dataCellStyle="Normal 2"/>
    <tableColumn id="11887" xr3:uid="{A41411F6-4470-4D60-8631-44C12DF00E52}" name="Column11872" dataCellStyle="Normal 2"/>
    <tableColumn id="11888" xr3:uid="{C597281E-D47F-4970-9769-755D157954BD}" name="Column11873" dataCellStyle="Normal 2"/>
    <tableColumn id="11889" xr3:uid="{84632EE2-69BF-4F9C-B162-AB07E85AF7CF}" name="Column11874" dataCellStyle="Normal 2"/>
    <tableColumn id="11890" xr3:uid="{9ACEC900-C8DE-4D1B-BCEA-191BBB0E2AE7}" name="Column11875" dataCellStyle="Normal 2"/>
    <tableColumn id="11891" xr3:uid="{119150BB-A624-499E-97D5-342CF1DF80C0}" name="Column11876" dataCellStyle="Normal 2"/>
    <tableColumn id="11892" xr3:uid="{D0619704-64E7-40F1-A9C0-D7C7C9C532F7}" name="Column11877" dataCellStyle="Normal 2"/>
    <tableColumn id="11893" xr3:uid="{640FD87A-7CDD-4712-ACB5-4AEA8D38F927}" name="Column11878" dataCellStyle="Normal 2"/>
    <tableColumn id="11894" xr3:uid="{C57AF992-7E9D-410B-9646-B077EDDF2C47}" name="Column11879" dataCellStyle="Normal 2"/>
    <tableColumn id="11895" xr3:uid="{734DF2A3-104B-4950-86C1-64492B219FEC}" name="Column11880" dataCellStyle="Normal 2"/>
    <tableColumn id="11896" xr3:uid="{F55074FA-F267-4B1D-9D09-08936D9DBB69}" name="Column11881" dataCellStyle="Normal 2"/>
    <tableColumn id="11897" xr3:uid="{92012525-2F3D-4C4C-A443-F71D536165D5}" name="Column11882" dataCellStyle="Normal 2"/>
    <tableColumn id="11898" xr3:uid="{8778E13B-626E-4AD3-8C62-70A5E8C7E488}" name="Column11883" dataCellStyle="Normal 2"/>
    <tableColumn id="11899" xr3:uid="{76190C7D-A9A5-4A56-A5F4-ED781070B3AF}" name="Column11884" dataCellStyle="Normal 2"/>
    <tableColumn id="11900" xr3:uid="{809A3E81-2C25-44BC-83AE-3B00C875B04A}" name="Column11885" dataCellStyle="Normal 2"/>
    <tableColumn id="11901" xr3:uid="{FD0E0EBF-9E01-4C40-AFF8-20A285F45104}" name="Column11886" dataCellStyle="Normal 2"/>
    <tableColumn id="11902" xr3:uid="{A66FC142-81F0-4A3E-BAB0-DBC596DA6909}" name="Column11887" dataCellStyle="Normal 2"/>
    <tableColumn id="11903" xr3:uid="{0D7A0E55-CFE9-4970-9D89-F0F62CE1C781}" name="Column11888" dataCellStyle="Normal 2"/>
    <tableColumn id="11904" xr3:uid="{497D1C90-A7C5-4873-AA89-1652838050CF}" name="Column11889" dataCellStyle="Normal 2"/>
    <tableColumn id="11905" xr3:uid="{3893088D-7781-4CCC-A15F-81C8514D9454}" name="Column11890" dataCellStyle="Normal 2"/>
    <tableColumn id="11906" xr3:uid="{0F82AFB9-FFBE-4493-8A91-9F7B9AFC9D53}" name="Column11891" dataCellStyle="Normal 2"/>
    <tableColumn id="11907" xr3:uid="{9027EDF3-AC56-4C72-A504-09DD1065F877}" name="Column11892" dataCellStyle="Normal 2"/>
    <tableColumn id="11908" xr3:uid="{46DAF2BC-DEB4-4B1C-B377-C2E11703BF12}" name="Column11893" dataCellStyle="Normal 2"/>
    <tableColumn id="11909" xr3:uid="{6CCB0A2D-4C90-402C-8444-77BA81579C49}" name="Column11894" dataCellStyle="Normal 2"/>
    <tableColumn id="11910" xr3:uid="{06F9B2D8-7809-4087-BEB4-7584CD7D02A7}" name="Column11895" dataCellStyle="Normal 2"/>
    <tableColumn id="11911" xr3:uid="{683A3A01-262D-4884-8DC7-C6451298E233}" name="Column11896" dataCellStyle="Normal 2"/>
    <tableColumn id="11912" xr3:uid="{AC1993F4-EB9A-4443-BDB8-6E116F773F99}" name="Column11897" dataCellStyle="Normal 2"/>
    <tableColumn id="11913" xr3:uid="{31B3A446-3ABD-492A-94A8-7E02B0131F39}" name="Column11898" dataCellStyle="Normal 2"/>
    <tableColumn id="11914" xr3:uid="{A17AF6B7-B5AF-4B8D-B2B3-0DF424E8E412}" name="Column11899" dataCellStyle="Normal 2"/>
    <tableColumn id="11915" xr3:uid="{53DAE296-27AF-44F7-AEB9-BEE73C9BC71B}" name="Column11900" dataCellStyle="Normal 2"/>
    <tableColumn id="11916" xr3:uid="{1956C0E5-1BD6-4217-9BC7-E55778D568C0}" name="Column11901" dataCellStyle="Normal 2"/>
    <tableColumn id="11917" xr3:uid="{0F4F3EF5-E3E4-4DDC-8DAC-91028A1BB079}" name="Column11902" dataCellStyle="Normal 2"/>
    <tableColumn id="11918" xr3:uid="{0FF351F4-92C5-4478-8641-8C5996F9A354}" name="Column11903" dataCellStyle="Normal 2"/>
    <tableColumn id="11919" xr3:uid="{8D02CD2C-244D-4E17-B307-CB1073E4C761}" name="Column11904" dataCellStyle="Normal 2"/>
    <tableColumn id="11920" xr3:uid="{F55DD0C0-E3A0-414E-8594-EE3DFD59C483}" name="Column11905" dataCellStyle="Normal 2"/>
    <tableColumn id="11921" xr3:uid="{26AA8A11-D238-493D-8D9D-F8ED536CA2A1}" name="Column11906" dataCellStyle="Normal 2"/>
    <tableColumn id="11922" xr3:uid="{4E566937-57E5-480B-B4D5-AA30EA0105F8}" name="Column11907" dataCellStyle="Normal 2"/>
    <tableColumn id="11923" xr3:uid="{268CA545-74DB-467C-8067-164EC3880339}" name="Column11908" dataCellStyle="Normal 2"/>
    <tableColumn id="11924" xr3:uid="{E8E5BD67-41ED-49BB-8FBE-8D80DB80EA03}" name="Column11909" dataCellStyle="Normal 2"/>
    <tableColumn id="11925" xr3:uid="{7479F024-44E5-4D80-8DE1-169340A8CA9A}" name="Column11910" dataCellStyle="Normal 2"/>
    <tableColumn id="11926" xr3:uid="{DC7C2791-E39D-4B1C-862E-B56BA168B851}" name="Column11911" dataCellStyle="Normal 2"/>
    <tableColumn id="11927" xr3:uid="{F99E0264-6552-46C4-A62E-3E80F873091D}" name="Column11912" dataCellStyle="Normal 2"/>
    <tableColumn id="11928" xr3:uid="{7B442723-C1ED-4ACD-86E3-67F12019B694}" name="Column11913" dataCellStyle="Normal 2"/>
    <tableColumn id="11929" xr3:uid="{E0F818F6-4C0E-4291-A299-6222844BD193}" name="Column11914" dataCellStyle="Normal 2"/>
    <tableColumn id="11930" xr3:uid="{6FA3361F-0E5A-43BD-AABC-3DC9DF5DB168}" name="Column11915" dataCellStyle="Normal 2"/>
    <tableColumn id="11931" xr3:uid="{BF0E8A4D-F05E-421A-B713-CC26FDEE10C9}" name="Column11916" dataCellStyle="Normal 2"/>
    <tableColumn id="11932" xr3:uid="{A8543A16-BAD4-4853-B84B-46560A62923B}" name="Column11917" dataCellStyle="Normal 2"/>
    <tableColumn id="11933" xr3:uid="{0CCA24BE-E9F8-4987-9791-8AD31E406FF8}" name="Column11918" dataCellStyle="Normal 2"/>
    <tableColumn id="11934" xr3:uid="{3DA78179-3504-40BB-9333-569F95EC5DAA}" name="Column11919" dataCellStyle="Normal 2"/>
    <tableColumn id="11935" xr3:uid="{BE8D0927-A40E-474A-8A16-DBCB501DF639}" name="Column11920" dataCellStyle="Normal 2"/>
    <tableColumn id="11936" xr3:uid="{3D51F5E4-5FC6-407B-9914-6BB5568BD677}" name="Column11921" dataCellStyle="Normal 2"/>
    <tableColumn id="11937" xr3:uid="{7BF1CCED-CB82-4B2F-924D-0DC2562E7E8D}" name="Column11922" dataCellStyle="Normal 2"/>
    <tableColumn id="11938" xr3:uid="{E83956C9-8456-4D7C-9BB6-4A3F531CC264}" name="Column11923" dataCellStyle="Normal 2"/>
    <tableColumn id="11939" xr3:uid="{492E6F24-1F26-481E-AD3C-22917F84F660}" name="Column11924" dataCellStyle="Normal 2"/>
    <tableColumn id="11940" xr3:uid="{A97AC7B3-06EB-452C-BB8E-2A862E31CED2}" name="Column11925" dataCellStyle="Normal 2"/>
    <tableColumn id="11941" xr3:uid="{3EF9BC6F-6B70-47B9-8A0C-ABE6184DB28C}" name="Column11926" dataCellStyle="Normal 2"/>
    <tableColumn id="11942" xr3:uid="{C6E3964C-B54D-4E91-A599-87787D12B438}" name="Column11927" dataCellStyle="Normal 2"/>
    <tableColumn id="11943" xr3:uid="{B87D1AED-1C4E-40E4-82EA-FC7FEF74E717}" name="Column11928" dataCellStyle="Normal 2"/>
    <tableColumn id="11944" xr3:uid="{FDD7FEBF-6D8A-4FDA-AB0D-50E91EE02890}" name="Column11929" dataCellStyle="Normal 2"/>
    <tableColumn id="11945" xr3:uid="{69B4EF67-4EBC-44F2-95DA-4B4D2D443B3F}" name="Column11930" dataCellStyle="Normal 2"/>
    <tableColumn id="11946" xr3:uid="{A3F618CE-323B-4DBF-B733-B31078E76AED}" name="Column11931" dataCellStyle="Normal 2"/>
    <tableColumn id="11947" xr3:uid="{57FAABF2-F061-4AD0-87EC-6E409443711B}" name="Column11932" dataCellStyle="Normal 2"/>
    <tableColumn id="11948" xr3:uid="{DE8887F1-A3F9-49C6-BDE8-EF2C14D40EA5}" name="Column11933" dataCellStyle="Normal 2"/>
    <tableColumn id="11949" xr3:uid="{890CB85F-A28D-4E21-94F9-54B709DED2F2}" name="Column11934" dataCellStyle="Normal 2"/>
    <tableColumn id="11950" xr3:uid="{A6F2F55F-97F1-43AB-98A6-27366702AAB4}" name="Column11935" dataCellStyle="Normal 2"/>
    <tableColumn id="11951" xr3:uid="{29A8ED3B-5352-4E90-A817-D5609B88D657}" name="Column11936" dataCellStyle="Normal 2"/>
    <tableColumn id="11952" xr3:uid="{ED227150-8DF1-447C-9B86-79C054BCC92A}" name="Column11937" dataCellStyle="Normal 2"/>
    <tableColumn id="11953" xr3:uid="{D2F2ECAD-BF95-4D69-9420-5F251C45DA02}" name="Column11938" dataCellStyle="Normal 2"/>
    <tableColumn id="11954" xr3:uid="{8283847C-6FC6-4ACD-A0F4-1BD932AF004E}" name="Column11939" dataCellStyle="Normal 2"/>
    <tableColumn id="11955" xr3:uid="{546AB2AD-ED91-4CEC-95BB-B26A5CA34C08}" name="Column11940" dataCellStyle="Normal 2"/>
    <tableColumn id="11956" xr3:uid="{46BB9830-EB13-4C19-89A3-14E1B643B070}" name="Column11941" dataCellStyle="Normal 2"/>
    <tableColumn id="11957" xr3:uid="{E57A7137-94E3-4DBB-8314-4FC165811446}" name="Column11942" dataCellStyle="Normal 2"/>
    <tableColumn id="11958" xr3:uid="{FD8AF5D7-3B27-4C7C-8F0E-F3CBAD73BE6B}" name="Column11943" dataCellStyle="Normal 2"/>
    <tableColumn id="11959" xr3:uid="{BDA57D6A-1DAB-4C57-B48A-D6CFBA8C1ED8}" name="Column11944" dataCellStyle="Normal 2"/>
    <tableColumn id="11960" xr3:uid="{B3759247-3C86-458C-8001-720812C5CA44}" name="Column11945" dataCellStyle="Normal 2"/>
    <tableColumn id="11961" xr3:uid="{8F90ABEB-3F34-4C17-9D17-EB5399997C11}" name="Column11946" dataCellStyle="Normal 2"/>
    <tableColumn id="11962" xr3:uid="{872E190A-8CA5-4743-8922-111E03737716}" name="Column11947" dataCellStyle="Normal 2"/>
    <tableColumn id="11963" xr3:uid="{74FED531-2B79-4FBA-A7F5-8CFBF76AB077}" name="Column11948" dataCellStyle="Normal 2"/>
    <tableColumn id="11964" xr3:uid="{CCCF5ACE-5758-4B24-9A95-4AE3D665D8A4}" name="Column11949" dataCellStyle="Normal 2"/>
    <tableColumn id="11965" xr3:uid="{8017EFA5-75E8-452B-B837-D029665F3CF6}" name="Column11950" dataCellStyle="Normal 2"/>
    <tableColumn id="11966" xr3:uid="{31A2C90E-62EF-4DE3-9498-8201C6C0866D}" name="Column11951" dataCellStyle="Normal 2"/>
    <tableColumn id="11967" xr3:uid="{4FDC0BC7-A7B2-4ABB-9BD0-412BF40D80DF}" name="Column11952" dataCellStyle="Normal 2"/>
    <tableColumn id="11968" xr3:uid="{8C07F7A2-96C6-4992-964F-31A58F7DBED0}" name="Column11953" dataCellStyle="Normal 2"/>
    <tableColumn id="11969" xr3:uid="{A03E1D0A-BC80-4E7C-83D9-AB3A7DFAABE5}" name="Column11954" dataCellStyle="Normal 2"/>
    <tableColumn id="11970" xr3:uid="{ECB98DA5-11EC-4FB5-940E-9C0AB7110EE5}" name="Column11955" dataCellStyle="Normal 2"/>
    <tableColumn id="11971" xr3:uid="{757FA9BE-DFF5-4369-843A-FFA600727D25}" name="Column11956" dataCellStyle="Normal 2"/>
    <tableColumn id="11972" xr3:uid="{91375712-2256-4B46-8D68-CD83905039AB}" name="Column11957" dataCellStyle="Normal 2"/>
    <tableColumn id="11973" xr3:uid="{41B77D99-5A5E-4659-9A45-3F63969E3917}" name="Column11958" dataCellStyle="Normal 2"/>
    <tableColumn id="11974" xr3:uid="{18FCB74A-AE5A-41D8-B01A-30C38A90A906}" name="Column11959" dataCellStyle="Normal 2"/>
    <tableColumn id="11975" xr3:uid="{6DB7DB13-2D5A-4C61-8A85-1CE3AA9937E7}" name="Column11960" dataCellStyle="Normal 2"/>
    <tableColumn id="11976" xr3:uid="{DE373D99-2CD8-4FDA-ADBB-F3B607713D4A}" name="Column11961" dataCellStyle="Normal 2"/>
    <tableColumn id="11977" xr3:uid="{CF2E3984-D2AF-41DC-A282-07AD3040F70D}" name="Column11962" dataCellStyle="Normal 2"/>
    <tableColumn id="11978" xr3:uid="{3224CD95-32BD-45A7-8A08-4A9588F3118A}" name="Column11963" dataCellStyle="Normal 2"/>
    <tableColumn id="11979" xr3:uid="{5D30CE13-44B1-443E-BA1B-733EA890B70F}" name="Column11964" dataCellStyle="Normal 2"/>
    <tableColumn id="11980" xr3:uid="{2128124B-01BA-4F7E-B95F-94D6E6180266}" name="Column11965" dataCellStyle="Normal 2"/>
    <tableColumn id="11981" xr3:uid="{D0905D2D-719D-47D3-8D5D-A54E0B11E835}" name="Column11966" dataCellStyle="Normal 2"/>
    <tableColumn id="11982" xr3:uid="{6FEA52EC-D192-4854-BF48-1F1E51D1E34A}" name="Column11967" dataCellStyle="Normal 2"/>
    <tableColumn id="11983" xr3:uid="{F7151224-05D4-4E11-BAD2-C8001DEC8638}" name="Column11968" dataCellStyle="Normal 2"/>
    <tableColumn id="11984" xr3:uid="{8C65D52E-F925-4932-86DC-271C4192C71E}" name="Column11969" dataCellStyle="Normal 2"/>
    <tableColumn id="11985" xr3:uid="{5F235375-6289-4FEC-BB83-AD9EE3966FCB}" name="Column11970" dataCellStyle="Normal 2"/>
    <tableColumn id="11986" xr3:uid="{BD5F0C31-90EA-46B7-BBF7-558B10027804}" name="Column11971" dataCellStyle="Normal 2"/>
    <tableColumn id="11987" xr3:uid="{C085F134-188A-4FFF-A79A-D62A00F221CC}" name="Column11972" dataCellStyle="Normal 2"/>
    <tableColumn id="11988" xr3:uid="{33585839-C26C-4DAE-A9F7-7EBF40B56562}" name="Column11973" dataCellStyle="Normal 2"/>
    <tableColumn id="11989" xr3:uid="{B968DFCC-1D9B-4D2E-B2A7-205299A33858}" name="Column11974" dataCellStyle="Normal 2"/>
    <tableColumn id="11990" xr3:uid="{49A0183A-4AE0-4D04-B3D9-23479857E2C4}" name="Column11975" dataCellStyle="Normal 2"/>
    <tableColumn id="11991" xr3:uid="{F187CF0E-572D-4814-80F2-AE6999B0169D}" name="Column11976" dataCellStyle="Normal 2"/>
    <tableColumn id="11992" xr3:uid="{441CCCBF-6967-4E8F-917D-7378B8F6BEEE}" name="Column11977" dataCellStyle="Normal 2"/>
    <tableColumn id="11993" xr3:uid="{7D66B0B7-C821-436C-A5F6-2D6F5F56CF39}" name="Column11978" dataCellStyle="Normal 2"/>
    <tableColumn id="11994" xr3:uid="{2494E882-EE4A-47B5-B108-F789794CA109}" name="Column11979" dataCellStyle="Normal 2"/>
    <tableColumn id="11995" xr3:uid="{EF413D47-E051-4C1D-A06E-23A66EDF5FC7}" name="Column11980" dataCellStyle="Normal 2"/>
    <tableColumn id="11996" xr3:uid="{7042EC41-0800-4561-8912-A3940E372F0E}" name="Column11981" dataCellStyle="Normal 2"/>
    <tableColumn id="11997" xr3:uid="{ACD90EB6-A883-45FB-90C3-99D76E090E56}" name="Column11982" dataCellStyle="Normal 2"/>
    <tableColumn id="11998" xr3:uid="{98007CA5-2864-4057-AC14-A68C9726EDC6}" name="Column11983" dataCellStyle="Normal 2"/>
    <tableColumn id="11999" xr3:uid="{1D3517B1-DD08-4A23-B693-04DD7F295D61}" name="Column11984" dataCellStyle="Normal 2"/>
    <tableColumn id="12000" xr3:uid="{4645F056-C497-4EC7-A36E-56575D8869B9}" name="Column11985" dataCellStyle="Normal 2"/>
    <tableColumn id="12001" xr3:uid="{A1CEB21F-FEB8-4245-9D2A-CEEE2547645E}" name="Column11986" dataCellStyle="Normal 2"/>
    <tableColumn id="12002" xr3:uid="{669076C8-FCD6-45F5-BD63-6AF6DD342E58}" name="Column11987" dataCellStyle="Normal 2"/>
    <tableColumn id="12003" xr3:uid="{BA92B97A-525D-40DB-95DE-9AA91A68B827}" name="Column11988" dataCellStyle="Normal 2"/>
    <tableColumn id="12004" xr3:uid="{DEE2518B-1D2F-441E-9A6F-96F39BD8C4F3}" name="Column11989" dataCellStyle="Normal 2"/>
    <tableColumn id="12005" xr3:uid="{731DE3EB-FF16-42D8-B334-154970674461}" name="Column11990" dataCellStyle="Normal 2"/>
    <tableColumn id="12006" xr3:uid="{004EA4DF-9F5D-4C16-9E2D-8CFAF1CE1A7D}" name="Column11991" dataCellStyle="Normal 2"/>
    <tableColumn id="12007" xr3:uid="{C6C1A871-EE21-4F4D-BBD3-E4CD046CA78C}" name="Column11992" dataCellStyle="Normal 2"/>
    <tableColumn id="12008" xr3:uid="{56EDB818-9BAA-44B7-88FA-2414F5EFA889}" name="Column11993" dataCellStyle="Normal 2"/>
    <tableColumn id="12009" xr3:uid="{B4EFBBED-A201-4274-9FEB-FA6F998DB795}" name="Column11994" dataCellStyle="Normal 2"/>
    <tableColumn id="12010" xr3:uid="{BC45462F-94F2-4D93-AFE0-393F1547C64C}" name="Column11995" dataCellStyle="Normal 2"/>
    <tableColumn id="12011" xr3:uid="{254133CE-7064-471D-97AF-3065765AF9EE}" name="Column11996" dataCellStyle="Normal 2"/>
    <tableColumn id="12012" xr3:uid="{9740F526-2759-4EEF-8376-EC61ED4E4DB8}" name="Column11997" dataCellStyle="Normal 2"/>
    <tableColumn id="12013" xr3:uid="{FE528CD1-24AB-421F-B2A2-60BC1EDD10EE}" name="Column11998" dataCellStyle="Normal 2"/>
    <tableColumn id="12014" xr3:uid="{F74418ED-3C54-4C34-B1F4-10D7B17BAF7E}" name="Column11999" dataCellStyle="Normal 2"/>
    <tableColumn id="12015" xr3:uid="{93C9D734-A18E-43F6-B636-6BBC300C9C6D}" name="Column12000" dataCellStyle="Normal 2"/>
    <tableColumn id="12016" xr3:uid="{05A157F0-1085-46DB-8F22-5D1E88F7DD42}" name="Column12001" dataCellStyle="Normal 2"/>
    <tableColumn id="12017" xr3:uid="{2B949556-46C4-4F89-8FB9-BAF91367BAA2}" name="Column12002" dataCellStyle="Normal 2"/>
    <tableColumn id="12018" xr3:uid="{8E70FF93-555B-4959-8FCA-59E2C2651D34}" name="Column12003" dataCellStyle="Normal 2"/>
    <tableColumn id="12019" xr3:uid="{E3CBE39B-67D3-4794-8902-9F00C172DD06}" name="Column12004" dataCellStyle="Normal 2"/>
    <tableColumn id="12020" xr3:uid="{37BDC202-24D4-4D80-B0EE-D3C757410E75}" name="Column12005" dataCellStyle="Normal 2"/>
    <tableColumn id="12021" xr3:uid="{2F6B796D-13D8-46A4-A135-090A80A92366}" name="Column12006" dataCellStyle="Normal 2"/>
    <tableColumn id="12022" xr3:uid="{02779CCD-371D-45D8-81FB-11BD4E57F2AF}" name="Column12007" dataCellStyle="Normal 2"/>
    <tableColumn id="12023" xr3:uid="{A6A1D2C1-88D5-45FC-961D-5735C3B75F99}" name="Column12008" dataCellStyle="Normal 2"/>
    <tableColumn id="12024" xr3:uid="{BA3A0183-67CE-49DF-B953-CF5E0ED26145}" name="Column12009" dataCellStyle="Normal 2"/>
    <tableColumn id="12025" xr3:uid="{C744DF8B-C918-42C4-A27B-42F8A0091DA9}" name="Column12010" dataCellStyle="Normal 2"/>
    <tableColumn id="12026" xr3:uid="{1AAB4491-ECCD-42C8-A42D-EBE62C7D0A69}" name="Column12011" dataCellStyle="Normal 2"/>
    <tableColumn id="12027" xr3:uid="{7B96CE1A-FD31-4F25-A8EF-2E44DA5B29EA}" name="Column12012" dataCellStyle="Normal 2"/>
    <tableColumn id="12028" xr3:uid="{100FF21C-C5D3-4ED6-BE6A-08975903E1E1}" name="Column12013" dataCellStyle="Normal 2"/>
    <tableColumn id="12029" xr3:uid="{53FC7912-2FC5-4E55-8C3E-3FDDFD0A17AB}" name="Column12014" dataCellStyle="Normal 2"/>
    <tableColumn id="12030" xr3:uid="{FF70D8F1-299C-45C0-9AB5-AB77077F6533}" name="Column12015" dataCellStyle="Normal 2"/>
    <tableColumn id="12031" xr3:uid="{A6E9C9F1-5C24-4C72-9021-AB7EA47A2F43}" name="Column12016" dataCellStyle="Normal 2"/>
    <tableColumn id="12032" xr3:uid="{87B83A39-831D-49A1-9680-BF7DB54C9F1E}" name="Column12017" dataCellStyle="Normal 2"/>
    <tableColumn id="12033" xr3:uid="{280B5E78-2440-4497-BBBC-378A391CFFA3}" name="Column12018" dataCellStyle="Normal 2"/>
    <tableColumn id="12034" xr3:uid="{67E00872-55A1-4039-966A-46CCD639E422}" name="Column12019" dataCellStyle="Normal 2"/>
    <tableColumn id="12035" xr3:uid="{5655D888-1889-4ABA-87F6-D3F9790D4ECC}" name="Column12020" dataCellStyle="Normal 2"/>
    <tableColumn id="12036" xr3:uid="{B2A75094-E5D1-4C2F-B789-3B5D3613D70E}" name="Column12021" dataCellStyle="Normal 2"/>
    <tableColumn id="12037" xr3:uid="{3231083D-0A6B-4728-A687-67F8F63A2983}" name="Column12022" dataCellStyle="Normal 2"/>
    <tableColumn id="12038" xr3:uid="{AE4C505C-94EF-4EAD-9129-AA08E17CF94F}" name="Column12023" dataCellStyle="Normal 2"/>
    <tableColumn id="12039" xr3:uid="{FC47CDE6-5350-4862-8C1D-CAB2AB69AFE0}" name="Column12024" dataCellStyle="Normal 2"/>
    <tableColumn id="12040" xr3:uid="{14F02A19-7FF2-4C98-956D-54A82BB120CF}" name="Column12025" dataCellStyle="Normal 2"/>
    <tableColumn id="12041" xr3:uid="{EEBB092D-4FA8-4AA4-AED4-7CAF025039E7}" name="Column12026" dataCellStyle="Normal 2"/>
    <tableColumn id="12042" xr3:uid="{55C54607-8476-4B13-A467-0B4586E53051}" name="Column12027" dataCellStyle="Normal 2"/>
    <tableColumn id="12043" xr3:uid="{B401F2E0-0001-4EA6-AAB6-115D58A82D0F}" name="Column12028" dataCellStyle="Normal 2"/>
    <tableColumn id="12044" xr3:uid="{97297F9E-0734-45E8-A48E-06F34FEFDFDA}" name="Column12029" dataCellStyle="Normal 2"/>
    <tableColumn id="12045" xr3:uid="{46630B73-C9A3-4017-B7A2-766DBA4B0FC2}" name="Column12030" dataCellStyle="Normal 2"/>
    <tableColumn id="12046" xr3:uid="{23D3FB4D-54B1-4224-90D4-1F053120CDB5}" name="Column12031" dataCellStyle="Normal 2"/>
    <tableColumn id="12047" xr3:uid="{1E6FB7D6-E4D8-44E6-B016-BD8981100A57}" name="Column12032" dataCellStyle="Normal 2"/>
    <tableColumn id="12048" xr3:uid="{19A7DABA-509F-4CF3-B355-50A61417B7B3}" name="Column12033" dataCellStyle="Normal 2"/>
    <tableColumn id="12049" xr3:uid="{D329D5D1-2E26-43C3-B022-99C43423ACA4}" name="Column12034" dataCellStyle="Normal 2"/>
    <tableColumn id="12050" xr3:uid="{C424BA5E-69A9-4720-9C2B-2F5B39242E39}" name="Column12035" dataCellStyle="Normal 2"/>
    <tableColumn id="12051" xr3:uid="{F45B26B4-DE0D-4B98-9C72-CE7424095C77}" name="Column12036" dataCellStyle="Normal 2"/>
    <tableColumn id="12052" xr3:uid="{A7A7F0EA-8029-43E7-A11E-5927B2D53012}" name="Column12037" dataCellStyle="Normal 2"/>
    <tableColumn id="12053" xr3:uid="{FF5C0F4D-3577-4772-B3C5-AFA05102186A}" name="Column12038" dataCellStyle="Normal 2"/>
    <tableColumn id="12054" xr3:uid="{46C128FD-4890-4520-B93B-1F4A1489EB06}" name="Column12039" dataCellStyle="Normal 2"/>
    <tableColumn id="12055" xr3:uid="{89775670-7D1A-41F1-9E8C-F85CC49AD5F1}" name="Column12040" dataCellStyle="Normal 2"/>
    <tableColumn id="12056" xr3:uid="{2B4D9002-EB56-4D5E-B15D-C7EEA224B07F}" name="Column12041" dataCellStyle="Normal 2"/>
    <tableColumn id="12057" xr3:uid="{BF5B4B73-5496-4F92-BBD9-BFDA9F887F55}" name="Column12042" dataCellStyle="Normal 2"/>
    <tableColumn id="12058" xr3:uid="{E9198AC3-514B-4862-B894-BCD40661DE60}" name="Column12043" dataCellStyle="Normal 2"/>
    <tableColumn id="12059" xr3:uid="{C3DFCC9A-F4CB-4DF5-9D80-E31A5320620B}" name="Column12044" dataCellStyle="Normal 2"/>
    <tableColumn id="12060" xr3:uid="{24AB1DFA-DE20-4DC2-A8FB-57E45379D8CA}" name="Column12045" dataCellStyle="Normal 2"/>
    <tableColumn id="12061" xr3:uid="{3C9BFB7F-97F2-486E-8B9A-5EACCA3EDB43}" name="Column12046" dataCellStyle="Normal 2"/>
    <tableColumn id="12062" xr3:uid="{D02BEEC9-0195-47BB-932D-A3C38A149BDB}" name="Column12047" dataCellStyle="Normal 2"/>
    <tableColumn id="12063" xr3:uid="{1AFB8F6D-604A-4FA8-8AF8-BB5C89F21169}" name="Column12048" dataCellStyle="Normal 2"/>
    <tableColumn id="12064" xr3:uid="{F9820C52-A780-474F-B1D6-50621CD1BE0B}" name="Column12049" dataCellStyle="Normal 2"/>
    <tableColumn id="12065" xr3:uid="{A84EDB46-3E60-496B-B889-D5CEE2D137BA}" name="Column12050" dataCellStyle="Normal 2"/>
    <tableColumn id="12066" xr3:uid="{56293C78-8125-484C-9953-7C1E5984D741}" name="Column12051" dataCellStyle="Normal 2"/>
    <tableColumn id="12067" xr3:uid="{A1BC815A-7E12-468F-94BB-9EAB2AA2E99B}" name="Column12052" dataCellStyle="Normal 2"/>
    <tableColumn id="12068" xr3:uid="{6E516C80-D1B9-4F2A-A5B2-79F5251BEC7D}" name="Column12053" dataCellStyle="Normal 2"/>
    <tableColumn id="12069" xr3:uid="{AC0E6AF2-1167-426A-8EDF-5ED160EFCBD2}" name="Column12054" dataCellStyle="Normal 2"/>
    <tableColumn id="12070" xr3:uid="{3F862ABA-39E3-4E21-9974-AB13799EC443}" name="Column12055" dataCellStyle="Normal 2"/>
    <tableColumn id="12071" xr3:uid="{F21DFEBC-AC8F-4CDB-B796-CACF1E452359}" name="Column12056" dataCellStyle="Normal 2"/>
    <tableColumn id="12072" xr3:uid="{0ECD77FA-80EB-4B88-972E-A59808AE8020}" name="Column12057" dataCellStyle="Normal 2"/>
    <tableColumn id="12073" xr3:uid="{8F5687DC-5D3E-44C7-B02A-45FC86A2050D}" name="Column12058" dataCellStyle="Normal 2"/>
    <tableColumn id="12074" xr3:uid="{A8F45FF1-6BEB-4504-ABFC-A601CF4BAC4A}" name="Column12059" dataCellStyle="Normal 2"/>
    <tableColumn id="12075" xr3:uid="{1A287A68-E4B3-4B5E-A7FF-0428E6861D24}" name="Column12060" dataCellStyle="Normal 2"/>
    <tableColumn id="12076" xr3:uid="{F5B22ECF-7A6C-4AE8-8964-A3A39C882EE1}" name="Column12061" dataCellStyle="Normal 2"/>
    <tableColumn id="12077" xr3:uid="{5162C654-D984-435D-A86F-84F63DE924EF}" name="Column12062" dataCellStyle="Normal 2"/>
    <tableColumn id="12078" xr3:uid="{6B828187-CA72-447F-A70F-D5C67FC4FD45}" name="Column12063" dataCellStyle="Normal 2"/>
    <tableColumn id="12079" xr3:uid="{BE45981C-C93D-4EC6-B8F3-3AAFDCD62D1E}" name="Column12064" dataCellStyle="Normal 2"/>
    <tableColumn id="12080" xr3:uid="{4C2DE2F3-C909-4265-A003-379A1AFB9EB3}" name="Column12065" dataCellStyle="Normal 2"/>
    <tableColumn id="12081" xr3:uid="{755B8D23-52CC-40A4-B3F9-8BFB3EF48812}" name="Column12066" dataCellStyle="Normal 2"/>
    <tableColumn id="12082" xr3:uid="{22C36412-D3BF-4AE4-8F36-383E28EF8212}" name="Column12067" dataCellStyle="Normal 2"/>
    <tableColumn id="12083" xr3:uid="{B5757D18-EE92-47E6-A722-B9AD1ABF1BBE}" name="Column12068" dataCellStyle="Normal 2"/>
    <tableColumn id="12084" xr3:uid="{B73C32B6-89DB-4604-92C1-88ADBD8CAF3C}" name="Column12069" dataCellStyle="Normal 2"/>
    <tableColumn id="12085" xr3:uid="{3D73D7A3-3371-402C-A5F4-1EA3D479B43F}" name="Column12070" dataCellStyle="Normal 2"/>
    <tableColumn id="12086" xr3:uid="{C9AB7488-08ED-4551-8014-421F3BA86857}" name="Column12071" dataCellStyle="Normal 2"/>
    <tableColumn id="12087" xr3:uid="{A759D20B-AC84-4822-96DB-487D25E9F5F7}" name="Column12072" dataCellStyle="Normal 2"/>
    <tableColumn id="12088" xr3:uid="{D1107F1B-55CB-4AA6-9CB7-A136F698EBAE}" name="Column12073" dataCellStyle="Normal 2"/>
    <tableColumn id="12089" xr3:uid="{60A6B1F8-9BDB-484A-90A0-BDE92C9C3FF4}" name="Column12074" dataCellStyle="Normal 2"/>
    <tableColumn id="12090" xr3:uid="{607C88AC-1765-4464-81C6-1F40EC5811F0}" name="Column12075" dataCellStyle="Normal 2"/>
    <tableColumn id="12091" xr3:uid="{72CFB611-65E0-4654-9618-CC7C257FA329}" name="Column12076" dataCellStyle="Normal 2"/>
    <tableColumn id="12092" xr3:uid="{C13A4268-E8C0-49FC-8796-EA1875B474C6}" name="Column12077" dataCellStyle="Normal 2"/>
    <tableColumn id="12093" xr3:uid="{34595A9C-D87B-42CA-8670-AE2097713B2D}" name="Column12078" dataCellStyle="Normal 2"/>
    <tableColumn id="12094" xr3:uid="{017341AD-CF98-4327-81EA-E35082936315}" name="Column12079" dataCellStyle="Normal 2"/>
    <tableColumn id="12095" xr3:uid="{5E5EEAB2-5EF9-43EC-9DF4-F9F70CEE3D5A}" name="Column12080" dataCellStyle="Normal 2"/>
    <tableColumn id="12096" xr3:uid="{4EC7473C-D743-48C2-A4CD-BE1D7A8EADFA}" name="Column12081" dataCellStyle="Normal 2"/>
    <tableColumn id="12097" xr3:uid="{974DA86E-696F-48FF-A540-C5F1EF60ACA4}" name="Column12082" dataCellStyle="Normal 2"/>
    <tableColumn id="12098" xr3:uid="{012C5D6C-D6C0-4EB8-9A90-9A561F1B4D63}" name="Column12083" dataCellStyle="Normal 2"/>
    <tableColumn id="12099" xr3:uid="{4BCC7B42-D13B-44D6-AD92-2C3834FBF89D}" name="Column12084" dataCellStyle="Normal 2"/>
    <tableColumn id="12100" xr3:uid="{DB817CA8-CC5A-4735-85B0-6316437B7FD3}" name="Column12085" dataCellStyle="Normal 2"/>
    <tableColumn id="12101" xr3:uid="{E3131D9B-6970-499A-8DB4-7553172218C6}" name="Column12086" dataCellStyle="Normal 2"/>
    <tableColumn id="12102" xr3:uid="{222CE7F8-9048-465B-89C5-6E12C7A1434A}" name="Column12087" dataCellStyle="Normal 2"/>
    <tableColumn id="12103" xr3:uid="{E9038509-37D7-40FA-A9ED-A102AC7F813B}" name="Column12088" dataCellStyle="Normal 2"/>
    <tableColumn id="12104" xr3:uid="{833CD452-0806-44C7-85FD-FAD24E18B1F7}" name="Column12089" dataCellStyle="Normal 2"/>
    <tableColumn id="12105" xr3:uid="{DB12C702-FF6F-4DA0-A052-45D56F6A9BAA}" name="Column12090" dataCellStyle="Normal 2"/>
    <tableColumn id="12106" xr3:uid="{01E4548D-2C6B-46FB-B47F-4413DC53319A}" name="Column12091" dataCellStyle="Normal 2"/>
    <tableColumn id="12107" xr3:uid="{0E818767-7A90-4F3F-BE2C-341680FD24D1}" name="Column12092" dataCellStyle="Normal 2"/>
    <tableColumn id="12108" xr3:uid="{DC2ADC45-093F-46C1-96E5-AB057CD753EB}" name="Column12093" dataCellStyle="Normal 2"/>
    <tableColumn id="12109" xr3:uid="{99DCFF94-BD5B-4EB9-BE38-28CB6D780FAF}" name="Column12094" dataCellStyle="Normal 2"/>
    <tableColumn id="12110" xr3:uid="{5D8B48C2-4614-4502-9F99-BA21EBFB2386}" name="Column12095" dataCellStyle="Normal 2"/>
    <tableColumn id="12111" xr3:uid="{61149083-6D21-4CF0-8BAF-9C452D76EBA9}" name="Column12096" dataCellStyle="Normal 2"/>
    <tableColumn id="12112" xr3:uid="{0AFEE046-5A3B-45EF-B7EA-0F2AC89EC95F}" name="Column12097" dataCellStyle="Normal 2"/>
    <tableColumn id="12113" xr3:uid="{1DEEF71C-F2FB-4D7F-B282-4C8192243741}" name="Column12098" dataCellStyle="Normal 2"/>
    <tableColumn id="12114" xr3:uid="{8A9A71BA-D0DC-4AF0-832C-FBAC9174BDBF}" name="Column12099" dataCellStyle="Normal 2"/>
    <tableColumn id="12115" xr3:uid="{4A2F59E1-5DF8-4143-960E-FC0DA83B444D}" name="Column12100" dataCellStyle="Normal 2"/>
    <tableColumn id="12116" xr3:uid="{0931A84D-0890-4DB7-A488-27CC554EA20E}" name="Column12101" dataCellStyle="Normal 2"/>
    <tableColumn id="12117" xr3:uid="{A87CFDFA-4CF4-46E0-93C8-3769BDD3C28C}" name="Column12102" dataCellStyle="Normal 2"/>
    <tableColumn id="12118" xr3:uid="{F2787866-D16D-4E09-B94C-BF08EDA72E2C}" name="Column12103" dataCellStyle="Normal 2"/>
    <tableColumn id="12119" xr3:uid="{4ABFA511-A73F-42E7-B89D-33110817C7E0}" name="Column12104" dataCellStyle="Normal 2"/>
    <tableColumn id="12120" xr3:uid="{6E1D327C-7675-4359-8D61-0024CBCA96D2}" name="Column12105" dataCellStyle="Normal 2"/>
    <tableColumn id="12121" xr3:uid="{CD14F101-63A6-4519-AE66-86DC4B702649}" name="Column12106" dataCellStyle="Normal 2"/>
    <tableColumn id="12122" xr3:uid="{0A097C02-9524-4929-A9C0-444C54E306A1}" name="Column12107" dataCellStyle="Normal 2"/>
    <tableColumn id="12123" xr3:uid="{7FEC5361-5129-4406-A207-A8F43E07ECB9}" name="Column12108" dataCellStyle="Normal 2"/>
    <tableColumn id="12124" xr3:uid="{13F2A695-84E4-4570-BA5C-B7EF3D27CFBC}" name="Column12109" dataCellStyle="Normal 2"/>
    <tableColumn id="12125" xr3:uid="{C8438288-F80F-4A07-8B44-28921950AD69}" name="Column12110" dataCellStyle="Normal 2"/>
    <tableColumn id="12126" xr3:uid="{E6EF9C66-3978-4879-B866-B6FBE451F6D6}" name="Column12111" dataCellStyle="Normal 2"/>
    <tableColumn id="12127" xr3:uid="{4B9A06D5-1C34-4C09-B275-275C00CA6A70}" name="Column12112" dataCellStyle="Normal 2"/>
    <tableColumn id="12128" xr3:uid="{E2BE78C1-6EAB-4DAE-BC93-56844941E1D0}" name="Column12113" dataCellStyle="Normal 2"/>
    <tableColumn id="12129" xr3:uid="{C42DE1D1-7788-4575-AA92-FC7A721DF5B1}" name="Column12114" dataCellStyle="Normal 2"/>
    <tableColumn id="12130" xr3:uid="{6ABB6D9B-F398-41A7-82D2-EB171E963C46}" name="Column12115" dataCellStyle="Normal 2"/>
    <tableColumn id="12131" xr3:uid="{9B60240F-4513-452C-AA32-EBEAD886B4F9}" name="Column12116" dataCellStyle="Normal 2"/>
    <tableColumn id="12132" xr3:uid="{BF19F4D3-0590-46A4-9E6C-CC905E90AE97}" name="Column12117" dataCellStyle="Normal 2"/>
    <tableColumn id="12133" xr3:uid="{92760E41-D9F5-4B60-9DF7-41DDB89F735A}" name="Column12118" dataCellStyle="Normal 2"/>
    <tableColumn id="12134" xr3:uid="{EE4ABAE3-5D41-446F-8D23-90C232D008E8}" name="Column12119" dataCellStyle="Normal 2"/>
    <tableColumn id="12135" xr3:uid="{1027D688-A1D5-4CE7-94DB-4CEFB7BA2399}" name="Column12120" dataCellStyle="Normal 2"/>
    <tableColumn id="12136" xr3:uid="{7C81A482-0E18-4DC4-AB3F-AD00B0314C15}" name="Column12121" dataCellStyle="Normal 2"/>
    <tableColumn id="12137" xr3:uid="{84647B95-5B8E-467E-B3BE-AE451BCD87CD}" name="Column12122" dataCellStyle="Normal 2"/>
    <tableColumn id="12138" xr3:uid="{59B35169-A565-4BE7-8C80-891B65F1DB8A}" name="Column12123" dataCellStyle="Normal 2"/>
    <tableColumn id="12139" xr3:uid="{886E5578-B47F-4F9B-BAF4-4F878056E6A7}" name="Column12124" dataCellStyle="Normal 2"/>
    <tableColumn id="12140" xr3:uid="{3C5DD917-8529-490E-AAD6-3B375D515A31}" name="Column12125" dataCellStyle="Normal 2"/>
    <tableColumn id="12141" xr3:uid="{354D80E5-B558-465B-9248-89BB8DFCFBC8}" name="Column12126" dataCellStyle="Normal 2"/>
    <tableColumn id="12142" xr3:uid="{2E646564-2831-4CEE-A140-EF633C94DE6B}" name="Column12127" dataCellStyle="Normal 2"/>
    <tableColumn id="12143" xr3:uid="{DFDA4666-2E0B-47F3-BF11-6341064C86B3}" name="Column12128" dataCellStyle="Normal 2"/>
    <tableColumn id="12144" xr3:uid="{B87A3620-0EF3-4DD1-9419-072DBF82E00E}" name="Column12129" dataCellStyle="Normal 2"/>
    <tableColumn id="12145" xr3:uid="{E8D8E2F2-64F6-43CA-AD28-333C2242D810}" name="Column12130" dataCellStyle="Normal 2"/>
    <tableColumn id="12146" xr3:uid="{9131A98D-FEA7-4796-B8EB-A0C262B9209C}" name="Column12131" dataCellStyle="Normal 2"/>
    <tableColumn id="12147" xr3:uid="{50805C46-3B7B-4C91-878D-60ED9CEDE8CC}" name="Column12132" dataCellStyle="Normal 2"/>
    <tableColumn id="12148" xr3:uid="{436D2FBC-261A-4617-9A44-A13DDE75ECFF}" name="Column12133" dataCellStyle="Normal 2"/>
    <tableColumn id="12149" xr3:uid="{1C89E21F-88A8-4C9E-B686-ABB9FE9488B6}" name="Column12134" dataCellStyle="Normal 2"/>
    <tableColumn id="12150" xr3:uid="{AB45C4E6-1AF5-445F-914E-F3A05280B220}" name="Column12135" dataCellStyle="Normal 2"/>
    <tableColumn id="12151" xr3:uid="{872AF952-1598-40FC-B28B-92B362F0D126}" name="Column12136" dataCellStyle="Normal 2"/>
    <tableColumn id="12152" xr3:uid="{B3CE5F73-5923-49F1-A033-B6ED46694360}" name="Column12137" dataCellStyle="Normal 2"/>
    <tableColumn id="12153" xr3:uid="{CB1F77B4-B058-4823-9DFB-558EE3718CCA}" name="Column12138" dataCellStyle="Normal 2"/>
    <tableColumn id="12154" xr3:uid="{5CC41EB1-C5C5-4380-B8E8-53909CD8C910}" name="Column12139" dataCellStyle="Normal 2"/>
    <tableColumn id="12155" xr3:uid="{D106DF57-4415-4C37-8AAD-E20A6599EA14}" name="Column12140" dataCellStyle="Normal 2"/>
    <tableColumn id="12156" xr3:uid="{4D7B668E-10CC-4F3C-9654-520BC65403CB}" name="Column12141" dataCellStyle="Normal 2"/>
    <tableColumn id="12157" xr3:uid="{0C573B5C-0743-4D1A-B0B2-F693C401C2BD}" name="Column12142" dataCellStyle="Normal 2"/>
    <tableColumn id="12158" xr3:uid="{788E180B-6CA5-4D8E-B2BA-F94555259CFB}" name="Column12143" dataCellStyle="Normal 2"/>
    <tableColumn id="12159" xr3:uid="{A95BE7EA-2219-43FA-8F68-E089EE151AA0}" name="Column12144" dataCellStyle="Normal 2"/>
    <tableColumn id="12160" xr3:uid="{903B1EC5-1D7A-4AD5-A4E9-65694AAFCF85}" name="Column12145" dataCellStyle="Normal 2"/>
    <tableColumn id="12161" xr3:uid="{1B5A4D38-8740-44CD-84CB-4EBE9B2A90F2}" name="Column12146" dataCellStyle="Normal 2"/>
    <tableColumn id="12162" xr3:uid="{E8B2A86B-0347-4D7F-89B1-403E52305764}" name="Column12147" dataCellStyle="Normal 2"/>
    <tableColumn id="12163" xr3:uid="{EF10EFB7-8BBF-42BB-900E-CDE3BBB97CE6}" name="Column12148" dataCellStyle="Normal 2"/>
    <tableColumn id="12164" xr3:uid="{7E38FE60-E132-4023-B73A-1C0F07F90E28}" name="Column12149" dataCellStyle="Normal 2"/>
    <tableColumn id="12165" xr3:uid="{97E3FECD-AF2B-48D0-A32F-BCBC2112EF35}" name="Column12150" dataCellStyle="Normal 2"/>
    <tableColumn id="12166" xr3:uid="{1E1F8257-9CDA-4CE4-9C54-ABF2A0BB538D}" name="Column12151" dataCellStyle="Normal 2"/>
    <tableColumn id="12167" xr3:uid="{D0D57CC3-AB83-4ED1-B010-340E356E5618}" name="Column12152" dataCellStyle="Normal 2"/>
    <tableColumn id="12168" xr3:uid="{F1E80A85-88F6-4ED0-A224-86FC18C4B2C4}" name="Column12153" dataCellStyle="Normal 2"/>
    <tableColumn id="12169" xr3:uid="{A73A25E1-98ED-4E65-8913-70EFDA89F1B4}" name="Column12154" dataCellStyle="Normal 2"/>
    <tableColumn id="12170" xr3:uid="{72BC5383-1146-40CD-A984-08D8427BF1E9}" name="Column12155" dataCellStyle="Normal 2"/>
    <tableColumn id="12171" xr3:uid="{575655FE-3D15-49B6-A2D5-ED2A68DDC590}" name="Column12156" dataCellStyle="Normal 2"/>
    <tableColumn id="12172" xr3:uid="{78E29F25-194C-4394-A3EB-F4354C2B8425}" name="Column12157" dataCellStyle="Normal 2"/>
    <tableColumn id="12173" xr3:uid="{5F404BF4-9BAC-4FE5-A7D6-2CB4D7022B13}" name="Column12158" dataCellStyle="Normal 2"/>
    <tableColumn id="12174" xr3:uid="{CEC8B94E-1F95-4F77-95A9-6BC66F2642AC}" name="Column12159" dataCellStyle="Normal 2"/>
    <tableColumn id="12175" xr3:uid="{6F3DA2DC-FB95-490F-B897-4EA4CBE3FB93}" name="Column12160" dataCellStyle="Normal 2"/>
    <tableColumn id="12176" xr3:uid="{F9491CC6-1619-48A4-8C15-6180C15187C5}" name="Column12161" dataCellStyle="Normal 2"/>
    <tableColumn id="12177" xr3:uid="{D8ED11F7-C567-4607-AF16-0DF850011C0F}" name="Column12162" dataCellStyle="Normal 2"/>
    <tableColumn id="12178" xr3:uid="{36AF3C44-7D18-4AC1-94E4-2E7023E76C6C}" name="Column12163" dataCellStyle="Normal 2"/>
    <tableColumn id="12179" xr3:uid="{23594959-1C7B-4529-B5AD-CF2D2C9D4ADC}" name="Column12164" dataCellStyle="Normal 2"/>
    <tableColumn id="12180" xr3:uid="{DDD2056A-A603-490F-A878-0D5BF5B3D7B9}" name="Column12165" dataCellStyle="Normal 2"/>
    <tableColumn id="12181" xr3:uid="{C85D8D27-D3A3-403C-86B8-436E534D0B02}" name="Column12166" dataCellStyle="Normal 2"/>
    <tableColumn id="12182" xr3:uid="{42755AF7-861B-4026-92DA-A97C51B41D59}" name="Column12167" dataCellStyle="Normal 2"/>
    <tableColumn id="12183" xr3:uid="{CCA4A2DA-8AB5-4287-BF6C-0E7D70F95781}" name="Column12168" dataCellStyle="Normal 2"/>
    <tableColumn id="12184" xr3:uid="{C7EA1F3E-38C3-4981-9C1A-7448F0A6480E}" name="Column12169" dataCellStyle="Normal 2"/>
    <tableColumn id="12185" xr3:uid="{A9CF1B47-D8B7-4A65-A094-70C5B7665C19}" name="Column12170" dataCellStyle="Normal 2"/>
    <tableColumn id="12186" xr3:uid="{2BA9FA85-97DD-46A1-8C8E-FC98173A072C}" name="Column12171" dataCellStyle="Normal 2"/>
    <tableColumn id="12187" xr3:uid="{F0C86594-1EAA-4CB6-B33A-F7CD810429F1}" name="Column12172" dataCellStyle="Normal 2"/>
    <tableColumn id="12188" xr3:uid="{56909C7C-C4E4-459D-A8B2-8356E32E3361}" name="Column12173" dataCellStyle="Normal 2"/>
    <tableColumn id="12189" xr3:uid="{4D39A290-EFA5-4BDF-AFF6-1B18E6BC8CCA}" name="Column12174" dataCellStyle="Normal 2"/>
    <tableColumn id="12190" xr3:uid="{733ACC50-68F5-4CFE-A0CB-4C606B9F06E3}" name="Column12175" dataCellStyle="Normal 2"/>
    <tableColumn id="12191" xr3:uid="{A6332B5E-E20F-4993-98E6-D959C35AC021}" name="Column12176" dataCellStyle="Normal 2"/>
    <tableColumn id="12192" xr3:uid="{2DFD7037-5FDE-4A93-9614-1ACF244906F3}" name="Column12177" dataCellStyle="Normal 2"/>
    <tableColumn id="12193" xr3:uid="{314F10B8-D3D6-433A-B193-2B73208CDB9F}" name="Column12178" dataCellStyle="Normal 2"/>
    <tableColumn id="12194" xr3:uid="{71F211D4-42AC-4765-BD27-CAFC7ABD4601}" name="Column12179" dataCellStyle="Normal 2"/>
    <tableColumn id="12195" xr3:uid="{FD8E9F8A-470D-430B-AE63-61822CB2F0FD}" name="Column12180" dataCellStyle="Normal 2"/>
    <tableColumn id="12196" xr3:uid="{8BB60331-7BF0-4A5E-BBF1-3823CA76E477}" name="Column12181" dataCellStyle="Normal 2"/>
    <tableColumn id="12197" xr3:uid="{C8BB8F4C-7ACA-4A83-83EE-D0F33D8A8DC3}" name="Column12182" dataCellStyle="Normal 2"/>
    <tableColumn id="12198" xr3:uid="{3B95FEE7-019F-4C55-8DB5-BA299EB5E679}" name="Column12183" dataCellStyle="Normal 2"/>
    <tableColumn id="12199" xr3:uid="{5D4A1E59-FB0C-40D8-B69C-A7D5E9B1F094}" name="Column12184" dataCellStyle="Normal 2"/>
    <tableColumn id="12200" xr3:uid="{EF70A6AA-4FB2-4DA6-883C-09728786D875}" name="Column12185" dataCellStyle="Normal 2"/>
    <tableColumn id="12201" xr3:uid="{101357E2-6712-429E-A2F8-D28CB6803623}" name="Column12186" dataCellStyle="Normal 2"/>
    <tableColumn id="12202" xr3:uid="{66F4E279-07EE-4854-89FE-BACAC775F9E7}" name="Column12187" dataCellStyle="Normal 2"/>
    <tableColumn id="12203" xr3:uid="{A8964F2A-5D5C-4004-A8EC-06CDD1099923}" name="Column12188" dataCellStyle="Normal 2"/>
    <tableColumn id="12204" xr3:uid="{31CEAEEE-F4BD-4BB9-9BA3-089EF3A5A478}" name="Column12189" dataCellStyle="Normal 2"/>
    <tableColumn id="12205" xr3:uid="{32684A50-99C7-442E-A2A6-4EFDFC4AB0AD}" name="Column12190" dataCellStyle="Normal 2"/>
    <tableColumn id="12206" xr3:uid="{754D23E8-42AC-41C2-9365-48CAC818F75C}" name="Column12191" dataCellStyle="Normal 2"/>
    <tableColumn id="12207" xr3:uid="{17A570F4-8B88-4ED5-9C04-D439B00F4E83}" name="Column12192" dataCellStyle="Normal 2"/>
    <tableColumn id="12208" xr3:uid="{A9D74C4A-B4E9-4A2B-8CBE-A0FEDEF33DCA}" name="Column12193" dataCellStyle="Normal 2"/>
    <tableColumn id="12209" xr3:uid="{CCD8B074-3E29-4064-9043-10BA2EEE0A32}" name="Column12194" dataCellStyle="Normal 2"/>
    <tableColumn id="12210" xr3:uid="{2000A14D-E380-4E60-9556-13B2C2D79FB9}" name="Column12195" dataCellStyle="Normal 2"/>
    <tableColumn id="12211" xr3:uid="{0AD58E70-125F-4D75-8C89-B79B0096908B}" name="Column12196" dataCellStyle="Normal 2"/>
    <tableColumn id="12212" xr3:uid="{33E10B0D-C881-448D-B4CF-D1700A0B8606}" name="Column12197" dataCellStyle="Normal 2"/>
    <tableColumn id="12213" xr3:uid="{F3BFB1BB-7F9E-42E3-9708-1C273C4EB8C4}" name="Column12198" dataCellStyle="Normal 2"/>
    <tableColumn id="12214" xr3:uid="{6B1CBE48-18CB-484F-BE21-4075355A3B69}" name="Column12199" dataCellStyle="Normal 2"/>
    <tableColumn id="12215" xr3:uid="{4A076EE0-1197-4654-BC16-85120A609D0D}" name="Column12200" dataCellStyle="Normal 2"/>
    <tableColumn id="12216" xr3:uid="{79598061-9AC1-4E0D-9F97-25F22A337532}" name="Column12201" dataCellStyle="Normal 2"/>
    <tableColumn id="12217" xr3:uid="{AE4EB4B8-7CD5-44F3-A973-89E7C58234A7}" name="Column12202" dataCellStyle="Normal 2"/>
    <tableColumn id="12218" xr3:uid="{124EA39C-65D0-44C7-BE00-1565FBEC7FA8}" name="Column12203" dataCellStyle="Normal 2"/>
    <tableColumn id="12219" xr3:uid="{F6F7DFEC-1A50-4ADC-AE53-FAC94E322185}" name="Column12204" dataCellStyle="Normal 2"/>
    <tableColumn id="12220" xr3:uid="{E8DEE123-B747-49ED-A028-DAB4755D16E6}" name="Column12205" dataCellStyle="Normal 2"/>
    <tableColumn id="12221" xr3:uid="{11885531-A424-4CE3-96BA-B8D31E4A14DA}" name="Column12206" dataCellStyle="Normal 2"/>
    <tableColumn id="12222" xr3:uid="{D3BEE6E5-3B36-4F9F-BF26-E11FB2396EF3}" name="Column12207" dataCellStyle="Normal 2"/>
    <tableColumn id="12223" xr3:uid="{C1218DE4-3D79-4059-BA1C-70D862DEDA81}" name="Column12208" dataCellStyle="Normal 2"/>
    <tableColumn id="12224" xr3:uid="{3F4278BC-AE59-4C22-B36D-BAEA0588E74B}" name="Column12209" dataCellStyle="Normal 2"/>
    <tableColumn id="12225" xr3:uid="{5521F04F-5808-413F-94E1-8B5D93B41254}" name="Column12210" dataCellStyle="Normal 2"/>
    <tableColumn id="12226" xr3:uid="{4A16C189-5063-4CB0-9063-DB568634D381}" name="Column12211" dataCellStyle="Normal 2"/>
    <tableColumn id="12227" xr3:uid="{D224006C-805D-4095-B42C-126FA8312607}" name="Column12212" dataCellStyle="Normal 2"/>
    <tableColumn id="12228" xr3:uid="{1278349D-C3BE-489C-949F-9C55D3F2040C}" name="Column12213" dataCellStyle="Normal 2"/>
    <tableColumn id="12229" xr3:uid="{53B3A115-34A7-42E7-B879-033E9771BA6C}" name="Column12214" dataCellStyle="Normal 2"/>
    <tableColumn id="12230" xr3:uid="{95B493BA-B0AB-4130-8E65-EDDBBE6B4FCA}" name="Column12215" dataCellStyle="Normal 2"/>
    <tableColumn id="12231" xr3:uid="{A967D85F-F8EE-47CC-B775-E1B0549FCCA9}" name="Column12216" dataCellStyle="Normal 2"/>
    <tableColumn id="12232" xr3:uid="{591FE19F-401C-46BA-A3EB-B35F7DB7B394}" name="Column12217" dataCellStyle="Normal 2"/>
    <tableColumn id="12233" xr3:uid="{00BBD86E-D438-4D58-A6E7-94B6045CD827}" name="Column12218" dataCellStyle="Normal 2"/>
    <tableColumn id="12234" xr3:uid="{DFCB3A6F-B5B1-4908-956F-2C661E10A304}" name="Column12219" dataCellStyle="Normal 2"/>
    <tableColumn id="12235" xr3:uid="{3871D86B-94AB-4E25-A843-3B3B3D82863B}" name="Column12220" dataCellStyle="Normal 2"/>
    <tableColumn id="12236" xr3:uid="{3AA06749-D840-4BFA-9A42-9BB0A58147FA}" name="Column12221" dataCellStyle="Normal 2"/>
    <tableColumn id="12237" xr3:uid="{E3B5B922-296E-414C-BDD5-0A4CD24796B5}" name="Column12222" dataCellStyle="Normal 2"/>
    <tableColumn id="12238" xr3:uid="{B1713603-DC2A-453E-B88F-40F9C661C73F}" name="Column12223" dataCellStyle="Normal 2"/>
    <tableColumn id="12239" xr3:uid="{5F5551C7-B26C-42FB-99EC-28628FF798A8}" name="Column12224" dataCellStyle="Normal 2"/>
    <tableColumn id="12240" xr3:uid="{9A28E7DF-42EC-4CBF-B430-F10A2AB44DC7}" name="Column12225" dataCellStyle="Normal 2"/>
    <tableColumn id="12241" xr3:uid="{FDECCA41-B449-491D-A506-442558A3B2E8}" name="Column12226" dataCellStyle="Normal 2"/>
    <tableColumn id="12242" xr3:uid="{965A032C-A13B-4945-9766-F6EEC5217A6A}" name="Column12227" dataCellStyle="Normal 2"/>
    <tableColumn id="12243" xr3:uid="{6484C7D8-531E-4063-81A2-16F04F7A8909}" name="Column12228" dataCellStyle="Normal 2"/>
    <tableColumn id="12244" xr3:uid="{3D3E07F4-FF76-43E3-9083-69AA38709FB3}" name="Column12229" dataCellStyle="Normal 2"/>
    <tableColumn id="12245" xr3:uid="{B432C0D1-1F10-4A9B-BA6C-5572BC41A04F}" name="Column12230" dataCellStyle="Normal 2"/>
    <tableColumn id="12246" xr3:uid="{2D19B87D-EAD1-4F6A-83F6-03E8A0C60DA7}" name="Column12231" dataCellStyle="Normal 2"/>
    <tableColumn id="12247" xr3:uid="{14C87E28-6C8C-4F41-9A20-22C1049377D2}" name="Column12232" dataCellStyle="Normal 2"/>
    <tableColumn id="12248" xr3:uid="{6ADDDAC2-6FB9-4D15-B7D8-E54E4E85C396}" name="Column12233" dataCellStyle="Normal 2"/>
    <tableColumn id="12249" xr3:uid="{1DEC86C2-E208-4486-8E80-4CCEFA8E5873}" name="Column12234" dataCellStyle="Normal 2"/>
    <tableColumn id="12250" xr3:uid="{BBEC0D19-14E0-4BBC-8E2B-43C4F3753E13}" name="Column12235" dataCellStyle="Normal 2"/>
    <tableColumn id="12251" xr3:uid="{8B4A5C16-B819-4880-96A0-3F929EB55982}" name="Column12236" dataCellStyle="Normal 2"/>
    <tableColumn id="12252" xr3:uid="{81C118FE-6910-4449-A619-F638C22FD22D}" name="Column12237" dataCellStyle="Normal 2"/>
    <tableColumn id="12253" xr3:uid="{FF2CC28E-774B-4EE5-93E7-4787A7E50419}" name="Column12238" dataCellStyle="Normal 2"/>
    <tableColumn id="12254" xr3:uid="{88E054D1-E5F6-45D7-8E13-41AF5B458A60}" name="Column12239" dataCellStyle="Normal 2"/>
    <tableColumn id="12255" xr3:uid="{3BD79791-B24B-448E-8D62-479322899039}" name="Column12240" dataCellStyle="Normal 2"/>
    <tableColumn id="12256" xr3:uid="{BC02F998-1D27-4A69-ABA2-1B666C43BE56}" name="Column12241" dataCellStyle="Normal 2"/>
    <tableColumn id="12257" xr3:uid="{2C429133-FAF5-49F4-AE1F-78B432751261}" name="Column12242" dataCellStyle="Normal 2"/>
    <tableColumn id="12258" xr3:uid="{F5B7EA60-5BB4-420F-AD18-DE0275391351}" name="Column12243" dataCellStyle="Normal 2"/>
    <tableColumn id="12259" xr3:uid="{0887CB7E-B043-4052-9334-A59E7ABC6500}" name="Column12244" dataCellStyle="Normal 2"/>
    <tableColumn id="12260" xr3:uid="{07AD389E-AA42-48F9-A53B-BD8499E2A299}" name="Column12245" dataCellStyle="Normal 2"/>
    <tableColumn id="12261" xr3:uid="{F68827B0-B55B-4406-A80B-E00303156171}" name="Column12246" dataCellStyle="Normal 2"/>
    <tableColumn id="12262" xr3:uid="{C4F710E2-29C8-404C-BEBD-99D95E9C076F}" name="Column12247" dataCellStyle="Normal 2"/>
    <tableColumn id="12263" xr3:uid="{50F19D03-6417-4571-94F4-511FEDDAB0A4}" name="Column12248" dataCellStyle="Normal 2"/>
    <tableColumn id="12264" xr3:uid="{4E56BB9D-49B4-4871-ADD0-D8679AFE0BFA}" name="Column12249" dataCellStyle="Normal 2"/>
    <tableColumn id="12265" xr3:uid="{05D7CEC8-ED35-495A-B4A9-9E3B8C6064B9}" name="Column12250" dataCellStyle="Normal 2"/>
    <tableColumn id="12266" xr3:uid="{FBD11650-A3B0-4965-9DE3-26E9420F8B24}" name="Column12251" dataCellStyle="Normal 2"/>
    <tableColumn id="12267" xr3:uid="{5F3B3D0E-5B34-4FD5-A071-3FFA2D4BFB11}" name="Column12252" dataCellStyle="Normal 2"/>
    <tableColumn id="12268" xr3:uid="{C5E07645-A5B2-40A1-8252-8D990A5205FC}" name="Column12253" dataCellStyle="Normal 2"/>
    <tableColumn id="12269" xr3:uid="{664AB769-C5C7-43CD-AA57-CFD8E15A3B5D}" name="Column12254" dataCellStyle="Normal 2"/>
    <tableColumn id="12270" xr3:uid="{CAF07A54-8EAF-4BCD-B6A5-560442F1E139}" name="Column12255" dataCellStyle="Normal 2"/>
    <tableColumn id="12271" xr3:uid="{A0EF33C9-875C-451D-83BC-82A7A9AFE8D1}" name="Column12256" dataCellStyle="Normal 2"/>
    <tableColumn id="12272" xr3:uid="{4B00FB36-3DA7-4461-A3DD-D3B9AAF767F6}" name="Column12257" dataCellStyle="Normal 2"/>
    <tableColumn id="12273" xr3:uid="{B512DACA-9D13-4475-9104-A55C022E3A8F}" name="Column12258" dataCellStyle="Normal 2"/>
    <tableColumn id="12274" xr3:uid="{2EB17EFD-A450-49E2-B4C0-893B4C79CA3B}" name="Column12259" dataCellStyle="Normal 2"/>
    <tableColumn id="12275" xr3:uid="{974D0A16-AAC9-46A9-8216-0EBEE529273C}" name="Column12260" dataCellStyle="Normal 2"/>
    <tableColumn id="12276" xr3:uid="{39245F20-114F-4AAA-B394-425CAC05FAEA}" name="Column12261" dataCellStyle="Normal 2"/>
    <tableColumn id="12277" xr3:uid="{BFDB5CF7-28CD-4E14-901A-89BCE9D89EC5}" name="Column12262" dataCellStyle="Normal 2"/>
    <tableColumn id="12278" xr3:uid="{A6C3D279-FB25-4BB6-8097-C8145D3E4F24}" name="Column12263" dataCellStyle="Normal 2"/>
    <tableColumn id="12279" xr3:uid="{C728F255-5EFE-43C9-96F2-E9ADBAC0C11D}" name="Column12264" dataCellStyle="Normal 2"/>
    <tableColumn id="12280" xr3:uid="{48A1BC60-453E-419B-AB45-D72D4809C666}" name="Column12265" dataCellStyle="Normal 2"/>
    <tableColumn id="12281" xr3:uid="{5FE53A29-0CD6-4E27-996A-31406B519DD1}" name="Column12266" dataCellStyle="Normal 2"/>
    <tableColumn id="12282" xr3:uid="{5D9DE6A0-E4F4-4006-8982-791A13AAD459}" name="Column12267" dataCellStyle="Normal 2"/>
    <tableColumn id="12283" xr3:uid="{22916F34-634A-4ADD-944C-EF1D8C37DBE2}" name="Column12268" dataCellStyle="Normal 2"/>
    <tableColumn id="12284" xr3:uid="{D45D50B8-4599-40CD-9333-E5349232CBBD}" name="Column12269" dataCellStyle="Normal 2"/>
    <tableColumn id="12285" xr3:uid="{E26ECBDD-B846-4F34-B05A-F8B9811A82EC}" name="Column12270" dataCellStyle="Normal 2"/>
    <tableColumn id="12286" xr3:uid="{F2275A9E-FEFE-418B-8A38-BC6649DF455B}" name="Column12271" dataCellStyle="Normal 2"/>
    <tableColumn id="12287" xr3:uid="{498AD95D-EA51-4CFB-85B6-96F624947F88}" name="Column12272" dataCellStyle="Normal 2"/>
    <tableColumn id="12288" xr3:uid="{2AA0CB16-D586-437C-93A8-7AB42FC6D5FC}" name="Column12273" dataCellStyle="Normal 2"/>
    <tableColumn id="12289" xr3:uid="{6F3A77DA-004C-43AF-83F8-E664783BC825}" name="Column12274" dataCellStyle="Normal 2"/>
    <tableColumn id="12290" xr3:uid="{9116B5EC-944A-48F5-B9A4-C02541E914B4}" name="Column12275" dataCellStyle="Normal 2"/>
    <tableColumn id="12291" xr3:uid="{234CF38E-A6BD-40DF-BC03-4AF8C59AD8AD}" name="Column12276" dataCellStyle="Normal 2"/>
    <tableColumn id="12292" xr3:uid="{36C2479E-5A72-4D75-BF76-1635DAF8BA0F}" name="Column12277" dataCellStyle="Normal 2"/>
    <tableColumn id="12293" xr3:uid="{1A422F99-519B-4FDC-B871-77B0DB8DE212}" name="Column12278" dataCellStyle="Normal 2"/>
    <tableColumn id="12294" xr3:uid="{263DB07F-B21F-406B-AFF8-EE2C3082CF58}" name="Column12279" dataCellStyle="Normal 2"/>
    <tableColumn id="12295" xr3:uid="{236B303D-34DD-44D4-9072-8606474448F2}" name="Column12280" dataCellStyle="Normal 2"/>
    <tableColumn id="12296" xr3:uid="{14E67E6B-87DF-4145-88AA-9340705E2D72}" name="Column12281" dataCellStyle="Normal 2"/>
    <tableColumn id="12297" xr3:uid="{7989F85F-773A-489C-A39C-2DC1E7CD5293}" name="Column12282" dataCellStyle="Normal 2"/>
    <tableColumn id="12298" xr3:uid="{4D0C7F77-ED02-4FA0-ACDF-FD5F9FA4EEDF}" name="Column12283" dataCellStyle="Normal 2"/>
    <tableColumn id="12299" xr3:uid="{B3305711-A55B-4F16-8C26-3FBFC3B081A3}" name="Column12284" dataCellStyle="Normal 2"/>
    <tableColumn id="12300" xr3:uid="{91927C01-4B2F-49BC-949E-567408518E32}" name="Column12285" dataCellStyle="Normal 2"/>
    <tableColumn id="12301" xr3:uid="{927DBD35-5424-48AB-868F-B9CF17A6B9D7}" name="Column12286" dataCellStyle="Normal 2"/>
    <tableColumn id="12302" xr3:uid="{F52FDB1B-6F87-4C4B-9764-B1680ACD09D4}" name="Column12287" dataCellStyle="Normal 2"/>
    <tableColumn id="12303" xr3:uid="{0553457F-C629-4CD9-AA57-6A04A041F083}" name="Column12288" dataCellStyle="Normal 2"/>
    <tableColumn id="12304" xr3:uid="{95F1DFFD-166B-450A-9BA7-565926607801}" name="Column12289" dataCellStyle="Normal 2"/>
    <tableColumn id="12305" xr3:uid="{FE5C7309-2ABC-4AB7-88CF-FFEC5ADEC4AB}" name="Column12290" dataCellStyle="Normal 2"/>
    <tableColumn id="12306" xr3:uid="{B45291ED-2579-44CC-8E1E-99D841F35661}" name="Column12291" dataCellStyle="Normal 2"/>
    <tableColumn id="12307" xr3:uid="{07740F91-E8D5-4AB2-94A8-973521DE0043}" name="Column12292" dataCellStyle="Normal 2"/>
    <tableColumn id="12308" xr3:uid="{5CA45B07-2818-4924-8950-D1D229EB8263}" name="Column12293" dataCellStyle="Normal 2"/>
    <tableColumn id="12309" xr3:uid="{0D88B84C-3DE4-40A6-8922-5EE626FEFF5D}" name="Column12294" dataCellStyle="Normal 2"/>
    <tableColumn id="12310" xr3:uid="{9066EA01-794F-4B74-A5AF-2305A0334900}" name="Column12295" dataCellStyle="Normal 2"/>
    <tableColumn id="12311" xr3:uid="{C5221E3C-18A4-4EE7-AA27-FEB51AFCBC8E}" name="Column12296" dataCellStyle="Normal 2"/>
    <tableColumn id="12312" xr3:uid="{76356ED0-1312-4036-82DB-8F4ABB5DD15C}" name="Column12297" dataCellStyle="Normal 2"/>
    <tableColumn id="12313" xr3:uid="{687E75AA-D4EF-45F6-B421-E9D564C7B36C}" name="Column12298" dataCellStyle="Normal 2"/>
    <tableColumn id="12314" xr3:uid="{F967F807-BC9F-4224-A38B-9C0978C0FBB2}" name="Column12299" dataCellStyle="Normal 2"/>
    <tableColumn id="12315" xr3:uid="{EC954455-3655-4084-80B2-7DCF94F7063E}" name="Column12300" dataCellStyle="Normal 2"/>
    <tableColumn id="12316" xr3:uid="{0C44E36B-5DEB-48DD-B8AA-CED599F1C57D}" name="Column12301" dataCellStyle="Normal 2"/>
    <tableColumn id="12317" xr3:uid="{735E5A0E-5777-491F-82E2-183739AEBA54}" name="Column12302" dataCellStyle="Normal 2"/>
    <tableColumn id="12318" xr3:uid="{D0660306-6318-4F5A-B5BB-FE36F5C4B013}" name="Column12303" dataCellStyle="Normal 2"/>
    <tableColumn id="12319" xr3:uid="{3898DE07-0B74-43FA-9916-9EF8313C7F8F}" name="Column12304" dataCellStyle="Normal 2"/>
    <tableColumn id="12320" xr3:uid="{E2DE08DC-CF43-4734-A08E-6E20C235979B}" name="Column12305" dataCellStyle="Normal 2"/>
    <tableColumn id="12321" xr3:uid="{A1FA4278-0C33-4C52-A2AD-C37DD30AF7C8}" name="Column12306" dataCellStyle="Normal 2"/>
    <tableColumn id="12322" xr3:uid="{873FBAE9-D8B0-472C-8ECB-5CD4CC4DEFB2}" name="Column12307" dataCellStyle="Normal 2"/>
    <tableColumn id="12323" xr3:uid="{8E239436-AF19-4FC8-BC24-2B2BA514FE5F}" name="Column12308" dataCellStyle="Normal 2"/>
    <tableColumn id="12324" xr3:uid="{F99A0462-E7A3-4873-AF26-93CA269A5086}" name="Column12309" dataCellStyle="Normal 2"/>
    <tableColumn id="12325" xr3:uid="{4FE4D2A3-4BDD-4DA1-9FF3-D07B3A858ADA}" name="Column12310" dataCellStyle="Normal 2"/>
    <tableColumn id="12326" xr3:uid="{139B4E31-1A81-4F61-9601-3D0C6B81EAF8}" name="Column12311" dataCellStyle="Normal 2"/>
    <tableColumn id="12327" xr3:uid="{2C618995-BAFB-409C-9EAB-714D87D74FF0}" name="Column12312" dataCellStyle="Normal 2"/>
    <tableColumn id="12328" xr3:uid="{BB0F2C02-7642-4EB5-BCC1-B9035C00A2C6}" name="Column12313" dataCellStyle="Normal 2"/>
    <tableColumn id="12329" xr3:uid="{D0E5AB2C-FDB9-4DBC-9DB4-741B9FCEBAE8}" name="Column12314" dataCellStyle="Normal 2"/>
    <tableColumn id="12330" xr3:uid="{9F716FD6-C7E4-40AC-B96C-D8260A756AE7}" name="Column12315" dataCellStyle="Normal 2"/>
    <tableColumn id="12331" xr3:uid="{BB40DF47-11F6-479C-A4B4-F033F3D8F7C5}" name="Column12316" dataCellStyle="Normal 2"/>
    <tableColumn id="12332" xr3:uid="{95595F91-A584-4956-92B3-5ED2720F35E1}" name="Column12317" dataCellStyle="Normal 2"/>
    <tableColumn id="12333" xr3:uid="{C5CA0F5A-53F5-48E0-964B-90DB646EDEC9}" name="Column12318" dataCellStyle="Normal 2"/>
    <tableColumn id="12334" xr3:uid="{172A9B4C-AD6E-417B-AB8D-E513672EF4EA}" name="Column12319" dataCellStyle="Normal 2"/>
    <tableColumn id="12335" xr3:uid="{81186919-350D-4AC1-A7B1-8E770DEB11D0}" name="Column12320" dataCellStyle="Normal 2"/>
    <tableColumn id="12336" xr3:uid="{385E14C0-8291-4BDB-9052-14D062BD091C}" name="Column12321" dataCellStyle="Normal 2"/>
    <tableColumn id="12337" xr3:uid="{67D98BCD-3035-497D-A545-40579F6DABEC}" name="Column12322" dataCellStyle="Normal 2"/>
    <tableColumn id="12338" xr3:uid="{2F8D4B7C-F924-448E-891A-0ACEEF2E46A2}" name="Column12323" dataCellStyle="Normal 2"/>
    <tableColumn id="12339" xr3:uid="{4842B60C-640E-41AE-8ACD-36CCB301F106}" name="Column12324" dataCellStyle="Normal 2"/>
    <tableColumn id="12340" xr3:uid="{69F6B0D5-6E98-4F6F-9708-8769D44B1DF9}" name="Column12325" dataCellStyle="Normal 2"/>
    <tableColumn id="12341" xr3:uid="{6B379DEE-CAAE-47AC-B309-C12C5896E3D7}" name="Column12326" dataCellStyle="Normal 2"/>
    <tableColumn id="12342" xr3:uid="{0BBB131A-52AC-45E4-AEB3-A56CFB360801}" name="Column12327" dataCellStyle="Normal 2"/>
    <tableColumn id="12343" xr3:uid="{EF94F8C3-DB3F-4E22-9FB3-147243FC6760}" name="Column12328" dataCellStyle="Normal 2"/>
    <tableColumn id="12344" xr3:uid="{C102C459-E8FB-401B-A527-132750955A30}" name="Column12329" dataCellStyle="Normal 2"/>
    <tableColumn id="12345" xr3:uid="{C277FEB3-3F99-46B5-9A37-3D367ECCF0BA}" name="Column12330" dataCellStyle="Normal 2"/>
    <tableColumn id="12346" xr3:uid="{4F8C87C1-A9AB-4BA6-9CE3-4E88844A3B95}" name="Column12331" dataCellStyle="Normal 2"/>
    <tableColumn id="12347" xr3:uid="{95871F00-06B1-4171-9EF4-4F8122F19231}" name="Column12332" dataCellStyle="Normal 2"/>
    <tableColumn id="12348" xr3:uid="{4B0B1DDF-F5C8-4D2F-9957-DF64CE6421C7}" name="Column12333" dataCellStyle="Normal 2"/>
    <tableColumn id="12349" xr3:uid="{2E37DCA8-7BA6-4BB8-876E-047E7BA8903D}" name="Column12334" dataCellStyle="Normal 2"/>
    <tableColumn id="12350" xr3:uid="{0720D464-FBFB-466E-AD72-E3BA3837523B}" name="Column12335" dataCellStyle="Normal 2"/>
    <tableColumn id="12351" xr3:uid="{9C44D449-7042-4B02-94F9-0E17EFBD5FCF}" name="Column12336" dataCellStyle="Normal 2"/>
    <tableColumn id="12352" xr3:uid="{BA13356B-2672-453E-81A2-47ACA3785745}" name="Column12337" dataCellStyle="Normal 2"/>
    <tableColumn id="12353" xr3:uid="{086E9D24-A080-4CB5-B25A-C683B2F50B6F}" name="Column12338" dataCellStyle="Normal 2"/>
    <tableColumn id="12354" xr3:uid="{F3CEF942-65AD-49AF-92A5-76F04A3EFBB5}" name="Column12339" dataCellStyle="Normal 2"/>
    <tableColumn id="12355" xr3:uid="{F63FB4D7-B64D-45A5-B9EE-CD6E15442C26}" name="Column12340" dataCellStyle="Normal 2"/>
    <tableColumn id="12356" xr3:uid="{10B2D1FF-646B-40AD-85E9-5376FF0BABFA}" name="Column12341" dataCellStyle="Normal 2"/>
    <tableColumn id="12357" xr3:uid="{F156E6B5-EAAD-4E67-96F7-92EC6E2BB109}" name="Column12342" dataCellStyle="Normal 2"/>
    <tableColumn id="12358" xr3:uid="{D316B922-6825-4892-8913-89FAD4FD73C1}" name="Column12343" dataCellStyle="Normal 2"/>
    <tableColumn id="12359" xr3:uid="{AF14334D-F4A4-4827-9732-55B77E250D29}" name="Column12344" dataCellStyle="Normal 2"/>
    <tableColumn id="12360" xr3:uid="{AB46EEDC-8785-4377-8794-1CC05074D4EB}" name="Column12345" dataCellStyle="Normal 2"/>
    <tableColumn id="12361" xr3:uid="{D2B1B54C-D493-407D-A0EF-7F956FECA598}" name="Column12346" dataCellStyle="Normal 2"/>
    <tableColumn id="12362" xr3:uid="{A48FFCA5-1B7B-4284-8F7B-D7CBFC0981BD}" name="Column12347" dataCellStyle="Normal 2"/>
    <tableColumn id="12363" xr3:uid="{F798DD75-2D09-427A-B4B5-BF087F518466}" name="Column12348" dataCellStyle="Normal 2"/>
    <tableColumn id="12364" xr3:uid="{9EC6DF4A-886B-4D6C-A0AA-EEBF39A4B6A7}" name="Column12349" dataCellStyle="Normal 2"/>
    <tableColumn id="12365" xr3:uid="{BC7CA196-BEEC-4113-AB6F-45F0B75CB101}" name="Column12350" dataCellStyle="Normal 2"/>
    <tableColumn id="12366" xr3:uid="{BB70EBB4-0300-4E03-82DD-574DC9D088D1}" name="Column12351" dataCellStyle="Normal 2"/>
    <tableColumn id="12367" xr3:uid="{B66D6025-2862-4F6E-AD12-A30B75434CD6}" name="Column12352" dataCellStyle="Normal 2"/>
    <tableColumn id="12368" xr3:uid="{CC2D4931-EEC2-435B-BC41-10A59FEC52F4}" name="Column12353" dataCellStyle="Normal 2"/>
    <tableColumn id="12369" xr3:uid="{73286DB7-475E-4F80-878B-B06ADB06E241}" name="Column12354" dataCellStyle="Normal 2"/>
    <tableColumn id="12370" xr3:uid="{280E484C-0050-4E37-9A6F-85FEFB408ED9}" name="Column12355" dataCellStyle="Normal 2"/>
    <tableColumn id="12371" xr3:uid="{327739D4-EC43-4F55-83EA-05B5D30ADB52}" name="Column12356" dataCellStyle="Normal 2"/>
    <tableColumn id="12372" xr3:uid="{2C978D7E-3555-4521-80F4-B21CE14E4523}" name="Column12357" dataCellStyle="Normal 2"/>
    <tableColumn id="12373" xr3:uid="{85055072-B16A-4D79-8493-EB60D935510D}" name="Column12358" dataCellStyle="Normal 2"/>
    <tableColumn id="12374" xr3:uid="{7955B842-7344-42E1-BBCA-4C7ABFD0EC26}" name="Column12359" dataCellStyle="Normal 2"/>
    <tableColumn id="12375" xr3:uid="{05C056DF-09B9-44B9-8BA0-8E144961F875}" name="Column12360" dataCellStyle="Normal 2"/>
    <tableColumn id="12376" xr3:uid="{0DFB1CAF-C459-40BF-9DFA-1322BE6DC2D4}" name="Column12361" dataCellStyle="Normal 2"/>
    <tableColumn id="12377" xr3:uid="{6A76172E-91C7-4680-87B5-CB8D4E69E913}" name="Column12362" dataCellStyle="Normal 2"/>
    <tableColumn id="12378" xr3:uid="{0748F1A2-A48A-4E1A-B8E4-C74DB528954D}" name="Column12363" dataCellStyle="Normal 2"/>
    <tableColumn id="12379" xr3:uid="{8ABB2EC5-38FB-4B6F-809F-717DC7FD856B}" name="Column12364" dataCellStyle="Normal 2"/>
    <tableColumn id="12380" xr3:uid="{4C2EF957-A18F-4F16-8AEC-63242131A4ED}" name="Column12365" dataCellStyle="Normal 2"/>
    <tableColumn id="12381" xr3:uid="{179D213A-F911-429E-A21C-AF2C55202F1B}" name="Column12366" dataCellStyle="Normal 2"/>
    <tableColumn id="12382" xr3:uid="{557CBCD1-2C7E-4C32-B72B-E7A9BF5C6A1A}" name="Column12367" dataCellStyle="Normal 2"/>
    <tableColumn id="12383" xr3:uid="{8711EF1B-4899-4779-B089-6AA0C83933DC}" name="Column12368" dataCellStyle="Normal 2"/>
    <tableColumn id="12384" xr3:uid="{83A8C10C-C92A-4679-B690-61C0A801A3AE}" name="Column12369" dataCellStyle="Normal 2"/>
    <tableColumn id="12385" xr3:uid="{9B3C3109-99CD-41B2-8644-F84FC903EB80}" name="Column12370" dataCellStyle="Normal 2"/>
    <tableColumn id="12386" xr3:uid="{B7903BCC-0D32-4276-AB93-B2BACEEA04AA}" name="Column12371" dataCellStyle="Normal 2"/>
    <tableColumn id="12387" xr3:uid="{6CC7AAF5-3F06-4093-A3DD-99C7101BFF1B}" name="Column12372" dataCellStyle="Normal 2"/>
    <tableColumn id="12388" xr3:uid="{D66498BA-DC3C-4A37-B514-BC9CADB9A49F}" name="Column12373" dataCellStyle="Normal 2"/>
    <tableColumn id="12389" xr3:uid="{17EB71FC-1922-4432-9352-ACCD98382761}" name="Column12374" dataCellStyle="Normal 2"/>
    <tableColumn id="12390" xr3:uid="{092E024C-A755-47A7-803D-71B22D49D04A}" name="Column12375" dataCellStyle="Normal 2"/>
    <tableColumn id="12391" xr3:uid="{DDA69D86-586A-447D-8AA0-E48E3DEC7BB0}" name="Column12376" dataCellStyle="Normal 2"/>
    <tableColumn id="12392" xr3:uid="{F152C40D-1C9E-49DF-894F-DF5E96002E23}" name="Column12377" dataCellStyle="Normal 2"/>
    <tableColumn id="12393" xr3:uid="{00179F53-A1F6-4E0E-8AEA-C66F5273C7DD}" name="Column12378" dataCellStyle="Normal 2"/>
    <tableColumn id="12394" xr3:uid="{A8DAE373-3269-47AA-9BDC-131BC8901BE3}" name="Column12379" dataCellStyle="Normal 2"/>
    <tableColumn id="12395" xr3:uid="{FF80912E-FBE8-4E6E-869C-913FC0B8B690}" name="Column12380" dataCellStyle="Normal 2"/>
    <tableColumn id="12396" xr3:uid="{DE0E7199-384F-4910-A9A5-1FE3F7F4766E}" name="Column12381" dataCellStyle="Normal 2"/>
    <tableColumn id="12397" xr3:uid="{C7BCB0D8-FE42-4766-AF7A-FD5373A69F50}" name="Column12382" dataCellStyle="Normal 2"/>
    <tableColumn id="12398" xr3:uid="{EF8EA8EF-85D6-4DA6-BDF7-E5FD42ED0164}" name="Column12383" dataCellStyle="Normal 2"/>
    <tableColumn id="12399" xr3:uid="{C8B27636-F43F-4F6D-8B2A-BED141CC822E}" name="Column12384" dataCellStyle="Normal 2"/>
    <tableColumn id="12400" xr3:uid="{5F82D94F-4275-4BA2-BDE3-2C4A9BB9C432}" name="Column12385" dataCellStyle="Normal 2"/>
    <tableColumn id="12401" xr3:uid="{1DD7D6DD-52B9-4D24-90D5-A5FDB8DE6EBF}" name="Column12386" dataCellStyle="Normal 2"/>
    <tableColumn id="12402" xr3:uid="{1FE49F4B-85C4-4602-9CA9-76C39755EE5B}" name="Column12387" dataCellStyle="Normal 2"/>
    <tableColumn id="12403" xr3:uid="{E6C96B30-7A2A-4AAE-93C8-CE08D3EB2EFA}" name="Column12388" dataCellStyle="Normal 2"/>
    <tableColumn id="12404" xr3:uid="{C7FB6E97-03E9-4573-AE1F-268D0098691E}" name="Column12389" dataCellStyle="Normal 2"/>
    <tableColumn id="12405" xr3:uid="{79149A69-9603-4FBC-8C21-BF22AC0FF317}" name="Column12390" dataCellStyle="Normal 2"/>
    <tableColumn id="12406" xr3:uid="{CB513E10-3CC7-4C7C-9235-65633890869C}" name="Column12391" dataCellStyle="Normal 2"/>
    <tableColumn id="12407" xr3:uid="{B6DF43BF-28CD-42D9-A1EE-322FAD7C6187}" name="Column12392" dataCellStyle="Normal 2"/>
    <tableColumn id="12408" xr3:uid="{E74A71AF-6627-4E4A-A300-F2B9B4A5A10B}" name="Column12393" dataCellStyle="Normal 2"/>
    <tableColumn id="12409" xr3:uid="{6BB7C0FC-6881-4A9C-9130-4AB0C9A779E2}" name="Column12394" dataCellStyle="Normal 2"/>
    <tableColumn id="12410" xr3:uid="{D49D9840-7D7A-437F-97C0-065794758588}" name="Column12395" dataCellStyle="Normal 2"/>
    <tableColumn id="12411" xr3:uid="{432998FE-3F27-4880-B9B9-7CA7F92E6C33}" name="Column12396" dataCellStyle="Normal 2"/>
    <tableColumn id="12412" xr3:uid="{F61300F6-2EEE-47C4-B35E-D9A3969B8D5C}" name="Column12397" dataCellStyle="Normal 2"/>
    <tableColumn id="12413" xr3:uid="{2AB10B81-9C2D-426A-B6D3-EFC69A3659BE}" name="Column12398" dataCellStyle="Normal 2"/>
    <tableColumn id="12414" xr3:uid="{E367183C-3716-445D-ACCF-5CEBF4F10DC1}" name="Column12399" dataCellStyle="Normal 2"/>
    <tableColumn id="12415" xr3:uid="{22C65A83-AC68-44B8-BB2B-6FE69AC55A8A}" name="Column12400" dataCellStyle="Normal 2"/>
    <tableColumn id="12416" xr3:uid="{193B24D3-617A-4001-BFC0-8EF3E49AAEFE}" name="Column12401" dataCellStyle="Normal 2"/>
    <tableColumn id="12417" xr3:uid="{6678F308-BF1F-43BC-A1A8-EBFB368D5831}" name="Column12402" dataCellStyle="Normal 2"/>
    <tableColumn id="12418" xr3:uid="{0F8E8C60-AAFE-4A4C-A306-274D97BA240E}" name="Column12403" dataCellStyle="Normal 2"/>
    <tableColumn id="12419" xr3:uid="{35403E2C-66B9-41CF-A631-56A7C87463F9}" name="Column12404" dataCellStyle="Normal 2"/>
    <tableColumn id="12420" xr3:uid="{5925D64D-9859-4853-B04C-6214EE48D07E}" name="Column12405" dataCellStyle="Normal 2"/>
    <tableColumn id="12421" xr3:uid="{419BA48B-1F6A-4F62-9F45-564608187B40}" name="Column12406" dataCellStyle="Normal 2"/>
    <tableColumn id="12422" xr3:uid="{EBAEA404-1E96-4CDF-851B-19EF1989ED6A}" name="Column12407" dataCellStyle="Normal 2"/>
    <tableColumn id="12423" xr3:uid="{827B19E6-F85D-41E7-BC63-1C6EE27B5311}" name="Column12408" dataCellStyle="Normal 2"/>
    <tableColumn id="12424" xr3:uid="{18366C17-1C1A-45E6-B29B-5B7F29E62B48}" name="Column12409" dataCellStyle="Normal 2"/>
    <tableColumn id="12425" xr3:uid="{AFA36BFF-FCAD-418D-8F05-D59786FCFB63}" name="Column12410" dataCellStyle="Normal 2"/>
    <tableColumn id="12426" xr3:uid="{9CD3573C-E911-45B4-8191-012639F10DB2}" name="Column12411" dataCellStyle="Normal 2"/>
    <tableColumn id="12427" xr3:uid="{550CCF0A-8C40-4CF5-8B1E-A8493DB3D0BF}" name="Column12412" dataCellStyle="Normal 2"/>
    <tableColumn id="12428" xr3:uid="{3CC0ED3F-A054-4594-A0F9-459EBE9E6615}" name="Column12413" dataCellStyle="Normal 2"/>
    <tableColumn id="12429" xr3:uid="{45934E84-8206-4D52-A7D9-0B4798096FE5}" name="Column12414" dataCellStyle="Normal 2"/>
    <tableColumn id="12430" xr3:uid="{CAFA3E9B-EDE7-457E-8AE2-0A3F0BA3DAD8}" name="Column12415" dataCellStyle="Normal 2"/>
    <tableColumn id="12431" xr3:uid="{7FEF1C59-8CEF-44F4-9A4B-CBF3F57D4A7E}" name="Column12416" dataCellStyle="Normal 2"/>
    <tableColumn id="12432" xr3:uid="{B4F3A61E-F82E-4DC8-854E-B22F5C72EDE1}" name="Column12417" dataCellStyle="Normal 2"/>
    <tableColumn id="12433" xr3:uid="{BA9896D6-C7EC-4646-8A36-1EDC402D9CD5}" name="Column12418" dataCellStyle="Normal 2"/>
    <tableColumn id="12434" xr3:uid="{11F47637-5C18-4897-8DBA-732E75471FA8}" name="Column12419" dataCellStyle="Normal 2"/>
    <tableColumn id="12435" xr3:uid="{C3D0D7A5-1E0B-4FE5-BAC6-683BCA2E2C4C}" name="Column12420" dataCellStyle="Normal 2"/>
    <tableColumn id="12436" xr3:uid="{C9D3E8AF-7972-48A9-9D02-DFBCE25E35DE}" name="Column12421" dataCellStyle="Normal 2"/>
    <tableColumn id="12437" xr3:uid="{AB6D6E2E-CC62-470F-B60C-3C89607F0616}" name="Column12422" dataCellStyle="Normal 2"/>
    <tableColumn id="12438" xr3:uid="{A51AF20A-0492-436E-96E9-A86802E321EF}" name="Column12423" dataCellStyle="Normal 2"/>
    <tableColumn id="12439" xr3:uid="{F20ACDF9-4991-4C8E-A354-34B184EB22F6}" name="Column12424" dataCellStyle="Normal 2"/>
    <tableColumn id="12440" xr3:uid="{056F5CA4-92BF-4E96-B4EE-982070BB91A5}" name="Column12425" dataCellStyle="Normal 2"/>
    <tableColumn id="12441" xr3:uid="{35B893D5-21F7-4856-8B3C-1FFC1FF28862}" name="Column12426" dataCellStyle="Normal 2"/>
    <tableColumn id="12442" xr3:uid="{6B469534-22BA-4034-83E8-E4F4100B3B59}" name="Column12427" dataCellStyle="Normal 2"/>
    <tableColumn id="12443" xr3:uid="{C9FE64D2-958D-4806-90E4-916DAEFACAC9}" name="Column12428" dataCellStyle="Normal 2"/>
    <tableColumn id="12444" xr3:uid="{B6822E0C-B292-4D07-9A11-0F034E1B5D52}" name="Column12429" dataCellStyle="Normal 2"/>
    <tableColumn id="12445" xr3:uid="{E90C2273-59C3-48B2-9838-49B4290670D5}" name="Column12430" dataCellStyle="Normal 2"/>
    <tableColumn id="12446" xr3:uid="{F24EE9DF-29A2-480E-AFE6-A9BC9270B900}" name="Column12431" dataCellStyle="Normal 2"/>
    <tableColumn id="12447" xr3:uid="{03AF62D3-24E6-4A76-8A18-E8036DED575D}" name="Column12432" dataCellStyle="Normal 2"/>
    <tableColumn id="12448" xr3:uid="{1EF8C6AC-6FE7-4493-8A27-96652126F50E}" name="Column12433" dataCellStyle="Normal 2"/>
    <tableColumn id="12449" xr3:uid="{F41473B7-BD7A-43F8-A1FD-6FF145584D07}" name="Column12434" dataCellStyle="Normal 2"/>
    <tableColumn id="12450" xr3:uid="{62471291-28CE-461E-BBFE-5AFCF67E84A5}" name="Column12435" dataCellStyle="Normal 2"/>
    <tableColumn id="12451" xr3:uid="{7DA58132-4BF7-4D4F-898E-9659C91B3FE6}" name="Column12436" dataCellStyle="Normal 2"/>
    <tableColumn id="12452" xr3:uid="{919A3668-052A-4629-8392-193896857A43}" name="Column12437" dataCellStyle="Normal 2"/>
    <tableColumn id="12453" xr3:uid="{34E251C8-3F57-4575-9404-804B586968B9}" name="Column12438" dataCellStyle="Normal 2"/>
    <tableColumn id="12454" xr3:uid="{68DA7A0A-233E-4BF9-B13A-038DD7DE936D}" name="Column12439" dataCellStyle="Normal 2"/>
    <tableColumn id="12455" xr3:uid="{01FC1028-5258-4CC0-8FC6-A89C108C06E8}" name="Column12440" dataCellStyle="Normal 2"/>
    <tableColumn id="12456" xr3:uid="{8D7CA611-6EC5-47F7-B0E0-EF5556ECA21B}" name="Column12441" dataCellStyle="Normal 2"/>
    <tableColumn id="12457" xr3:uid="{BCA97632-EF89-4095-9FC2-283BCBD90494}" name="Column12442" dataCellStyle="Normal 2"/>
    <tableColumn id="12458" xr3:uid="{B6C485B0-9A32-48F1-8641-F8266066C805}" name="Column12443" dataCellStyle="Normal 2"/>
    <tableColumn id="12459" xr3:uid="{BE8E26E2-8F78-4F4C-84B9-80191E25B4E5}" name="Column12444" dataCellStyle="Normal 2"/>
    <tableColumn id="12460" xr3:uid="{8DDFB9EE-0256-460B-9C67-98E562CB495D}" name="Column12445" dataCellStyle="Normal 2"/>
    <tableColumn id="12461" xr3:uid="{0A3A93E2-3DA6-46D6-9E83-CBF3F95BC1A0}" name="Column12446" dataCellStyle="Normal 2"/>
    <tableColumn id="12462" xr3:uid="{97B35998-D615-444D-9B14-885B4BC7B3A5}" name="Column12447" dataCellStyle="Normal 2"/>
    <tableColumn id="12463" xr3:uid="{8D49DAC2-A76C-4CD5-8040-EA45F7C29E7E}" name="Column12448" dataCellStyle="Normal 2"/>
    <tableColumn id="12464" xr3:uid="{74B136D5-6727-418C-A302-78C958E8D726}" name="Column12449" dataCellStyle="Normal 2"/>
    <tableColumn id="12465" xr3:uid="{517C0924-C28B-406E-A7E3-105856851876}" name="Column12450" dataCellStyle="Normal 2"/>
    <tableColumn id="12466" xr3:uid="{691A7389-1E80-4304-9766-C91DC9A9D6AB}" name="Column12451" dataCellStyle="Normal 2"/>
    <tableColumn id="12467" xr3:uid="{7A1B5453-66AD-422D-9C9E-684057D5EC14}" name="Column12452" dataCellStyle="Normal 2"/>
    <tableColumn id="12468" xr3:uid="{FFB80F63-08EC-4F03-9C16-C9EBC03AB267}" name="Column12453" dataCellStyle="Normal 2"/>
    <tableColumn id="12469" xr3:uid="{3A7C1C87-3DD4-4358-9BE0-64F62A4F2252}" name="Column12454" dataCellStyle="Normal 2"/>
    <tableColumn id="12470" xr3:uid="{EA9482B4-9E8B-4A6D-9738-C47CC117A5E2}" name="Column12455" dataCellStyle="Normal 2"/>
    <tableColumn id="12471" xr3:uid="{BB7305E1-A784-4428-BAE8-FC8CF27CFF36}" name="Column12456" dataCellStyle="Normal 2"/>
    <tableColumn id="12472" xr3:uid="{D14E2F77-003F-47AB-9922-4CDC2EF0B6F9}" name="Column12457" dataCellStyle="Normal 2"/>
    <tableColumn id="12473" xr3:uid="{6601EB80-B0B8-4512-85B6-A98A2FCA4CAC}" name="Column12458" dataCellStyle="Normal 2"/>
    <tableColumn id="12474" xr3:uid="{811E54FD-5EAE-4F4E-9B80-A71B7E57F330}" name="Column12459" dataCellStyle="Normal 2"/>
    <tableColumn id="12475" xr3:uid="{98B8DB98-49A2-4666-ACBF-E9375E9EFDDC}" name="Column12460" dataCellStyle="Normal 2"/>
    <tableColumn id="12476" xr3:uid="{E5643F3B-56B4-4624-93C7-8EE3AFED09D1}" name="Column12461" dataCellStyle="Normal 2"/>
    <tableColumn id="12477" xr3:uid="{EBDAE2AA-6EF2-4109-BC1E-255672DA4B8D}" name="Column12462" dataCellStyle="Normal 2"/>
    <tableColumn id="12478" xr3:uid="{0918121D-B8B5-4393-A2D8-D6AF2BCC855A}" name="Column12463" dataCellStyle="Normal 2"/>
    <tableColumn id="12479" xr3:uid="{01EDFBD6-D803-457F-B342-8655F13A1C3B}" name="Column12464" dataCellStyle="Normal 2"/>
    <tableColumn id="12480" xr3:uid="{3593F742-3197-4E3D-B1FA-1459106C2424}" name="Column12465" dataCellStyle="Normal 2"/>
    <tableColumn id="12481" xr3:uid="{D870CFF7-58B7-4A47-A3EC-8E2F5B2AF7AE}" name="Column12466" dataCellStyle="Normal 2"/>
    <tableColumn id="12482" xr3:uid="{E1C9D674-6EDE-45FB-91A0-B9531D38552A}" name="Column12467" dataCellStyle="Normal 2"/>
    <tableColumn id="12483" xr3:uid="{0E92D0EE-A491-4E4B-882C-26698CF75191}" name="Column12468" dataCellStyle="Normal 2"/>
    <tableColumn id="12484" xr3:uid="{C8D9EAA6-4301-4732-97DB-DF483F50FEA6}" name="Column12469" dataCellStyle="Normal 2"/>
    <tableColumn id="12485" xr3:uid="{B6C40A60-6C2A-4043-AC57-A7062EB3AC24}" name="Column12470" dataCellStyle="Normal 2"/>
    <tableColumn id="12486" xr3:uid="{8BC5BCDB-9903-4185-BE49-81C1A540D331}" name="Column12471" dataCellStyle="Normal 2"/>
    <tableColumn id="12487" xr3:uid="{A1581735-595B-451F-8D3C-C62705B60131}" name="Column12472" dataCellStyle="Normal 2"/>
    <tableColumn id="12488" xr3:uid="{02AA84E1-9ECE-4B1D-9062-B6B846185C91}" name="Column12473" dataCellStyle="Normal 2"/>
    <tableColumn id="12489" xr3:uid="{8DF967B8-0135-40F2-B720-D1CA9DD4AEFD}" name="Column12474" dataCellStyle="Normal 2"/>
    <tableColumn id="12490" xr3:uid="{B5392E76-5412-4860-9844-2AB9C1930501}" name="Column12475" dataCellStyle="Normal 2"/>
    <tableColumn id="12491" xr3:uid="{E83014B6-028C-4190-91E9-FFF66A976CDB}" name="Column12476" dataCellStyle="Normal 2"/>
    <tableColumn id="12492" xr3:uid="{3AA7287B-40DF-4A51-9604-F6621E18AEBC}" name="Column12477" dataCellStyle="Normal 2"/>
    <tableColumn id="12493" xr3:uid="{62EAE71F-18F1-4567-8AC1-CEB56CAEBE4F}" name="Column12478" dataCellStyle="Normal 2"/>
    <tableColumn id="12494" xr3:uid="{DDD5264B-DF75-4057-BAF4-06C2FB6A0E21}" name="Column12479" dataCellStyle="Normal 2"/>
    <tableColumn id="12495" xr3:uid="{9D443BDA-E3F4-4649-98DF-9456FFD56301}" name="Column12480" dataCellStyle="Normal 2"/>
    <tableColumn id="12496" xr3:uid="{90A7F852-F230-450E-A4CF-37530EC60113}" name="Column12481" dataCellStyle="Normal 2"/>
    <tableColumn id="12497" xr3:uid="{B4783003-08CC-4746-8054-D308DB45461D}" name="Column12482" dataCellStyle="Normal 2"/>
    <tableColumn id="12498" xr3:uid="{656270B7-10DF-4E53-A962-5AC2CB3E883F}" name="Column12483" dataCellStyle="Normal 2"/>
    <tableColumn id="12499" xr3:uid="{2D032267-FB48-4A2E-B98C-EB751727E9AB}" name="Column12484" dataCellStyle="Normal 2"/>
    <tableColumn id="12500" xr3:uid="{2910E6EE-17AE-4BF2-9880-2790A33DC941}" name="Column12485" dataCellStyle="Normal 2"/>
    <tableColumn id="12501" xr3:uid="{F21BF150-2AAB-496A-B281-97073CD2B975}" name="Column12486" dataCellStyle="Normal 2"/>
    <tableColumn id="12502" xr3:uid="{F4D081C2-788D-4B56-B814-4E9B98880A56}" name="Column12487" dataCellStyle="Normal 2"/>
    <tableColumn id="12503" xr3:uid="{8A06A1B0-B56D-45DF-9E85-8AE4295607EE}" name="Column12488" dataCellStyle="Normal 2"/>
    <tableColumn id="12504" xr3:uid="{8ED66957-8909-4BED-AF26-AAF55E353A49}" name="Column12489" dataCellStyle="Normal 2"/>
    <tableColumn id="12505" xr3:uid="{28F921E0-6233-4E24-A873-45FB99801794}" name="Column12490" dataCellStyle="Normal 2"/>
    <tableColumn id="12506" xr3:uid="{B143B2C7-FA43-43AC-89EA-D6392742D36A}" name="Column12491" dataCellStyle="Normal 2"/>
    <tableColumn id="12507" xr3:uid="{EC91FFC2-36B4-4D60-BA0E-905782FDE766}" name="Column12492" dataCellStyle="Normal 2"/>
    <tableColumn id="12508" xr3:uid="{7F3FDB53-20C4-4CA6-AC73-A86CC8554D3E}" name="Column12493" dataCellStyle="Normal 2"/>
    <tableColumn id="12509" xr3:uid="{34F96EBD-0DD3-4751-B870-11AAD106DB49}" name="Column12494" dataCellStyle="Normal 2"/>
    <tableColumn id="12510" xr3:uid="{AAEBDFED-4CC6-44E7-8AEA-E370BEA56CD5}" name="Column12495" dataCellStyle="Normal 2"/>
    <tableColumn id="12511" xr3:uid="{FE96A5B1-64F1-4044-9790-BB1DDF64BFF7}" name="Column12496" dataCellStyle="Normal 2"/>
    <tableColumn id="12512" xr3:uid="{24F15AE9-9018-46EC-895D-008949166538}" name="Column12497" dataCellStyle="Normal 2"/>
    <tableColumn id="12513" xr3:uid="{B9E47592-CC5E-4572-99F9-C5875EE6763F}" name="Column12498" dataCellStyle="Normal 2"/>
    <tableColumn id="12514" xr3:uid="{E1F48B36-1407-40F5-B4FB-08018D8B62DA}" name="Column12499" dataCellStyle="Normal 2"/>
    <tableColumn id="12515" xr3:uid="{28A5E7BD-03C6-49DF-8D20-4A0393515E55}" name="Column12500" dataCellStyle="Normal 2"/>
    <tableColumn id="12516" xr3:uid="{6BCBA79B-2202-463A-9A11-7134DCFFECE4}" name="Column12501" dataCellStyle="Normal 2"/>
    <tableColumn id="12517" xr3:uid="{4B7FD10E-96B7-482C-AB2D-E186DB3B185A}" name="Column12502" dataCellStyle="Normal 2"/>
    <tableColumn id="12518" xr3:uid="{F85CED3F-5195-4F90-8611-B47A429C2E4B}" name="Column12503" dataCellStyle="Normal 2"/>
    <tableColumn id="12519" xr3:uid="{4A454225-FCE0-4A8F-8E97-7983C5AF7C5F}" name="Column12504" dataCellStyle="Normal 2"/>
    <tableColumn id="12520" xr3:uid="{EE5C10F1-0C4A-432B-80EA-42543F1071E1}" name="Column12505" dataCellStyle="Normal 2"/>
    <tableColumn id="12521" xr3:uid="{61510A32-5BC0-484E-B100-B0F6D0C77F20}" name="Column12506" dataCellStyle="Normal 2"/>
    <tableColumn id="12522" xr3:uid="{9139B967-F29C-427C-9020-9874F4FBFA81}" name="Column12507" dataCellStyle="Normal 2"/>
    <tableColumn id="12523" xr3:uid="{801CAA86-598C-40D4-9680-5AB6660703DD}" name="Column12508" dataCellStyle="Normal 2"/>
    <tableColumn id="12524" xr3:uid="{DBFA0D2B-7E2C-4D1B-8DC0-AE51F7FD45C1}" name="Column12509" dataCellStyle="Normal 2"/>
    <tableColumn id="12525" xr3:uid="{D99FB7B6-1B57-4545-88B4-B8827B7B3AE6}" name="Column12510" dataCellStyle="Normal 2"/>
    <tableColumn id="12526" xr3:uid="{A47BE9CE-EC09-4496-8B95-188AFA20C9B9}" name="Column12511" dataCellStyle="Normal 2"/>
    <tableColumn id="12527" xr3:uid="{23957D13-9E6A-43BF-8A6E-0A71D8A0CF5D}" name="Column12512" dataCellStyle="Normal 2"/>
    <tableColumn id="12528" xr3:uid="{ADAED7D2-6434-44E9-B62F-8670275C9D2B}" name="Column12513" dataCellStyle="Normal 2"/>
    <tableColumn id="12529" xr3:uid="{4AB26A61-E5E2-460B-8DF1-FB21B38DF557}" name="Column12514" dataCellStyle="Normal 2"/>
    <tableColumn id="12530" xr3:uid="{250EEA14-1714-46A8-AA66-43B254648A07}" name="Column12515" dataCellStyle="Normal 2"/>
    <tableColumn id="12531" xr3:uid="{B7314A64-C0E2-491E-B0B2-0D1EE3D4737A}" name="Column12516" dataCellStyle="Normal 2"/>
    <tableColumn id="12532" xr3:uid="{BC3C1B65-458A-473B-8C61-BE2B64186138}" name="Column12517" dataCellStyle="Normal 2"/>
    <tableColumn id="12533" xr3:uid="{1D216C7D-2C1D-4928-9247-E3C774CEAF0A}" name="Column12518" dataCellStyle="Normal 2"/>
    <tableColumn id="12534" xr3:uid="{80492908-0449-4234-884B-0C79BB273679}" name="Column12519" dataCellStyle="Normal 2"/>
    <tableColumn id="12535" xr3:uid="{D1BC5C18-EA32-49D7-B1BA-484BAF0C05E6}" name="Column12520" dataCellStyle="Normal 2"/>
    <tableColumn id="12536" xr3:uid="{2CC3061B-B4E5-42F9-8F90-F2D5E7F11B3B}" name="Column12521" dataCellStyle="Normal 2"/>
    <tableColumn id="12537" xr3:uid="{37B09961-7C6B-4A16-8DDB-0764E87E89DE}" name="Column12522" dataCellStyle="Normal 2"/>
    <tableColumn id="12538" xr3:uid="{AEF51333-AC86-4323-AC33-8F3F743B8E9F}" name="Column12523" dataCellStyle="Normal 2"/>
    <tableColumn id="12539" xr3:uid="{6894E8D9-E2E0-4A7B-89DD-2969205BB2DB}" name="Column12524" dataCellStyle="Normal 2"/>
    <tableColumn id="12540" xr3:uid="{5F42DE1E-D35C-4DCA-B2EE-63AF86CA8B31}" name="Column12525" dataCellStyle="Normal 2"/>
    <tableColumn id="12541" xr3:uid="{9A00C7DF-DA0D-450D-ACB7-ADB639CA653E}" name="Column12526" dataCellStyle="Normal 2"/>
    <tableColumn id="12542" xr3:uid="{3EE76571-70E8-4A00-BEAF-2E932AC796A4}" name="Column12527" dataCellStyle="Normal 2"/>
    <tableColumn id="12543" xr3:uid="{ED8B2959-ADFB-49B0-A74D-393EB7305328}" name="Column12528" dataCellStyle="Normal 2"/>
    <tableColumn id="12544" xr3:uid="{7DED5B4F-0B68-4462-A84A-90EBBDF83786}" name="Column12529" dataCellStyle="Normal 2"/>
    <tableColumn id="12545" xr3:uid="{793532EF-DF2E-4366-B00C-F77F38515307}" name="Column12530" dataCellStyle="Normal 2"/>
    <tableColumn id="12546" xr3:uid="{59BD3054-0875-4C01-B207-DFCF79818B44}" name="Column12531" dataCellStyle="Normal 2"/>
    <tableColumn id="12547" xr3:uid="{33B3EACA-2415-4F20-B3CC-CF37A399B348}" name="Column12532" dataCellStyle="Normal 2"/>
    <tableColumn id="12548" xr3:uid="{8D051706-9AFA-40B7-97A0-1287A45C3884}" name="Column12533" dataCellStyle="Normal 2"/>
    <tableColumn id="12549" xr3:uid="{6FF41D0A-84AA-4239-9641-4176A45224D3}" name="Column12534" dataCellStyle="Normal 2"/>
    <tableColumn id="12550" xr3:uid="{DB291007-79F6-404B-979D-914E183CD631}" name="Column12535" dataCellStyle="Normal 2"/>
    <tableColumn id="12551" xr3:uid="{74465CB1-92AD-482D-80C9-27D1054F0767}" name="Column12536" dataCellStyle="Normal 2"/>
    <tableColumn id="12552" xr3:uid="{2197B6E7-985F-41B3-80CB-00A91662BC21}" name="Column12537" dataCellStyle="Normal 2"/>
    <tableColumn id="12553" xr3:uid="{71B61243-8BAF-4CCD-A827-82295801E415}" name="Column12538" dataCellStyle="Normal 2"/>
    <tableColumn id="12554" xr3:uid="{4789EA0D-AB76-4063-940B-1D609A719FE2}" name="Column12539" dataCellStyle="Normal 2"/>
    <tableColumn id="12555" xr3:uid="{F5C45C51-F77F-45CD-B0DC-EE0FA0E01615}" name="Column12540" dataCellStyle="Normal 2"/>
    <tableColumn id="12556" xr3:uid="{B700F17F-14BC-42E2-9B46-175DF1CDEBD5}" name="Column12541" dataCellStyle="Normal 2"/>
    <tableColumn id="12557" xr3:uid="{C6F6E64A-B276-4D28-BB90-4E51ED0B85AF}" name="Column12542" dataCellStyle="Normal 2"/>
    <tableColumn id="12558" xr3:uid="{8CD34879-9EEF-4CBE-AB74-A1D52F7A401D}" name="Column12543" dataCellStyle="Normal 2"/>
    <tableColumn id="12559" xr3:uid="{9231C38A-A236-4EE3-96DD-AA51B1501E43}" name="Column12544" dataCellStyle="Normal 2"/>
    <tableColumn id="12560" xr3:uid="{58EA43EE-D80D-47DF-903A-590DADB8617E}" name="Column12545" dataCellStyle="Normal 2"/>
    <tableColumn id="12561" xr3:uid="{278656E3-4420-4A05-86EE-38FC855AF8F4}" name="Column12546" dataCellStyle="Normal 2"/>
    <tableColumn id="12562" xr3:uid="{5C036E28-B535-4C97-82DE-22E98745071A}" name="Column12547" dataCellStyle="Normal 2"/>
    <tableColumn id="12563" xr3:uid="{8CF76847-43F6-4A63-9973-57D37355ECD3}" name="Column12548" dataCellStyle="Normal 2"/>
    <tableColumn id="12564" xr3:uid="{3E8000F9-4821-43EC-87EC-3F97FB095666}" name="Column12549" dataCellStyle="Normal 2"/>
    <tableColumn id="12565" xr3:uid="{80960FD8-93BC-4907-A09A-A559E30A665F}" name="Column12550" dataCellStyle="Normal 2"/>
    <tableColumn id="12566" xr3:uid="{F6F37679-77E0-4315-A7E8-905A727BEB8F}" name="Column12551" dataCellStyle="Normal 2"/>
    <tableColumn id="12567" xr3:uid="{44FE33B6-6E79-4097-8952-8C2D088B4954}" name="Column12552" dataCellStyle="Normal 2"/>
    <tableColumn id="12568" xr3:uid="{963FC131-C19A-4ED2-A5CA-B1D2C6E4014F}" name="Column12553" dataCellStyle="Normal 2"/>
    <tableColumn id="12569" xr3:uid="{82FE8BDB-AA0E-4511-A634-4086A4394528}" name="Column12554" dataCellStyle="Normal 2"/>
    <tableColumn id="12570" xr3:uid="{8EDEA224-1CA2-4EAD-BBD9-53FFC1C3A262}" name="Column12555" dataCellStyle="Normal 2"/>
    <tableColumn id="12571" xr3:uid="{A45DE557-1CFE-4AF6-B784-3F53F2D09DF9}" name="Column12556" dataCellStyle="Normal 2"/>
    <tableColumn id="12572" xr3:uid="{136ECB29-EC8C-4673-8552-4FE904504F48}" name="Column12557" dataCellStyle="Normal 2"/>
    <tableColumn id="12573" xr3:uid="{5B3DBFFA-C22A-4D42-89C1-ADAAFC42017B}" name="Column12558" dataCellStyle="Normal 2"/>
    <tableColumn id="12574" xr3:uid="{55178B82-F6C2-49AE-8793-8618218263FC}" name="Column12559" dataCellStyle="Normal 2"/>
    <tableColumn id="12575" xr3:uid="{CD7237CE-91E3-4CFA-ABDE-30859A1F4EA5}" name="Column12560" dataCellStyle="Normal 2"/>
    <tableColumn id="12576" xr3:uid="{B7FDBF92-18EE-4D9A-A228-4B67781A5D26}" name="Column12561" dataCellStyle="Normal 2"/>
    <tableColumn id="12577" xr3:uid="{1E28310A-42A8-4293-9A71-75F6E5BDEAE2}" name="Column12562" dataCellStyle="Normal 2"/>
    <tableColumn id="12578" xr3:uid="{3922A84C-0E80-4382-8ECE-F201060FBFB2}" name="Column12563" dataCellStyle="Normal 2"/>
    <tableColumn id="12579" xr3:uid="{3B8722C5-BB01-4B12-B1C6-D399519A6B8C}" name="Column12564" dataCellStyle="Normal 2"/>
    <tableColumn id="12580" xr3:uid="{AE79F7F2-B00B-4BAA-90AE-7622E4E39B68}" name="Column12565" dataCellStyle="Normal 2"/>
    <tableColumn id="12581" xr3:uid="{31638E6C-4B16-498C-99EE-562BA687973F}" name="Column12566" dataCellStyle="Normal 2"/>
    <tableColumn id="12582" xr3:uid="{87391CBF-9511-43BE-8E73-8D2FA345BCDB}" name="Column12567" dataCellStyle="Normal 2"/>
    <tableColumn id="12583" xr3:uid="{E2393534-B035-47AE-892E-E9A0E3932A08}" name="Column12568" dataCellStyle="Normal 2"/>
    <tableColumn id="12584" xr3:uid="{C5FA3ABB-6B5D-4E08-90CA-B18C0F37F110}" name="Column12569" dataCellStyle="Normal 2"/>
    <tableColumn id="12585" xr3:uid="{78BFEFCA-958D-456E-B8AA-8B65999EFBF2}" name="Column12570" dataCellStyle="Normal 2"/>
    <tableColumn id="12586" xr3:uid="{06225646-5F33-461E-8EBB-C37E72D6EC92}" name="Column12571" dataCellStyle="Normal 2"/>
    <tableColumn id="12587" xr3:uid="{7276950E-625C-4A81-B2AB-3F9F42156ABB}" name="Column12572" dataCellStyle="Normal 2"/>
    <tableColumn id="12588" xr3:uid="{A09E5478-A22D-4BB1-894D-171C37D3F9DD}" name="Column12573" dataCellStyle="Normal 2"/>
    <tableColumn id="12589" xr3:uid="{9AB638DE-4789-4971-A159-EEBD2147A808}" name="Column12574" dataCellStyle="Normal 2"/>
    <tableColumn id="12590" xr3:uid="{FA130708-E359-4871-BB8D-FED006A00056}" name="Column12575" dataCellStyle="Normal 2"/>
    <tableColumn id="12591" xr3:uid="{06FD652F-B9C8-4333-B24F-91DAFEF5B787}" name="Column12576" dataCellStyle="Normal 2"/>
    <tableColumn id="12592" xr3:uid="{24C9D0D9-805E-444C-BE1F-D799F8281CEF}" name="Column12577" dataCellStyle="Normal 2"/>
    <tableColumn id="12593" xr3:uid="{7CB91A30-5DD3-4721-A6CC-B2B47010A75D}" name="Column12578" dataCellStyle="Normal 2"/>
    <tableColumn id="12594" xr3:uid="{8786CB56-DB11-451F-84C9-B34BE0A94A5B}" name="Column12579" dataCellStyle="Normal 2"/>
    <tableColumn id="12595" xr3:uid="{7CE04F88-4F9B-49EF-828B-C7AB2CDB461B}" name="Column12580" dataCellStyle="Normal 2"/>
    <tableColumn id="12596" xr3:uid="{C5696F87-D672-460C-BDEA-2AFEAA21BA1A}" name="Column12581" dataCellStyle="Normal 2"/>
    <tableColumn id="12597" xr3:uid="{4C3571C5-576F-4698-AE74-3B31D255D8C5}" name="Column12582" dataCellStyle="Normal 2"/>
    <tableColumn id="12598" xr3:uid="{714E43E5-6D97-40F6-B7C7-92A4677767B9}" name="Column12583" dataCellStyle="Normal 2"/>
    <tableColumn id="12599" xr3:uid="{32DA3A7C-0CAA-4EA7-9189-9B8DFBEE1E2C}" name="Column12584" dataCellStyle="Normal 2"/>
    <tableColumn id="12600" xr3:uid="{8153EFC3-636E-409D-8FF0-A8FC522EA186}" name="Column12585" dataCellStyle="Normal 2"/>
    <tableColumn id="12601" xr3:uid="{383E0BCF-C67B-443C-B999-BA742B0E2BFB}" name="Column12586" dataCellStyle="Normal 2"/>
    <tableColumn id="12602" xr3:uid="{DEFE8705-0494-4A8E-A3C0-F278C3A23031}" name="Column12587" dataCellStyle="Normal 2"/>
    <tableColumn id="12603" xr3:uid="{FA99C6C5-13D9-4533-92CD-13323B0BED64}" name="Column12588" dataCellStyle="Normal 2"/>
    <tableColumn id="12604" xr3:uid="{10843938-DB63-41CE-AB6D-93767B670D2B}" name="Column12589" dataCellStyle="Normal 2"/>
    <tableColumn id="12605" xr3:uid="{FF233F23-C3D0-4683-886F-CF870F3E7094}" name="Column12590" dataCellStyle="Normal 2"/>
    <tableColumn id="12606" xr3:uid="{A95C6472-ECB4-4DEC-9485-B3DEC5755734}" name="Column12591" dataCellStyle="Normal 2"/>
    <tableColumn id="12607" xr3:uid="{C37B65F0-E129-4C3A-9EB0-E493D56B3804}" name="Column12592" dataCellStyle="Normal 2"/>
    <tableColumn id="12608" xr3:uid="{BED1A6EB-BA23-4507-BB0E-879E9F8049DB}" name="Column12593" dataCellStyle="Normal 2"/>
    <tableColumn id="12609" xr3:uid="{780CB1B3-C1BD-4895-BC38-D391345B1814}" name="Column12594" dataCellStyle="Normal 2"/>
    <tableColumn id="12610" xr3:uid="{A7442476-2579-48D5-9891-46D1C9B2A8C5}" name="Column12595" dataCellStyle="Normal 2"/>
    <tableColumn id="12611" xr3:uid="{06004D79-AAAD-4D71-9411-DEE36BF826DC}" name="Column12596" dataCellStyle="Normal 2"/>
    <tableColumn id="12612" xr3:uid="{BE82CA23-8050-4E44-8072-5C6B20FAB7C4}" name="Column12597" dataCellStyle="Normal 2"/>
    <tableColumn id="12613" xr3:uid="{F9D491C3-8DF9-4168-82DF-75E3259368C8}" name="Column12598" dataCellStyle="Normal 2"/>
    <tableColumn id="12614" xr3:uid="{922EF2FF-B9CD-4B85-9A36-97E3A648284F}" name="Column12599" dataCellStyle="Normal 2"/>
    <tableColumn id="12615" xr3:uid="{A6711656-1487-4C2A-8B53-FE11D2DFA700}" name="Column12600" dataCellStyle="Normal 2"/>
    <tableColumn id="12616" xr3:uid="{E7D9EB87-BD7F-435D-8724-6ACB6F2D2119}" name="Column12601" dataCellStyle="Normal 2"/>
    <tableColumn id="12617" xr3:uid="{644640DD-1DF1-483C-9691-317AE89D6944}" name="Column12602" dataCellStyle="Normal 2"/>
    <tableColumn id="12618" xr3:uid="{502DF34F-F791-456C-BA93-B2F7EF289B14}" name="Column12603" dataCellStyle="Normal 2"/>
    <tableColumn id="12619" xr3:uid="{A7C5DB1F-1F54-42BB-98B4-72615632DB18}" name="Column12604" dataCellStyle="Normal 2"/>
    <tableColumn id="12620" xr3:uid="{16DA23EA-E8CB-42DE-9AE7-5BD615150575}" name="Column12605" dataCellStyle="Normal 2"/>
    <tableColumn id="12621" xr3:uid="{F45E1A13-76A6-4D67-BC63-ADB311F58F04}" name="Column12606" dataCellStyle="Normal 2"/>
    <tableColumn id="12622" xr3:uid="{685CA33F-7FB4-4ECE-BC8C-CB40F52B7B6C}" name="Column12607" dataCellStyle="Normal 2"/>
    <tableColumn id="12623" xr3:uid="{1A13731C-252B-400E-9645-58B40F24DBB1}" name="Column12608" dataCellStyle="Normal 2"/>
    <tableColumn id="12624" xr3:uid="{B18992D2-4F3A-478A-A974-1179AB2C33A5}" name="Column12609" dataCellStyle="Normal 2"/>
    <tableColumn id="12625" xr3:uid="{18EB788D-EE7C-4CC9-92E4-7C9D810D95C1}" name="Column12610" dataCellStyle="Normal 2"/>
    <tableColumn id="12626" xr3:uid="{471B81BF-A8A6-45F3-AF17-2BB98F9F1907}" name="Column12611" dataCellStyle="Normal 2"/>
    <tableColumn id="12627" xr3:uid="{2D7D6612-697F-4ED0-99D3-5194514DBFAC}" name="Column12612" dataCellStyle="Normal 2"/>
    <tableColumn id="12628" xr3:uid="{FB0F98E9-3BE5-4014-8EDE-3FA4ED076A30}" name="Column12613" dataCellStyle="Normal 2"/>
    <tableColumn id="12629" xr3:uid="{923996F4-8BDC-44FC-9564-A04E6AA8BE00}" name="Column12614" dataCellStyle="Normal 2"/>
    <tableColumn id="12630" xr3:uid="{34D92108-63BF-4DDC-85A7-56CAAD1D9C87}" name="Column12615" dataCellStyle="Normal 2"/>
    <tableColumn id="12631" xr3:uid="{A53C3164-7280-40F1-B5D6-A82C95B7DC21}" name="Column12616" dataCellStyle="Normal 2"/>
    <tableColumn id="12632" xr3:uid="{75BCDD85-95B1-4753-B4AB-4D7FDBA409BF}" name="Column12617" dataCellStyle="Normal 2"/>
    <tableColumn id="12633" xr3:uid="{62F9788F-B2EB-479F-8CDD-BE612C623985}" name="Column12618" dataCellStyle="Normal 2"/>
    <tableColumn id="12634" xr3:uid="{12F5B05B-42C4-4A0F-B7AB-EE04C416EFEC}" name="Column12619" dataCellStyle="Normal 2"/>
    <tableColumn id="12635" xr3:uid="{21067859-5FB7-492E-8037-DE44F18697C7}" name="Column12620" dataCellStyle="Normal 2"/>
    <tableColumn id="12636" xr3:uid="{7A492946-3FC4-4305-BCA7-71623AA476C3}" name="Column12621" dataCellStyle="Normal 2"/>
    <tableColumn id="12637" xr3:uid="{67896E0A-8855-408A-A704-A9CA4E3C7E71}" name="Column12622" dataCellStyle="Normal 2"/>
    <tableColumn id="12638" xr3:uid="{2C2A6FEF-EA5B-45AA-A268-168C049BA424}" name="Column12623" dataCellStyle="Normal 2"/>
    <tableColumn id="12639" xr3:uid="{1EBF4078-9DD8-4310-A47D-C131675DFDAC}" name="Column12624" dataCellStyle="Normal 2"/>
    <tableColumn id="12640" xr3:uid="{C9359000-3BCF-45AA-B983-D10703599F4E}" name="Column12625" dataCellStyle="Normal 2"/>
    <tableColumn id="12641" xr3:uid="{C23D84CC-30EE-4861-9160-E6B264DC760E}" name="Column12626" dataCellStyle="Normal 2"/>
    <tableColumn id="12642" xr3:uid="{EF9403A5-F0D9-4EC8-8656-0718F86A4762}" name="Column12627" dataCellStyle="Normal 2"/>
    <tableColumn id="12643" xr3:uid="{EF461FE9-FA22-4D51-B1B2-18E1CB94635F}" name="Column12628" dataCellStyle="Normal 2"/>
    <tableColumn id="12644" xr3:uid="{FF406125-6FE9-4C40-A674-FB7C13C2E379}" name="Column12629" dataCellStyle="Normal 2"/>
    <tableColumn id="12645" xr3:uid="{68DD49F1-A4BD-4FAC-8177-0C96F8942D9C}" name="Column12630" dataCellStyle="Normal 2"/>
    <tableColumn id="12646" xr3:uid="{50CD0E11-E2B9-4CDF-9690-4CF45548EC02}" name="Column12631" dataCellStyle="Normal 2"/>
    <tableColumn id="12647" xr3:uid="{04E71732-D7F7-4E41-85FC-A921426B8D9B}" name="Column12632" dataCellStyle="Normal 2"/>
    <tableColumn id="12648" xr3:uid="{5AF8E1A4-E5D7-4914-9F36-F3703A39B51C}" name="Column12633" dataCellStyle="Normal 2"/>
    <tableColumn id="12649" xr3:uid="{24A08729-91F3-4140-B4F3-1CA8CABF630A}" name="Column12634" dataCellStyle="Normal 2"/>
    <tableColumn id="12650" xr3:uid="{998A05CD-EE77-4137-9F60-CEE28FA28DBB}" name="Column12635" dataCellStyle="Normal 2"/>
    <tableColumn id="12651" xr3:uid="{904F52FF-A932-480E-A30D-25CCA515BAC0}" name="Column12636" dataCellStyle="Normal 2"/>
    <tableColumn id="12652" xr3:uid="{956D3391-CF17-4DB4-9452-672373818B50}" name="Column12637" dataCellStyle="Normal 2"/>
    <tableColumn id="12653" xr3:uid="{62EFE685-6C8D-40C4-93C9-D2E839D325DB}" name="Column12638" dataCellStyle="Normal 2"/>
    <tableColumn id="12654" xr3:uid="{86E78263-FBFD-46F8-A006-7F3D7901A7EA}" name="Column12639" dataCellStyle="Normal 2"/>
    <tableColumn id="12655" xr3:uid="{B333867D-EE33-4A52-B5EF-D278BA76B0C2}" name="Column12640" dataCellStyle="Normal 2"/>
    <tableColumn id="12656" xr3:uid="{CB1FA745-8E95-4531-8961-999E036FFE65}" name="Column12641" dataCellStyle="Normal 2"/>
    <tableColumn id="12657" xr3:uid="{766C2E01-CA8E-42F5-A53C-A3DA97E3A7DC}" name="Column12642" dataCellStyle="Normal 2"/>
    <tableColumn id="12658" xr3:uid="{3639323D-4D0B-4DF9-A4DA-08AEA876BD91}" name="Column12643" dataCellStyle="Normal 2"/>
    <tableColumn id="12659" xr3:uid="{DD57EF54-9840-49D9-B2F5-52F9E15655F2}" name="Column12644" dataCellStyle="Normal 2"/>
    <tableColumn id="12660" xr3:uid="{C58CDD1F-95CF-4E2D-BB12-743D0EDB8547}" name="Column12645" dataCellStyle="Normal 2"/>
    <tableColumn id="12661" xr3:uid="{CD003CB3-9876-4BD3-8A7C-08C59B9B3CEE}" name="Column12646" dataCellStyle="Normal 2"/>
    <tableColumn id="12662" xr3:uid="{27592940-2898-4911-B03E-ED5603938015}" name="Column12647" dataCellStyle="Normal 2"/>
    <tableColumn id="12663" xr3:uid="{FDA1BFCE-18F3-4447-989D-2818E2CC34E0}" name="Column12648" dataCellStyle="Normal 2"/>
    <tableColumn id="12664" xr3:uid="{9E9090E7-AEA6-4116-B95D-8EC5A58DEA04}" name="Column12649" dataCellStyle="Normal 2"/>
    <tableColumn id="12665" xr3:uid="{26DF3BE1-BCE8-494F-AEB1-12854B54C0BD}" name="Column12650" dataCellStyle="Normal 2"/>
    <tableColumn id="12666" xr3:uid="{4B749CE9-827A-4C4F-8F63-594E804C497A}" name="Column12651" dataCellStyle="Normal 2"/>
    <tableColumn id="12667" xr3:uid="{D75B4FB8-FFFC-4A99-9D64-7838B1469671}" name="Column12652" dataCellStyle="Normal 2"/>
    <tableColumn id="12668" xr3:uid="{EBCA4FED-A3FD-4074-84FE-22BB8C343671}" name="Column12653" dataCellStyle="Normal 2"/>
    <tableColumn id="12669" xr3:uid="{C9B85013-AA0E-4E5D-9977-8EDE07257165}" name="Column12654" dataCellStyle="Normal 2"/>
    <tableColumn id="12670" xr3:uid="{CD50F10B-758A-4A9D-A4D4-C7503FBE6675}" name="Column12655" dataCellStyle="Normal 2"/>
    <tableColumn id="12671" xr3:uid="{6D5A5F77-87DD-42D6-8933-13FE68280325}" name="Column12656" dataCellStyle="Normal 2"/>
    <tableColumn id="12672" xr3:uid="{5BE4D2B1-EB0E-4A50-B987-D8F85E8E4F24}" name="Column12657" dataCellStyle="Normal 2"/>
    <tableColumn id="12673" xr3:uid="{6D8F939D-A98A-4E00-82FF-9B2246F75984}" name="Column12658" dataCellStyle="Normal 2"/>
    <tableColumn id="12674" xr3:uid="{1EE25BEB-D8A9-44E4-A27A-591A550EE3E1}" name="Column12659" dataCellStyle="Normal 2"/>
    <tableColumn id="12675" xr3:uid="{DDD2BD0A-BD3B-44CE-9E19-F8E5D3C212FF}" name="Column12660" dataCellStyle="Normal 2"/>
    <tableColumn id="12676" xr3:uid="{6409451C-F5CD-48E1-A95F-3F813E338605}" name="Column12661" dataCellStyle="Normal 2"/>
    <tableColumn id="12677" xr3:uid="{3D6A3AC9-0418-4B84-8EA1-DA1816698D3A}" name="Column12662" dataCellStyle="Normal 2"/>
    <tableColumn id="12678" xr3:uid="{B2CF75E7-7E9D-45BD-BABF-516638ACD222}" name="Column12663" dataCellStyle="Normal 2"/>
    <tableColumn id="12679" xr3:uid="{BF849DF2-1F67-47F6-AA09-FA6D2E58BB44}" name="Column12664" dataCellStyle="Normal 2"/>
    <tableColumn id="12680" xr3:uid="{4FB43405-1A71-447B-B302-1279A6ED303F}" name="Column12665" dataCellStyle="Normal 2"/>
    <tableColumn id="12681" xr3:uid="{30860A00-10A5-4AA7-A8BD-33BB2F2C6175}" name="Column12666" dataCellStyle="Normal 2"/>
    <tableColumn id="12682" xr3:uid="{58DB91BF-537D-4FD6-9A89-E621CC60119F}" name="Column12667" dataCellStyle="Normal 2"/>
    <tableColumn id="12683" xr3:uid="{25FF54D6-9730-492B-B23A-509FF4F473CC}" name="Column12668" dataCellStyle="Normal 2"/>
    <tableColumn id="12684" xr3:uid="{C2AE1126-BBD4-434C-B02A-3DFBE01BAD9A}" name="Column12669" dataCellStyle="Normal 2"/>
    <tableColumn id="12685" xr3:uid="{DDE905FA-6B39-45BD-B4DD-EED0F7B77A71}" name="Column12670" dataCellStyle="Normal 2"/>
    <tableColumn id="12686" xr3:uid="{D23250B3-4D04-4C92-8B08-BFBEE3CA1E16}" name="Column12671" dataCellStyle="Normal 2"/>
    <tableColumn id="12687" xr3:uid="{1EBF32D4-62C9-40F1-9293-A8EB51B39D62}" name="Column12672" dataCellStyle="Normal 2"/>
    <tableColumn id="12688" xr3:uid="{19C44575-A0BA-45F7-9C12-F76B1F5026D0}" name="Column12673" dataCellStyle="Normal 2"/>
    <tableColumn id="12689" xr3:uid="{D3C708D7-6FE3-45C9-A03E-15A0EB07FDF5}" name="Column12674" dataCellStyle="Normal 2"/>
    <tableColumn id="12690" xr3:uid="{95B59A1D-C1B6-49BD-8A21-12F38F8B3E0D}" name="Column12675" dataCellStyle="Normal 2"/>
    <tableColumn id="12691" xr3:uid="{2158CFC7-62D1-4193-941B-008FE67E798B}" name="Column12676" dataCellStyle="Normal 2"/>
    <tableColumn id="12692" xr3:uid="{AE375760-B0ED-4C8C-BA08-CC04E3945AC1}" name="Column12677" dataCellStyle="Normal 2"/>
    <tableColumn id="12693" xr3:uid="{97C5EF34-D27B-441C-952B-877FD05E9FB8}" name="Column12678" dataCellStyle="Normal 2"/>
    <tableColumn id="12694" xr3:uid="{8FF2378E-ECBB-4273-A867-5E9717682B5D}" name="Column12679" dataCellStyle="Normal 2"/>
    <tableColumn id="12695" xr3:uid="{B7ECBD8A-AD50-48F7-BDB3-9AF005DE625D}" name="Column12680" dataCellStyle="Normal 2"/>
    <tableColumn id="12696" xr3:uid="{E9AD918F-F730-4488-B6F7-F5F6A617D854}" name="Column12681" dataCellStyle="Normal 2"/>
    <tableColumn id="12697" xr3:uid="{1A6404CF-9DC3-4FA8-BE00-23018276F30E}" name="Column12682" dataCellStyle="Normal 2"/>
    <tableColumn id="12698" xr3:uid="{49D04FB2-8999-4E64-81F8-A2A45BBBBD5A}" name="Column12683" dataCellStyle="Normal 2"/>
    <tableColumn id="12699" xr3:uid="{12366CC1-6BF6-4851-81FD-CB6E9279A67F}" name="Column12684" dataCellStyle="Normal 2"/>
    <tableColumn id="12700" xr3:uid="{8CEDCF44-8BE4-464A-83C4-7EA55EB70DA6}" name="Column12685" dataCellStyle="Normal 2"/>
    <tableColumn id="12701" xr3:uid="{6F711DBE-FECE-4905-AE2D-F7B0A651D208}" name="Column12686" dataCellStyle="Normal 2"/>
    <tableColumn id="12702" xr3:uid="{FE86D2B4-9A88-4809-955B-15684704D678}" name="Column12687" dataCellStyle="Normal 2"/>
    <tableColumn id="12703" xr3:uid="{72362867-E163-4B26-8288-1EE3B7814DEC}" name="Column12688" dataCellStyle="Normal 2"/>
    <tableColumn id="12704" xr3:uid="{07605F56-0E5E-460E-9C8F-D37229DDAA85}" name="Column12689" dataCellStyle="Normal 2"/>
    <tableColumn id="12705" xr3:uid="{78C5D523-B3F2-4375-9D00-2EA7D2E41C45}" name="Column12690" dataCellStyle="Normal 2"/>
    <tableColumn id="12706" xr3:uid="{53B100EE-06C1-4CBB-A0D6-81332FD2CDD1}" name="Column12691" dataCellStyle="Normal 2"/>
    <tableColumn id="12707" xr3:uid="{56C8FAA8-A2F4-4C54-B768-56D9A6F21AF3}" name="Column12692" dataCellStyle="Normal 2"/>
    <tableColumn id="12708" xr3:uid="{5C54559D-86E0-4AE5-97E3-A72ADFC6105F}" name="Column12693" dataCellStyle="Normal 2"/>
    <tableColumn id="12709" xr3:uid="{95E65027-5BFE-4D2C-A57D-B76FC5F9CDC5}" name="Column12694" dataCellStyle="Normal 2"/>
    <tableColumn id="12710" xr3:uid="{880E30F4-96B9-4FC5-8FE3-762AE0A620D5}" name="Column12695" dataCellStyle="Normal 2"/>
    <tableColumn id="12711" xr3:uid="{94F3BF23-56CE-468A-A262-4CEB5EC3F10A}" name="Column12696" dataCellStyle="Normal 2"/>
    <tableColumn id="12712" xr3:uid="{95C2C110-93F4-4BBF-88B0-8712AC189F28}" name="Column12697" dataCellStyle="Normal 2"/>
    <tableColumn id="12713" xr3:uid="{48FC8023-1709-4710-8450-0EA8FB07CFFB}" name="Column12698" dataCellStyle="Normal 2"/>
    <tableColumn id="12714" xr3:uid="{4DBD85B5-52BD-4CE7-B71E-5E8493076B5D}" name="Column12699" dataCellStyle="Normal 2"/>
    <tableColumn id="12715" xr3:uid="{4A986D72-8586-4C83-8617-2B8E31E0005A}" name="Column12700" dataCellStyle="Normal 2"/>
    <tableColumn id="12716" xr3:uid="{991D6B04-822C-46C3-AAE3-D6B5A4397565}" name="Column12701" dataCellStyle="Normal 2"/>
    <tableColumn id="12717" xr3:uid="{0D844531-EDD9-47E1-8261-BF289E482BA6}" name="Column12702" dataCellStyle="Normal 2"/>
    <tableColumn id="12718" xr3:uid="{6A93FCE7-3C54-41A2-8FD9-BB312820830F}" name="Column12703" dataCellStyle="Normal 2"/>
    <tableColumn id="12719" xr3:uid="{69D6F046-B547-43A8-BA28-FA8F842D419F}" name="Column12704" dataCellStyle="Normal 2"/>
    <tableColumn id="12720" xr3:uid="{E87F59F2-054A-4AD3-94B3-5652BA3F682B}" name="Column12705" dataCellStyle="Normal 2"/>
    <tableColumn id="12721" xr3:uid="{4B6E2923-0D16-4B95-8BA7-8BECF6FF6159}" name="Column12706" dataCellStyle="Normal 2"/>
    <tableColumn id="12722" xr3:uid="{E37B35FE-2646-48CA-8AC3-81BBF08C9879}" name="Column12707" dataCellStyle="Normal 2"/>
    <tableColumn id="12723" xr3:uid="{65AEA86C-4670-4B5A-800D-48F16975A261}" name="Column12708" dataCellStyle="Normal 2"/>
    <tableColumn id="12724" xr3:uid="{BB9200CE-F685-462A-AFF1-616BC26BDBA1}" name="Column12709" dataCellStyle="Normal 2"/>
    <tableColumn id="12725" xr3:uid="{C3FCCB61-4522-435E-9AA3-2EED55DBDC04}" name="Column12710" dataCellStyle="Normal 2"/>
    <tableColumn id="12726" xr3:uid="{BD8903CD-8664-4A91-9B04-86DB5C1640E9}" name="Column12711" dataCellStyle="Normal 2"/>
    <tableColumn id="12727" xr3:uid="{00F22D6B-3CDE-4BD0-B96D-16FBA02D3FFB}" name="Column12712" dataCellStyle="Normal 2"/>
    <tableColumn id="12728" xr3:uid="{ABF61745-5464-49EF-99C5-6EE67ED0623C}" name="Column12713" dataCellStyle="Normal 2"/>
    <tableColumn id="12729" xr3:uid="{7B048464-8024-441E-AE79-FDDBD30F5436}" name="Column12714" dataCellStyle="Normal 2"/>
    <tableColumn id="12730" xr3:uid="{C095980B-F50D-4184-9C57-49F30E14A3A2}" name="Column12715" dataCellStyle="Normal 2"/>
    <tableColumn id="12731" xr3:uid="{EE89B007-C23E-4862-A563-78BF863391D4}" name="Column12716" dataCellStyle="Normal 2"/>
    <tableColumn id="12732" xr3:uid="{387C9EBA-2653-4ECB-BFE8-AFE0BF6D96D1}" name="Column12717" dataCellStyle="Normal 2"/>
    <tableColumn id="12733" xr3:uid="{9BA97BD6-33F9-4961-94EB-20593B260A63}" name="Column12718" dataCellStyle="Normal 2"/>
    <tableColumn id="12734" xr3:uid="{0D111B75-0DEB-4B4C-8AC5-23595EEB187C}" name="Column12719" dataCellStyle="Normal 2"/>
    <tableColumn id="12735" xr3:uid="{8836B27E-009F-4661-8773-BF7E8F72185C}" name="Column12720" dataCellStyle="Normal 2"/>
    <tableColumn id="12736" xr3:uid="{BE2B5752-CC4C-4676-8020-83A4767A1B87}" name="Column12721" dataCellStyle="Normal 2"/>
    <tableColumn id="12737" xr3:uid="{7C226420-05CB-45F9-8DFC-657B91865597}" name="Column12722" dataCellStyle="Normal 2"/>
    <tableColumn id="12738" xr3:uid="{BCE95567-20D8-4EEC-9CE6-7FA5018F4416}" name="Column12723" dataCellStyle="Normal 2"/>
    <tableColumn id="12739" xr3:uid="{5E48D996-FC62-4131-A922-3DFD42D3EAD3}" name="Column12724" dataCellStyle="Normal 2"/>
    <tableColumn id="12740" xr3:uid="{996E7F63-5800-47B1-81F4-F03696DFE907}" name="Column12725" dataCellStyle="Normal 2"/>
    <tableColumn id="12741" xr3:uid="{C05D6622-0156-40AD-AF03-5568B11618F6}" name="Column12726" dataCellStyle="Normal 2"/>
    <tableColumn id="12742" xr3:uid="{AC4CBCF8-7E6E-4A95-ADBE-327A28A05908}" name="Column12727" dataCellStyle="Normal 2"/>
    <tableColumn id="12743" xr3:uid="{B982E367-8F6F-43B3-A7ED-8138CF4FB379}" name="Column12728" dataCellStyle="Normal 2"/>
    <tableColumn id="12744" xr3:uid="{5AC2E0B1-CF95-4E50-8AC0-5B89EFB63303}" name="Column12729" dataCellStyle="Normal 2"/>
    <tableColumn id="12745" xr3:uid="{770FA894-94C6-4AFC-9AE3-B12C933B79C8}" name="Column12730" dataCellStyle="Normal 2"/>
    <tableColumn id="12746" xr3:uid="{A26E5F90-FA2A-401D-B119-7E6026F7D657}" name="Column12731" dataCellStyle="Normal 2"/>
    <tableColumn id="12747" xr3:uid="{D8756FD4-DDFA-4DC6-88D7-AE07FF71A7B1}" name="Column12732" dataCellStyle="Normal 2"/>
    <tableColumn id="12748" xr3:uid="{5FA22E18-D997-48B6-9F9A-D4F3C035F399}" name="Column12733" dataCellStyle="Normal 2"/>
    <tableColumn id="12749" xr3:uid="{ED02C671-4275-4A4C-AE0B-1BC9F282201C}" name="Column12734" dataCellStyle="Normal 2"/>
    <tableColumn id="12750" xr3:uid="{06AC845E-5337-4C11-A5F0-10FCD5AB0C8C}" name="Column12735" dataCellStyle="Normal 2"/>
    <tableColumn id="12751" xr3:uid="{6357B7FA-E310-4D96-8D2B-3D8E989BE261}" name="Column12736" dataCellStyle="Normal 2"/>
    <tableColumn id="12752" xr3:uid="{3835162B-9BE9-49D1-B20B-EE8AF3742B0E}" name="Column12737" dataCellStyle="Normal 2"/>
    <tableColumn id="12753" xr3:uid="{09104927-5CDA-40B2-83AF-548008F136BB}" name="Column12738" dataCellStyle="Normal 2"/>
    <tableColumn id="12754" xr3:uid="{7560065C-FC3A-47E7-85ED-17EC8C357EF9}" name="Column12739" dataCellStyle="Normal 2"/>
    <tableColumn id="12755" xr3:uid="{55E2E9B6-1C4D-4219-BB28-20CA7146196C}" name="Column12740" dataCellStyle="Normal 2"/>
    <tableColumn id="12756" xr3:uid="{35AABBF4-0F53-44AC-9D8E-E34A842611A8}" name="Column12741" dataCellStyle="Normal 2"/>
    <tableColumn id="12757" xr3:uid="{F2B28ADF-400E-495E-A6C8-B83AADE88596}" name="Column12742" dataCellStyle="Normal 2"/>
    <tableColumn id="12758" xr3:uid="{3F71844E-D0F9-4D95-815A-A84E00E7C891}" name="Column12743" dataCellStyle="Normal 2"/>
    <tableColumn id="12759" xr3:uid="{2382453B-80AB-4664-BEB4-81131A0F25BD}" name="Column12744" dataCellStyle="Normal 2"/>
    <tableColumn id="12760" xr3:uid="{16BA6D82-AB60-483D-934B-E73120013CE8}" name="Column12745" dataCellStyle="Normal 2"/>
    <tableColumn id="12761" xr3:uid="{37DEFA95-CDB9-4CDE-A243-35AB94F27DE9}" name="Column12746" dataCellStyle="Normal 2"/>
    <tableColumn id="12762" xr3:uid="{EBD9DE03-D73E-4879-9B63-3E26801940DD}" name="Column12747" dataCellStyle="Normal 2"/>
    <tableColumn id="12763" xr3:uid="{BA408B7A-C635-4276-97D7-2CEEC8955D18}" name="Column12748" dataCellStyle="Normal 2"/>
    <tableColumn id="12764" xr3:uid="{2DED2FE1-F7D3-4E5B-81D1-EDF34C80C768}" name="Column12749" dataCellStyle="Normal 2"/>
    <tableColumn id="12765" xr3:uid="{587EEC2C-3D9F-474C-A068-B4FB467209E3}" name="Column12750" dataCellStyle="Normal 2"/>
    <tableColumn id="12766" xr3:uid="{415D7997-742C-468F-8922-3C2C7B391D3B}" name="Column12751" dataCellStyle="Normal 2"/>
    <tableColumn id="12767" xr3:uid="{E72C9A0C-E262-4D6F-8950-8E0D9BFCE1CD}" name="Column12752" dataCellStyle="Normal 2"/>
    <tableColumn id="12768" xr3:uid="{1B906CCF-4187-4153-968C-E1DE66563B04}" name="Column12753" dataCellStyle="Normal 2"/>
    <tableColumn id="12769" xr3:uid="{FDA5D16F-7304-4126-A95E-5C4B0F6808A1}" name="Column12754" dataCellStyle="Normal 2"/>
    <tableColumn id="12770" xr3:uid="{456F7044-9A44-4256-BBCF-74C07B3A225C}" name="Column12755" dataCellStyle="Normal 2"/>
    <tableColumn id="12771" xr3:uid="{B2D38722-7EB8-4FDB-ADD2-3A5792F670CC}" name="Column12756" dataCellStyle="Normal 2"/>
    <tableColumn id="12772" xr3:uid="{32024C29-038B-44D7-BEA9-ABD913DD584B}" name="Column12757" dataCellStyle="Normal 2"/>
    <tableColumn id="12773" xr3:uid="{403BB637-2C86-480A-B8EF-5358A505E12E}" name="Column12758" dataCellStyle="Normal 2"/>
    <tableColumn id="12774" xr3:uid="{868B5D30-E187-4802-8571-667C5F267161}" name="Column12759" dataCellStyle="Normal 2"/>
    <tableColumn id="12775" xr3:uid="{B3FAB806-B9D3-459A-BC9B-D14EFEC2B280}" name="Column12760" dataCellStyle="Normal 2"/>
    <tableColumn id="12776" xr3:uid="{2F5C6F0B-8DDF-4C31-9EB5-D6D0EDEC5A28}" name="Column12761" dataCellStyle="Normal 2"/>
    <tableColumn id="12777" xr3:uid="{AD9F7490-2C7A-4133-B013-60047E4C506E}" name="Column12762" dataCellStyle="Normal 2"/>
    <tableColumn id="12778" xr3:uid="{FCA22903-C329-4C59-831F-2AF6745FE3A1}" name="Column12763" dataCellStyle="Normal 2"/>
    <tableColumn id="12779" xr3:uid="{4D12D3D5-A8D6-4206-8CFC-6BCCB99663A2}" name="Column12764" dataCellStyle="Normal 2"/>
    <tableColumn id="12780" xr3:uid="{033EECA7-C7A0-4B1B-B084-2EAD4DADC43A}" name="Column12765" dataCellStyle="Normal 2"/>
    <tableColumn id="12781" xr3:uid="{F7BE9438-EB10-4BD4-BAF6-66F3D171E35E}" name="Column12766" dataCellStyle="Normal 2"/>
    <tableColumn id="12782" xr3:uid="{37971B66-E37D-40E4-AA7A-3416D85C1AE7}" name="Column12767" dataCellStyle="Normal 2"/>
    <tableColumn id="12783" xr3:uid="{917FD35D-DB6E-4110-AA12-8AED81D48313}" name="Column12768" dataCellStyle="Normal 2"/>
    <tableColumn id="12784" xr3:uid="{6F8283E8-5320-4B6E-93A1-CAC315B52817}" name="Column12769" dataCellStyle="Normal 2"/>
    <tableColumn id="12785" xr3:uid="{235DD9E0-2DAD-49EF-BEEB-8C08A8499724}" name="Column12770" dataCellStyle="Normal 2"/>
    <tableColumn id="12786" xr3:uid="{10C3A701-A05A-4D4E-9B93-CFEB7B7B4F7B}" name="Column12771" dataCellStyle="Normal 2"/>
    <tableColumn id="12787" xr3:uid="{6335F719-6C86-4F55-86E2-7F8FDD185953}" name="Column12772" dataCellStyle="Normal 2"/>
    <tableColumn id="12788" xr3:uid="{9D6AD997-1514-455A-B58A-E84015A6EF2B}" name="Column12773" dataCellStyle="Normal 2"/>
    <tableColumn id="12789" xr3:uid="{C86312E7-2850-4EA3-94D9-176423B7676B}" name="Column12774" dataCellStyle="Normal 2"/>
    <tableColumn id="12790" xr3:uid="{3CEBE30D-3403-4E46-A003-5F2EA11D68FB}" name="Column12775" dataCellStyle="Normal 2"/>
    <tableColumn id="12791" xr3:uid="{2315156B-FE17-44BD-9EA0-172C87C81036}" name="Column12776" dataCellStyle="Normal 2"/>
    <tableColumn id="12792" xr3:uid="{0EBBA392-83B9-4E9D-B869-764B4410933D}" name="Column12777" dataCellStyle="Normal 2"/>
    <tableColumn id="12793" xr3:uid="{42DD2DD0-BD6C-4BB4-B8CD-D41A6E7DE98C}" name="Column12778" dataCellStyle="Normal 2"/>
    <tableColumn id="12794" xr3:uid="{445D0E4E-6791-4C51-A5C1-4974889027EE}" name="Column12779" dataCellStyle="Normal 2"/>
    <tableColumn id="12795" xr3:uid="{EC23A5B9-7AE2-4033-9C0D-14D18BF0717C}" name="Column12780" dataCellStyle="Normal 2"/>
    <tableColumn id="12796" xr3:uid="{B5B7EB5B-1043-4E16-91BC-DA9912A7E38F}" name="Column12781" dataCellStyle="Normal 2"/>
    <tableColumn id="12797" xr3:uid="{7CE52A25-D484-4415-AFAA-0C85FE66C32C}" name="Column12782" dataCellStyle="Normal 2"/>
    <tableColumn id="12798" xr3:uid="{0131D17E-D633-49F5-BA26-5FEA4FEF8CE2}" name="Column12783" dataCellStyle="Normal 2"/>
    <tableColumn id="12799" xr3:uid="{F20C1161-8147-4562-9B06-16DB253938E7}" name="Column12784" dataCellStyle="Normal 2"/>
    <tableColumn id="12800" xr3:uid="{75B9092A-51BF-4A18-B50C-0A3B1DB8B700}" name="Column12785" dataCellStyle="Normal 2"/>
    <tableColumn id="12801" xr3:uid="{179610CF-4376-4815-93E4-4D302D48BEA4}" name="Column12786" dataCellStyle="Normal 2"/>
    <tableColumn id="12802" xr3:uid="{D9077E75-E520-48A6-AC0F-F6ACE42AE905}" name="Column12787" dataCellStyle="Normal 2"/>
    <tableColumn id="12803" xr3:uid="{69AFBED3-3C76-4AFB-8F12-E8E4E3B4205B}" name="Column12788" dataCellStyle="Normal 2"/>
    <tableColumn id="12804" xr3:uid="{1CF3F2EC-6350-42A1-B563-E67F441BF931}" name="Column12789" dataCellStyle="Normal 2"/>
    <tableColumn id="12805" xr3:uid="{1286B9D3-7FBF-4ACF-84AC-CC4681BEDC61}" name="Column12790" dataCellStyle="Normal 2"/>
    <tableColumn id="12806" xr3:uid="{0388AE14-FE5E-452C-BC22-8822C858CDF6}" name="Column12791" dataCellStyle="Normal 2"/>
    <tableColumn id="12807" xr3:uid="{E0D998F8-AC63-4DCD-B04C-0018D1A89455}" name="Column12792" dataCellStyle="Normal 2"/>
    <tableColumn id="12808" xr3:uid="{D77C596C-877B-4894-BC3B-A1DBB3936CFE}" name="Column12793" dataCellStyle="Normal 2"/>
    <tableColumn id="12809" xr3:uid="{F892FBC0-E096-49F7-BF7D-319073966B4F}" name="Column12794" dataCellStyle="Normal 2"/>
    <tableColumn id="12810" xr3:uid="{B4AFAA87-4BD0-4C79-ADA6-572E153F10C4}" name="Column12795" dataCellStyle="Normal 2"/>
    <tableColumn id="12811" xr3:uid="{A0C01E9A-E8E7-4673-AF08-5BE71B3D10A1}" name="Column12796" dataCellStyle="Normal 2"/>
    <tableColumn id="12812" xr3:uid="{0B5571F3-521A-4575-B877-8A7A982EF4BF}" name="Column12797" dataCellStyle="Normal 2"/>
    <tableColumn id="12813" xr3:uid="{86249F2A-FDCA-4C94-99EB-86ECC24CAAE4}" name="Column12798" dataCellStyle="Normal 2"/>
    <tableColumn id="12814" xr3:uid="{E1623637-F0CB-4A13-8DDC-D8E0EF62ADD2}" name="Column12799" dataCellStyle="Normal 2"/>
    <tableColumn id="12815" xr3:uid="{6CC59E1C-D322-4420-8EA0-C779D6AFBF91}" name="Column12800" dataCellStyle="Normal 2"/>
    <tableColumn id="12816" xr3:uid="{CB026E16-14A0-49B1-AEED-11DB44FD35CA}" name="Column12801" dataCellStyle="Normal 2"/>
    <tableColumn id="12817" xr3:uid="{79D56F3F-DD42-4FEB-A145-EB7256AD19C1}" name="Column12802" dataCellStyle="Normal 2"/>
    <tableColumn id="12818" xr3:uid="{BF18BCBA-CA9F-4876-9FA9-E304F07305AA}" name="Column12803" dataCellStyle="Normal 2"/>
    <tableColumn id="12819" xr3:uid="{E26AC6C2-D3C2-40A9-AFDD-B1E58C87B1AF}" name="Column12804" dataCellStyle="Normal 2"/>
    <tableColumn id="12820" xr3:uid="{700390F9-F29C-4B4E-8341-2C63EEA98AC5}" name="Column12805" dataCellStyle="Normal 2"/>
    <tableColumn id="12821" xr3:uid="{E957EEDF-18DE-46EA-95E2-13CFA1AB5351}" name="Column12806" dataCellStyle="Normal 2"/>
    <tableColumn id="12822" xr3:uid="{1F8B2051-EE52-4BFC-B057-5B04A7666052}" name="Column12807" dataCellStyle="Normal 2"/>
    <tableColumn id="12823" xr3:uid="{C08C1BD5-9C9F-48A5-9CA0-81F7E8AE9FF0}" name="Column12808" dataCellStyle="Normal 2"/>
    <tableColumn id="12824" xr3:uid="{5F4FF792-B719-4CBA-A03A-70C2BD38AD1D}" name="Column12809" dataCellStyle="Normal 2"/>
    <tableColumn id="12825" xr3:uid="{F1FE32FF-43DF-486B-8BB2-908DBD873962}" name="Column12810" dataCellStyle="Normal 2"/>
    <tableColumn id="12826" xr3:uid="{C1ABCE0C-CE13-4E4F-9B73-D50ED261994B}" name="Column12811" dataCellStyle="Normal 2"/>
    <tableColumn id="12827" xr3:uid="{28509B68-F09E-4ECA-8B10-49DE38673E27}" name="Column12812" dataCellStyle="Normal 2"/>
    <tableColumn id="12828" xr3:uid="{52921AEB-8BA1-41C2-96B4-18CF08798C72}" name="Column12813" dataCellStyle="Normal 2"/>
    <tableColumn id="12829" xr3:uid="{0763944F-FD4B-4E63-AB21-604DD10A94C6}" name="Column12814" dataCellStyle="Normal 2"/>
    <tableColumn id="12830" xr3:uid="{A0EFFAB5-6768-4AAB-BB83-63060F79E53F}" name="Column12815" dataCellStyle="Normal 2"/>
    <tableColumn id="12831" xr3:uid="{4C21195B-984B-4605-A305-0FD8EC1F3BD9}" name="Column12816" dataCellStyle="Normal 2"/>
    <tableColumn id="12832" xr3:uid="{6840D3EB-BAD8-4D77-9953-E4F58A5AE80A}" name="Column12817" dataCellStyle="Normal 2"/>
    <tableColumn id="12833" xr3:uid="{E259E50A-0C60-4A00-BC80-6549D7C704C6}" name="Column12818" dataCellStyle="Normal 2"/>
    <tableColumn id="12834" xr3:uid="{F5DEAE4F-2D82-4049-A648-0605FD6555E7}" name="Column12819" dataCellStyle="Normal 2"/>
    <tableColumn id="12835" xr3:uid="{B7007477-7EF7-4315-A53B-6A13D660F6BA}" name="Column12820" dataCellStyle="Normal 2"/>
    <tableColumn id="12836" xr3:uid="{5F796F84-8601-4D40-8A7C-8D7002E8ED08}" name="Column12821" dataCellStyle="Normal 2"/>
    <tableColumn id="12837" xr3:uid="{6A2A1C53-02B5-43C9-8443-70890D81ACD4}" name="Column12822" dataCellStyle="Normal 2"/>
    <tableColumn id="12838" xr3:uid="{29023062-B487-451C-92A2-E1F9C3C63C19}" name="Column12823" dataCellStyle="Normal 2"/>
    <tableColumn id="12839" xr3:uid="{1A12EB00-1C58-49FD-B720-2D23E7507760}" name="Column12824" dataCellStyle="Normal 2"/>
    <tableColumn id="12840" xr3:uid="{BD6FE88E-C122-42EE-AC99-36B1F86318F6}" name="Column12825" dataCellStyle="Normal 2"/>
    <tableColumn id="12841" xr3:uid="{4904D420-3E22-4E21-88F1-7BD0A1562C10}" name="Column12826" dataCellStyle="Normal 2"/>
    <tableColumn id="12842" xr3:uid="{E1C7D928-4F5D-4943-9077-8507AB77E7A8}" name="Column12827" dataCellStyle="Normal 2"/>
    <tableColumn id="12843" xr3:uid="{A0F6143B-2B4C-4C1C-96D9-756DA4510CD5}" name="Column12828" dataCellStyle="Normal 2"/>
    <tableColumn id="12844" xr3:uid="{633C2C94-4E50-46A4-A359-27012037362C}" name="Column12829" dataCellStyle="Normal 2"/>
    <tableColumn id="12845" xr3:uid="{37E4ED44-0D5C-4854-AD9C-4C1084DBC892}" name="Column12830" dataCellStyle="Normal 2"/>
    <tableColumn id="12846" xr3:uid="{C8B1CE6D-D666-4ECA-BBE2-3F5AA32D71D6}" name="Column12831" dataCellStyle="Normal 2"/>
    <tableColumn id="12847" xr3:uid="{AD305519-2DBE-441A-A32A-CBFB648A337B}" name="Column12832" dataCellStyle="Normal 2"/>
    <tableColumn id="12848" xr3:uid="{5C80E7BC-2767-427C-810E-A24F02EA4DD9}" name="Column12833" dataCellStyle="Normal 2"/>
    <tableColumn id="12849" xr3:uid="{5B429CB1-151E-4379-8098-2768AFC1E938}" name="Column12834" dataCellStyle="Normal 2"/>
    <tableColumn id="12850" xr3:uid="{76BD58D9-5CB6-430C-A6A9-15FBCDEE40A4}" name="Column12835" dataCellStyle="Normal 2"/>
    <tableColumn id="12851" xr3:uid="{FA226FEA-2E2F-4609-BA9D-2D42A2495965}" name="Column12836" dataCellStyle="Normal 2"/>
    <tableColumn id="12852" xr3:uid="{036D5DF8-07CC-4437-9815-F66E3870608A}" name="Column12837" dataCellStyle="Normal 2"/>
    <tableColumn id="12853" xr3:uid="{33035A45-AFD6-4BBE-8CC9-D16EE09CDDDE}" name="Column12838" dataCellStyle="Normal 2"/>
    <tableColumn id="12854" xr3:uid="{B8640461-9280-404C-A754-4CD51EB250D6}" name="Column12839" dataCellStyle="Normal 2"/>
    <tableColumn id="12855" xr3:uid="{77E37184-71AC-4712-9455-5A82D4895939}" name="Column12840" dataCellStyle="Normal 2"/>
    <tableColumn id="12856" xr3:uid="{6F43BB5A-7E6C-46B3-88EA-717259DC88E6}" name="Column12841" dataCellStyle="Normal 2"/>
    <tableColumn id="12857" xr3:uid="{EB3C4BAC-8D29-430B-ACE2-86FCA0C72434}" name="Column12842" dataCellStyle="Normal 2"/>
    <tableColumn id="12858" xr3:uid="{DD7C6131-D273-4791-BA73-4BAF27DA8A8D}" name="Column12843" dataCellStyle="Normal 2"/>
    <tableColumn id="12859" xr3:uid="{CD7A6D4D-FDDB-42DB-BA7F-1968A5873590}" name="Column12844" dataCellStyle="Normal 2"/>
    <tableColumn id="12860" xr3:uid="{E3F1CC74-32F4-45DE-84CC-30780D35A0B1}" name="Column12845" dataCellStyle="Normal 2"/>
    <tableColumn id="12861" xr3:uid="{AAE69118-C012-4F13-8A22-89A807C63C85}" name="Column12846" dataCellStyle="Normal 2"/>
    <tableColumn id="12862" xr3:uid="{F2E35F7E-F555-4B3E-A587-B43FAC25D2FE}" name="Column12847" dataCellStyle="Normal 2"/>
    <tableColumn id="12863" xr3:uid="{162DDE4E-2DEE-4187-AE01-770B2614A4DD}" name="Column12848" dataCellStyle="Normal 2"/>
    <tableColumn id="12864" xr3:uid="{7D069786-EB6C-4E82-ABBC-46BD0C123234}" name="Column12849" dataCellStyle="Normal 2"/>
    <tableColumn id="12865" xr3:uid="{E79C54C1-5EF6-45D0-BC78-AE8F3FBEEE92}" name="Column12850" dataCellStyle="Normal 2"/>
    <tableColumn id="12866" xr3:uid="{DAA2FC89-3105-4AC3-8023-CC5040E10998}" name="Column12851" dataCellStyle="Normal 2"/>
    <tableColumn id="12867" xr3:uid="{2F3BD437-BD8D-45C2-A803-EF28AD4E1DE2}" name="Column12852" dataCellStyle="Normal 2"/>
    <tableColumn id="12868" xr3:uid="{5BF42733-544F-4209-8035-E80D5B1C083D}" name="Column12853" dataCellStyle="Normal 2"/>
    <tableColumn id="12869" xr3:uid="{30399989-5C5D-4C3A-BA98-C1A6F9BA8993}" name="Column12854" dataCellStyle="Normal 2"/>
    <tableColumn id="12870" xr3:uid="{2EA91519-4CCD-4F0D-BBF9-5B2341399E80}" name="Column12855" dataCellStyle="Normal 2"/>
    <tableColumn id="12871" xr3:uid="{62CC51F4-EB11-448C-B70E-E0BF6B0CF320}" name="Column12856" dataCellStyle="Normal 2"/>
    <tableColumn id="12872" xr3:uid="{70C7B6D9-60AE-4754-95E4-B0E6D9A14C59}" name="Column12857" dataCellStyle="Normal 2"/>
    <tableColumn id="12873" xr3:uid="{1BBC08A2-B274-4B22-AF9E-39A239F28967}" name="Column12858" dataCellStyle="Normal 2"/>
    <tableColumn id="12874" xr3:uid="{572387AE-8BDA-4149-A1CD-0C0A4B48C1AD}" name="Column12859" dataCellStyle="Normal 2"/>
    <tableColumn id="12875" xr3:uid="{B34C94D3-0462-4C51-BD69-E8130D10269F}" name="Column12860" dataCellStyle="Normal 2"/>
    <tableColumn id="12876" xr3:uid="{FEB2CCC1-0ECA-4A01-B205-E4A13E4068D6}" name="Column12861" dataCellStyle="Normal 2"/>
    <tableColumn id="12877" xr3:uid="{4C8237CB-5BFC-43F8-BA54-AE5CDE8F3F9E}" name="Column12862" dataCellStyle="Normal 2"/>
    <tableColumn id="12878" xr3:uid="{BC297C08-57EB-4B62-93AC-D5AFA35DED14}" name="Column12863" dataCellStyle="Normal 2"/>
    <tableColumn id="12879" xr3:uid="{8EF934BE-5C89-440D-B336-D530290647B8}" name="Column12864" dataCellStyle="Normal 2"/>
    <tableColumn id="12880" xr3:uid="{C9C1A784-19AD-4883-AB71-1B748DC298DF}" name="Column12865" dataCellStyle="Normal 2"/>
    <tableColumn id="12881" xr3:uid="{1E10BC7C-3368-48B6-8AD8-867E52BBEE3A}" name="Column12866" dataCellStyle="Normal 2"/>
    <tableColumn id="12882" xr3:uid="{7BAC522C-E926-4471-B5B0-7832F9ED43E2}" name="Column12867" dataCellStyle="Normal 2"/>
    <tableColumn id="12883" xr3:uid="{045DA137-076A-42FE-827B-81096B65503E}" name="Column12868" dataCellStyle="Normal 2"/>
    <tableColumn id="12884" xr3:uid="{A4D52F92-DD27-4B40-ACB5-2E8D3677655F}" name="Column12869" dataCellStyle="Normal 2"/>
    <tableColumn id="12885" xr3:uid="{EF3DC7B1-2B18-43E4-8333-F112F3514187}" name="Column12870" dataCellStyle="Normal 2"/>
    <tableColumn id="12886" xr3:uid="{6C319C98-6E0E-4694-B6BB-85C0A7133974}" name="Column12871" dataCellStyle="Normal 2"/>
    <tableColumn id="12887" xr3:uid="{380713F8-354B-49C6-9FDB-55C15B914681}" name="Column12872" dataCellStyle="Normal 2"/>
    <tableColumn id="12888" xr3:uid="{FAED8231-6128-46FB-82E0-408E726699C0}" name="Column12873" dataCellStyle="Normal 2"/>
    <tableColumn id="12889" xr3:uid="{496A91C7-E581-4BCD-A1CE-87586CC9D7F1}" name="Column12874" dataCellStyle="Normal 2"/>
    <tableColumn id="12890" xr3:uid="{63647614-458B-407A-8207-8512AFA2BB81}" name="Column12875" dataCellStyle="Normal 2"/>
    <tableColumn id="12891" xr3:uid="{5E45CE2C-648D-4D50-9E6A-909392D682FD}" name="Column12876" dataCellStyle="Normal 2"/>
    <tableColumn id="12892" xr3:uid="{CBD631F7-1F04-4E15-9221-BCF9C3682C47}" name="Column12877" dataCellStyle="Normal 2"/>
    <tableColumn id="12893" xr3:uid="{E6FB545C-83AF-4644-841A-4663695BB602}" name="Column12878" dataCellStyle="Normal 2"/>
    <tableColumn id="12894" xr3:uid="{035F44CB-86CC-426F-898B-D63E3A41A2E0}" name="Column12879" dataCellStyle="Normal 2"/>
    <tableColumn id="12895" xr3:uid="{C3FEF937-93CF-4EB1-AAF2-98B11B682259}" name="Column12880" dataCellStyle="Normal 2"/>
    <tableColumn id="12896" xr3:uid="{B5332C27-30C4-4BFA-A83D-F9545F9384AD}" name="Column12881" dataCellStyle="Normal 2"/>
    <tableColumn id="12897" xr3:uid="{569AFD95-9BE6-4618-9DF5-A0E52F12E27D}" name="Column12882" dataCellStyle="Normal 2"/>
    <tableColumn id="12898" xr3:uid="{60980509-92F4-4784-8302-7BEEB8F62448}" name="Column12883" dataCellStyle="Normal 2"/>
    <tableColumn id="12899" xr3:uid="{EFCBFBB5-F548-4993-9F67-B8A77B154EEF}" name="Column12884" dataCellStyle="Normal 2"/>
    <tableColumn id="12900" xr3:uid="{142CE4FD-E395-4E8C-B824-CB6DB55E9298}" name="Column12885" dataCellStyle="Normal 2"/>
    <tableColumn id="12901" xr3:uid="{BAB6956D-A5C5-4F58-B191-8A75ED7FB0F5}" name="Column12886" dataCellStyle="Normal 2"/>
    <tableColumn id="12902" xr3:uid="{8842DC03-A63A-4D9C-A5E2-3E2CB7B0E530}" name="Column12887" dataCellStyle="Normal 2"/>
    <tableColumn id="12903" xr3:uid="{88BAE42C-F96F-494D-823B-A5EA009DB1D4}" name="Column12888" dataCellStyle="Normal 2"/>
    <tableColumn id="12904" xr3:uid="{B4B10411-0B5A-43B7-98C3-EB7ED9D5D3EF}" name="Column12889" dataCellStyle="Normal 2"/>
    <tableColumn id="12905" xr3:uid="{C39CC9C9-E86F-4DB0-AB00-3627BA94DC65}" name="Column12890" dataCellStyle="Normal 2"/>
    <tableColumn id="12906" xr3:uid="{855D88B4-79AA-4A6A-8082-86F27E85E46E}" name="Column12891" dataCellStyle="Normal 2"/>
    <tableColumn id="12907" xr3:uid="{C4B55077-6C15-468D-92EF-25179C65D0B4}" name="Column12892" dataCellStyle="Normal 2"/>
    <tableColumn id="12908" xr3:uid="{4089A7C7-88AC-42CA-9826-DBFB6341B841}" name="Column12893" dataCellStyle="Normal 2"/>
    <tableColumn id="12909" xr3:uid="{FF6BF6DE-D02B-46B2-80F6-EAB1A12DE420}" name="Column12894" dataCellStyle="Normal 2"/>
    <tableColumn id="12910" xr3:uid="{0197623C-4B6E-4EF3-8372-214D518D5785}" name="Column12895" dataCellStyle="Normal 2"/>
    <tableColumn id="12911" xr3:uid="{B18D8F8C-A81E-4DD6-838F-BE43995CA572}" name="Column12896" dataCellStyle="Normal 2"/>
    <tableColumn id="12912" xr3:uid="{DBF77E62-C603-431E-AAB1-B827B573698D}" name="Column12897" dataCellStyle="Normal 2"/>
    <tableColumn id="12913" xr3:uid="{964AB4DF-2388-44D8-B985-6BC32887DDB6}" name="Column12898" dataCellStyle="Normal 2"/>
    <tableColumn id="12914" xr3:uid="{14099B35-AFFA-401D-B9FC-CFBEEC16F5A8}" name="Column12899" dataCellStyle="Normal 2"/>
    <tableColumn id="12915" xr3:uid="{6A1D0874-1132-4B0F-8EB5-33DCE912DBDC}" name="Column12900" dataCellStyle="Normal 2"/>
    <tableColumn id="12916" xr3:uid="{B44AFAB7-387A-4F97-BD76-4BC871934632}" name="Column12901" dataCellStyle="Normal 2"/>
    <tableColumn id="12917" xr3:uid="{7FD9B8D7-339B-4D83-A84B-EBF7AA176D61}" name="Column12902" dataCellStyle="Normal 2"/>
    <tableColumn id="12918" xr3:uid="{C5E3133C-16E7-4B46-943E-7D9CD4E573E2}" name="Column12903" dataCellStyle="Normal 2"/>
    <tableColumn id="12919" xr3:uid="{44ED2472-3047-43AE-B0EA-23B5FA36612F}" name="Column12904" dataCellStyle="Normal 2"/>
    <tableColumn id="12920" xr3:uid="{55AF7458-CF6B-4693-996C-2FB61A63A62E}" name="Column12905" dataCellStyle="Normal 2"/>
    <tableColumn id="12921" xr3:uid="{8583B33E-2595-4ADF-88F4-516DE1D382C1}" name="Column12906" dataCellStyle="Normal 2"/>
    <tableColumn id="12922" xr3:uid="{E15E3CE3-7422-483B-A8F5-80298CF127E2}" name="Column12907" dataCellStyle="Normal 2"/>
    <tableColumn id="12923" xr3:uid="{5ABADEFA-1FE5-4474-A992-B602467B1D8F}" name="Column12908" dataCellStyle="Normal 2"/>
    <tableColumn id="12924" xr3:uid="{FA76CF84-A0E4-4323-A914-D80B1022AB91}" name="Column12909" dataCellStyle="Normal 2"/>
    <tableColumn id="12925" xr3:uid="{6E359831-0DBF-4458-B842-329C263E8A52}" name="Column12910" dataCellStyle="Normal 2"/>
    <tableColumn id="12926" xr3:uid="{2233AF87-08CF-454A-9807-8ED571CEBFE2}" name="Column12911" dataCellStyle="Normal 2"/>
    <tableColumn id="12927" xr3:uid="{DCD5D852-8D75-401A-A820-3EB5D5545CAD}" name="Column12912" dataCellStyle="Normal 2"/>
    <tableColumn id="12928" xr3:uid="{B544D4E8-6638-437C-ADC8-28251601FFC9}" name="Column12913" dataCellStyle="Normal 2"/>
    <tableColumn id="12929" xr3:uid="{4896C74C-B6A3-49AA-AE6A-34C84E24E651}" name="Column12914" dataCellStyle="Normal 2"/>
    <tableColumn id="12930" xr3:uid="{B487FB95-17FC-464C-BE5E-FA2C4AFF80AC}" name="Column12915" dataCellStyle="Normal 2"/>
    <tableColumn id="12931" xr3:uid="{C64418CF-1AEB-434C-B781-FD23904B1AD3}" name="Column12916" dataCellStyle="Normal 2"/>
    <tableColumn id="12932" xr3:uid="{56DB1C4F-5D25-4762-A059-7AB0808E896E}" name="Column12917" dataCellStyle="Normal 2"/>
    <tableColumn id="12933" xr3:uid="{56E3E5DD-BD6F-4D1C-BA6E-53313A0CE200}" name="Column12918" dataCellStyle="Normal 2"/>
    <tableColumn id="12934" xr3:uid="{5FEF5032-507B-45B3-A9BF-82162F49FFC5}" name="Column12919" dataCellStyle="Normal 2"/>
    <tableColumn id="12935" xr3:uid="{B0AF036C-DAB2-42FA-99ED-7E1A111DE8C9}" name="Column12920" dataCellStyle="Normal 2"/>
    <tableColumn id="12936" xr3:uid="{59BCBDF2-4603-4640-B87E-CDE5AEF5BD75}" name="Column12921" dataCellStyle="Normal 2"/>
    <tableColumn id="12937" xr3:uid="{09A350EC-886E-44C6-961D-53E27A366340}" name="Column12922" dataCellStyle="Normal 2"/>
    <tableColumn id="12938" xr3:uid="{F117B4C8-E077-4E27-9DAC-9D7E672C9948}" name="Column12923" dataCellStyle="Normal 2"/>
    <tableColumn id="12939" xr3:uid="{F1898854-BDD1-4D9B-99BF-B0EACA95C200}" name="Column12924" dataCellStyle="Normal 2"/>
    <tableColumn id="12940" xr3:uid="{5B0B3029-206D-4623-A632-03947BE6D490}" name="Column12925" dataCellStyle="Normal 2"/>
    <tableColumn id="12941" xr3:uid="{7C7B24F7-287E-4167-84B2-63150D4AC118}" name="Column12926" dataCellStyle="Normal 2"/>
    <tableColumn id="12942" xr3:uid="{181CA602-15EE-4322-BC9B-3295CC611234}" name="Column12927" dataCellStyle="Normal 2"/>
    <tableColumn id="12943" xr3:uid="{332FE33C-8737-490E-A4B9-F283F412E1DF}" name="Column12928" dataCellStyle="Normal 2"/>
    <tableColumn id="12944" xr3:uid="{2DE03C65-15F8-456F-A8FB-226470F022B1}" name="Column12929" dataCellStyle="Normal 2"/>
    <tableColumn id="12945" xr3:uid="{E1475432-68F5-4E79-BB8E-0B46727907F9}" name="Column12930" dataCellStyle="Normal 2"/>
    <tableColumn id="12946" xr3:uid="{823AE148-34D8-405D-9160-0ED821B4B260}" name="Column12931" dataCellStyle="Normal 2"/>
    <tableColumn id="12947" xr3:uid="{D481023F-587C-43EB-BBAC-255C602C5EE7}" name="Column12932" dataCellStyle="Normal 2"/>
    <tableColumn id="12948" xr3:uid="{E8CDB34B-45AF-4006-858D-C8520B7E9ACE}" name="Column12933" dataCellStyle="Normal 2"/>
    <tableColumn id="12949" xr3:uid="{4E24C11C-B270-4CCA-B2D4-9708288EAB1A}" name="Column12934" dataCellStyle="Normal 2"/>
    <tableColumn id="12950" xr3:uid="{BC36EF10-2771-4DCA-A8DC-ED3D9A5A4F31}" name="Column12935" dataCellStyle="Normal 2"/>
    <tableColumn id="12951" xr3:uid="{839992BD-ECC7-4C6E-9A8D-6AF61F149C45}" name="Column12936" dataCellStyle="Normal 2"/>
    <tableColumn id="12952" xr3:uid="{8C1C2BDA-C3C2-4FC2-995B-A8C3B004049C}" name="Column12937" dataCellStyle="Normal 2"/>
    <tableColumn id="12953" xr3:uid="{BD98A784-B645-4A13-AAF9-78F043DFD60A}" name="Column12938" dataCellStyle="Normal 2"/>
    <tableColumn id="12954" xr3:uid="{C23AE61E-196D-47C4-BDD5-E19BF146195B}" name="Column12939" dataCellStyle="Normal 2"/>
    <tableColumn id="12955" xr3:uid="{74A38724-EB76-48CF-8856-27A7FDB52E99}" name="Column12940" dataCellStyle="Normal 2"/>
    <tableColumn id="12956" xr3:uid="{40A75860-68DF-4880-9D7B-EEB5953F03E9}" name="Column12941" dataCellStyle="Normal 2"/>
    <tableColumn id="12957" xr3:uid="{94010BC5-A35F-4B96-9D46-BD31FB8DAAA7}" name="Column12942" dataCellStyle="Normal 2"/>
    <tableColumn id="12958" xr3:uid="{42985FAA-C294-49F9-8B6B-8BCBA1959A1F}" name="Column12943" dataCellStyle="Normal 2"/>
    <tableColumn id="12959" xr3:uid="{1C0C292A-B706-4E64-97BF-A25EF593D284}" name="Column12944" dataCellStyle="Normal 2"/>
    <tableColumn id="12960" xr3:uid="{0B73107D-75E9-4897-8881-C70C90C19F00}" name="Column12945" dataCellStyle="Normal 2"/>
    <tableColumn id="12961" xr3:uid="{CE816B12-FBDF-4288-9B6B-E79F025BB327}" name="Column12946" dataCellStyle="Normal 2"/>
    <tableColumn id="12962" xr3:uid="{FFC2F361-6AD8-40A7-8DFA-8CE08B464435}" name="Column12947" dataCellStyle="Normal 2"/>
    <tableColumn id="12963" xr3:uid="{7E5761E8-45B1-4D6E-9B8E-20AD76C58A18}" name="Column12948" dataCellStyle="Normal 2"/>
    <tableColumn id="12964" xr3:uid="{69E66B37-7D62-42B0-B88B-8FC1D84F7CB8}" name="Column12949" dataCellStyle="Normal 2"/>
    <tableColumn id="12965" xr3:uid="{5C6F6FFC-D001-4B7A-BD37-3354C42C256C}" name="Column12950" dataCellStyle="Normal 2"/>
    <tableColumn id="12966" xr3:uid="{66E9F32A-71E6-43D4-A013-908F40F0E815}" name="Column12951" dataCellStyle="Normal 2"/>
    <tableColumn id="12967" xr3:uid="{D389FC7E-A024-4BB4-948A-AFAAB3210933}" name="Column12952" dataCellStyle="Normal 2"/>
    <tableColumn id="12968" xr3:uid="{300426C2-0AEB-47E3-8E98-AE79FF381BA5}" name="Column12953" dataCellStyle="Normal 2"/>
    <tableColumn id="12969" xr3:uid="{1DA02E37-43F8-44EE-B613-F864C56FE918}" name="Column12954" dataCellStyle="Normal 2"/>
    <tableColumn id="12970" xr3:uid="{016BF3C5-D350-4E77-A49E-A54CDCFC29E0}" name="Column12955" dataCellStyle="Normal 2"/>
    <tableColumn id="12971" xr3:uid="{700C2F5C-A9B1-4FF7-9539-CC45EC0F122F}" name="Column12956" dataCellStyle="Normal 2"/>
    <tableColumn id="12972" xr3:uid="{88D6CC94-C582-41A2-B7A8-0C577959F0E6}" name="Column12957" dataCellStyle="Normal 2"/>
    <tableColumn id="12973" xr3:uid="{8D01EF2B-4AFC-4C76-9A12-B21F309BC5C2}" name="Column12958" dataCellStyle="Normal 2"/>
    <tableColumn id="12974" xr3:uid="{88F8DD6F-276C-436C-8DF5-BCF6FF746893}" name="Column12959" dataCellStyle="Normal 2"/>
    <tableColumn id="12975" xr3:uid="{D875F4C8-7AAF-4C5D-946C-5CAE1AB42AA4}" name="Column12960" dataCellStyle="Normal 2"/>
    <tableColumn id="12976" xr3:uid="{84DD40E4-8A70-48A6-8EAF-85AD18BD718E}" name="Column12961" dataCellStyle="Normal 2"/>
    <tableColumn id="12977" xr3:uid="{E2B38F4F-E311-4FFD-83E9-66FFB880CFC5}" name="Column12962" dataCellStyle="Normal 2"/>
    <tableColumn id="12978" xr3:uid="{BF38CB47-4EB7-4AD1-8490-007DC1239DB4}" name="Column12963" dataCellStyle="Normal 2"/>
    <tableColumn id="12979" xr3:uid="{BCFA0211-4E54-4312-B561-0BC264E05581}" name="Column12964" dataCellStyle="Normal 2"/>
    <tableColumn id="12980" xr3:uid="{DBCCF521-A996-43B0-A53F-61F918F0A32E}" name="Column12965" dataCellStyle="Normal 2"/>
    <tableColumn id="12981" xr3:uid="{4C6CDB70-CB1E-4068-AEA6-EF7B812A54AC}" name="Column12966" dataCellStyle="Normal 2"/>
    <tableColumn id="12982" xr3:uid="{7254487A-8FAF-41D9-963A-457680A2D6B4}" name="Column12967" dataCellStyle="Normal 2"/>
    <tableColumn id="12983" xr3:uid="{7BB916E1-7BB0-4203-A4A7-5C1A2495EF09}" name="Column12968" dataCellStyle="Normal 2"/>
    <tableColumn id="12984" xr3:uid="{012EB61B-8A4F-4E7E-9A9C-A592B7B8F81B}" name="Column12969" dataCellStyle="Normal 2"/>
    <tableColumn id="12985" xr3:uid="{DE84F323-047C-44D0-AB15-9F596E0D414B}" name="Column12970" dataCellStyle="Normal 2"/>
    <tableColumn id="12986" xr3:uid="{3E813AE3-4C82-4C0E-BBFA-95B5EF38BE1A}" name="Column12971" dataCellStyle="Normal 2"/>
    <tableColumn id="12987" xr3:uid="{E579FD2B-F533-4DE9-B463-CD86F717C8E2}" name="Column12972" dataCellStyle="Normal 2"/>
    <tableColumn id="12988" xr3:uid="{094F3CFC-DE32-478D-99F9-96412C228CF6}" name="Column12973" dataCellStyle="Normal 2"/>
    <tableColumn id="12989" xr3:uid="{F72B1CEC-1C5B-4863-B080-261EC63C7B07}" name="Column12974" dataCellStyle="Normal 2"/>
    <tableColumn id="12990" xr3:uid="{0786E59B-2B54-4D60-8CCC-4AC70E93C690}" name="Column12975" dataCellStyle="Normal 2"/>
    <tableColumn id="12991" xr3:uid="{24E7CE5F-BF3B-41C2-A994-9E034CE99BD8}" name="Column12976" dataCellStyle="Normal 2"/>
    <tableColumn id="12992" xr3:uid="{D2F6C669-89F2-49F9-AA4A-3FAA80C0226F}" name="Column12977" dataCellStyle="Normal 2"/>
    <tableColumn id="12993" xr3:uid="{410330BE-7362-4EA6-804E-98920EF00DB1}" name="Column12978" dataCellStyle="Normal 2"/>
    <tableColumn id="12994" xr3:uid="{4189035E-603B-4D7E-8A7C-812735D28FBE}" name="Column12979" dataCellStyle="Normal 2"/>
    <tableColumn id="12995" xr3:uid="{F6D1CD82-7532-4CB6-B3DE-EC68163086E9}" name="Column12980" dataCellStyle="Normal 2"/>
    <tableColumn id="12996" xr3:uid="{A3DF363C-00C7-4B20-981F-30BAEB35748C}" name="Column12981" dataCellStyle="Normal 2"/>
    <tableColumn id="12997" xr3:uid="{6EE858DF-B77D-461E-88E0-873236A4A209}" name="Column12982" dataCellStyle="Normal 2"/>
    <tableColumn id="12998" xr3:uid="{BD334B5C-7E5B-4969-9925-F68C672475FC}" name="Column12983" dataCellStyle="Normal 2"/>
    <tableColumn id="12999" xr3:uid="{43535201-F514-4F67-91D1-78EC0D4F767F}" name="Column12984" dataCellStyle="Normal 2"/>
    <tableColumn id="13000" xr3:uid="{A991D766-310A-4D8A-A0A4-E16403D0F306}" name="Column12985" dataCellStyle="Normal 2"/>
    <tableColumn id="13001" xr3:uid="{ABFCAB08-E7A3-4A58-90B8-AC4D6D48B48E}" name="Column12986" dataCellStyle="Normal 2"/>
    <tableColumn id="13002" xr3:uid="{E6A7444B-A111-423C-B988-603FC457E804}" name="Column12987" dataCellStyle="Normal 2"/>
    <tableColumn id="13003" xr3:uid="{C220E9F4-7CA7-4798-8D57-148003B45074}" name="Column12988" dataCellStyle="Normal 2"/>
    <tableColumn id="13004" xr3:uid="{5FCD1BF6-4DFE-4AEA-BFB3-24D55519DBC4}" name="Column12989" dataCellStyle="Normal 2"/>
    <tableColumn id="13005" xr3:uid="{53092048-9B60-458D-B638-DB780E900EFC}" name="Column12990" dataCellStyle="Normal 2"/>
    <tableColumn id="13006" xr3:uid="{9F695005-EB2D-4430-AD7E-DC58CFA06794}" name="Column12991" dataCellStyle="Normal 2"/>
    <tableColumn id="13007" xr3:uid="{445C99AA-C7B1-4E58-B5DC-52A52D6AAB4A}" name="Column12992" dataCellStyle="Normal 2"/>
    <tableColumn id="13008" xr3:uid="{1DC1FCC2-0271-4376-ACAA-8886AF29270E}" name="Column12993" dataCellStyle="Normal 2"/>
    <tableColumn id="13009" xr3:uid="{5D6625F1-06C5-413C-8209-2E11EA2B7889}" name="Column12994" dataCellStyle="Normal 2"/>
    <tableColumn id="13010" xr3:uid="{5DC0F0BD-8CA0-4085-8B3A-E9B1C26B16FA}" name="Column12995" dataCellStyle="Normal 2"/>
    <tableColumn id="13011" xr3:uid="{C071A5B9-2998-4745-AA97-F51E635E5A4E}" name="Column12996" dataCellStyle="Normal 2"/>
    <tableColumn id="13012" xr3:uid="{189F5EB6-79E0-4CE9-8690-611F98F7965D}" name="Column12997" dataCellStyle="Normal 2"/>
    <tableColumn id="13013" xr3:uid="{077A3105-9E59-4A86-A632-EB85B6D7591F}" name="Column12998" dataCellStyle="Normal 2"/>
    <tableColumn id="13014" xr3:uid="{03B88F0C-5A20-40A1-82FE-93447B0FC422}" name="Column12999" dataCellStyle="Normal 2"/>
    <tableColumn id="13015" xr3:uid="{4299E15E-9DB4-4E88-A3CB-587D5328CA71}" name="Column13000" dataCellStyle="Normal 2"/>
    <tableColumn id="13016" xr3:uid="{678CDDBF-C286-4F91-971E-379BFDD08D53}" name="Column13001" dataCellStyle="Normal 2"/>
    <tableColumn id="13017" xr3:uid="{34B4E18F-60EE-4E73-8BD5-5C13A8E6810D}" name="Column13002" dataCellStyle="Normal 2"/>
    <tableColumn id="13018" xr3:uid="{850E5032-604F-4289-ADB4-06010625FA30}" name="Column13003" dataCellStyle="Normal 2"/>
    <tableColumn id="13019" xr3:uid="{DFB1D639-9520-4863-AB64-77A4DA941266}" name="Column13004" dataCellStyle="Normal 2"/>
    <tableColumn id="13020" xr3:uid="{8EB4A0D8-E837-458B-95D7-F5A3AEC6D7B1}" name="Column13005" dataCellStyle="Normal 2"/>
    <tableColumn id="13021" xr3:uid="{C520A12E-10BA-49E7-9D2D-DE3226E9ADDB}" name="Column13006" dataCellStyle="Normal 2"/>
    <tableColumn id="13022" xr3:uid="{7F543DCD-D556-4774-8190-14A1F856C8E8}" name="Column13007" dataCellStyle="Normal 2"/>
    <tableColumn id="13023" xr3:uid="{B8619673-7B7C-4A9E-887D-B4CD66DFAAE2}" name="Column13008" dataCellStyle="Normal 2"/>
    <tableColumn id="13024" xr3:uid="{0C0B6ECA-F1A1-4047-8ABC-1E9A10208FBE}" name="Column13009" dataCellStyle="Normal 2"/>
    <tableColumn id="13025" xr3:uid="{94662481-AAB6-41D7-8C18-F0706DEBABD4}" name="Column13010" dataCellStyle="Normal 2"/>
    <tableColumn id="13026" xr3:uid="{3373339A-71A3-4694-8440-C6F104F12AEF}" name="Column13011" dataCellStyle="Normal 2"/>
    <tableColumn id="13027" xr3:uid="{9F0A44EB-4702-4616-A2EC-A779BF0DBF32}" name="Column13012" dataCellStyle="Normal 2"/>
    <tableColumn id="13028" xr3:uid="{78FC4DBB-DE90-4B6C-8B2E-9B480A6C0FC5}" name="Column13013" dataCellStyle="Normal 2"/>
    <tableColumn id="13029" xr3:uid="{33EF66BA-AFB5-434E-831C-109141F0CB99}" name="Column13014" dataCellStyle="Normal 2"/>
    <tableColumn id="13030" xr3:uid="{AE91A945-7D30-4D8D-99A7-B6C8027F371D}" name="Column13015" dataCellStyle="Normal 2"/>
    <tableColumn id="13031" xr3:uid="{3A93AE94-90B3-4352-B5A8-516373AF8588}" name="Column13016" dataCellStyle="Normal 2"/>
    <tableColumn id="13032" xr3:uid="{AA96FBF2-0ADF-4A00-9E08-CFD301106890}" name="Column13017" dataCellStyle="Normal 2"/>
    <tableColumn id="13033" xr3:uid="{37720173-1555-4318-B5EE-D177B81CB590}" name="Column13018" dataCellStyle="Normal 2"/>
    <tableColumn id="13034" xr3:uid="{DCC8ABFF-B2DB-471A-B01D-84678D85F0B5}" name="Column13019" dataCellStyle="Normal 2"/>
    <tableColumn id="13035" xr3:uid="{5893EF40-C4B6-4460-AF37-5A314ECCC319}" name="Column13020" dataCellStyle="Normal 2"/>
    <tableColumn id="13036" xr3:uid="{1E5B9D4F-127E-4EBF-BC37-5B6204897F55}" name="Column13021" dataCellStyle="Normal 2"/>
    <tableColumn id="13037" xr3:uid="{F2F16DFA-C104-45EA-81BB-E13ADBFE0004}" name="Column13022" dataCellStyle="Normal 2"/>
    <tableColumn id="13038" xr3:uid="{495D6BAF-AA38-43C6-8366-1130E910150A}" name="Column13023" dataCellStyle="Normal 2"/>
    <tableColumn id="13039" xr3:uid="{89914F51-5EC9-446E-83AB-974280A9DF38}" name="Column13024" dataCellStyle="Normal 2"/>
    <tableColumn id="13040" xr3:uid="{50148E8C-F38B-46C1-9E16-F0774AD68F70}" name="Column13025" dataCellStyle="Normal 2"/>
    <tableColumn id="13041" xr3:uid="{9ED23647-2952-4855-B723-73D4BE220526}" name="Column13026" dataCellStyle="Normal 2"/>
    <tableColumn id="13042" xr3:uid="{F78E5571-F796-4137-A5AC-755F4659C28A}" name="Column13027" dataCellStyle="Normal 2"/>
    <tableColumn id="13043" xr3:uid="{9B130961-2B14-4226-A6C4-A3F3ABCBDB6C}" name="Column13028" dataCellStyle="Normal 2"/>
    <tableColumn id="13044" xr3:uid="{B77CD532-8759-4742-A4E3-7AC7D8D2EDFA}" name="Column13029" dataCellStyle="Normal 2"/>
    <tableColumn id="13045" xr3:uid="{6CD1755E-3420-4F9A-9CC9-AE2192AF03F8}" name="Column13030" dataCellStyle="Normal 2"/>
    <tableColumn id="13046" xr3:uid="{A4258AC2-2900-4998-A1E9-756BB94D78E7}" name="Column13031" dataCellStyle="Normal 2"/>
    <tableColumn id="13047" xr3:uid="{F0CD7585-2F0E-4156-AAA6-F6B9DD8CB736}" name="Column13032" dataCellStyle="Normal 2"/>
    <tableColumn id="13048" xr3:uid="{C2EF65AD-B5D1-4F19-A3B5-42D382B80B86}" name="Column13033" dataCellStyle="Normal 2"/>
    <tableColumn id="13049" xr3:uid="{F7BC1AA4-516A-43FC-AABC-97AD3711D580}" name="Column13034" dataCellStyle="Normal 2"/>
    <tableColumn id="13050" xr3:uid="{76658BB5-79F8-4637-A97D-6FF6D4C8D08F}" name="Column13035" dataCellStyle="Normal 2"/>
    <tableColumn id="13051" xr3:uid="{73703E9E-9C28-4D07-975A-5FA9AE79F350}" name="Column13036" dataCellStyle="Normal 2"/>
    <tableColumn id="13052" xr3:uid="{4938AA72-1140-4614-BEF3-D6CEE7D6F335}" name="Column13037" dataCellStyle="Normal 2"/>
    <tableColumn id="13053" xr3:uid="{F5B405BD-0BAA-4CE8-8082-C653E402F038}" name="Column13038" dataCellStyle="Normal 2"/>
    <tableColumn id="13054" xr3:uid="{BE62E7B5-29ED-4385-BBB9-F93C131D31EF}" name="Column13039" dataCellStyle="Normal 2"/>
    <tableColumn id="13055" xr3:uid="{841A6C22-0C71-42FF-AC30-8F53E5EB6440}" name="Column13040" dataCellStyle="Normal 2"/>
    <tableColumn id="13056" xr3:uid="{D4A58A0E-A62A-4970-8686-10ECB2E42DF2}" name="Column13041" dataCellStyle="Normal 2"/>
    <tableColumn id="13057" xr3:uid="{50B679D6-294F-48EC-9F2F-838B42AC9D71}" name="Column13042" dataCellStyle="Normal 2"/>
    <tableColumn id="13058" xr3:uid="{F676F1A4-50F6-4841-859B-3F9749FA7076}" name="Column13043" dataCellStyle="Normal 2"/>
    <tableColumn id="13059" xr3:uid="{C25DA4DF-4B43-4380-AE5F-B5C0B7D4416B}" name="Column13044" dataCellStyle="Normal 2"/>
    <tableColumn id="13060" xr3:uid="{3C691982-C3A5-4B17-BA46-BADC6470AF09}" name="Column13045" dataCellStyle="Normal 2"/>
    <tableColumn id="13061" xr3:uid="{7FF2417F-47B6-488D-884C-5CB383BFB616}" name="Column13046" dataCellStyle="Normal 2"/>
    <tableColumn id="13062" xr3:uid="{E9EB3A76-D17A-4179-8823-7DA5C73F6A40}" name="Column13047" dataCellStyle="Normal 2"/>
    <tableColumn id="13063" xr3:uid="{07E1AE86-623F-4EE0-A1D3-AC988B8F7034}" name="Column13048" dataCellStyle="Normal 2"/>
    <tableColumn id="13064" xr3:uid="{615EF79B-02EC-4E98-B22B-BAD976E3A43A}" name="Column13049" dataCellStyle="Normal 2"/>
    <tableColumn id="13065" xr3:uid="{8BCF3E67-5AC8-4B30-A748-1E7625C82877}" name="Column13050" dataCellStyle="Normal 2"/>
    <tableColumn id="13066" xr3:uid="{FD565D06-C93E-49F4-8564-9838C79740C4}" name="Column13051" dataCellStyle="Normal 2"/>
    <tableColumn id="13067" xr3:uid="{06F36CF7-A2A6-41F8-A7C2-B3E89E6B64D7}" name="Column13052" dataCellStyle="Normal 2"/>
    <tableColumn id="13068" xr3:uid="{E92FA3A5-D297-4196-88C9-AC3C16AC154B}" name="Column13053" dataCellStyle="Normal 2"/>
    <tableColumn id="13069" xr3:uid="{617175AD-33AB-4BA1-BD2C-77E93F2F118C}" name="Column13054" dataCellStyle="Normal 2"/>
    <tableColumn id="13070" xr3:uid="{D44D7D02-F1D6-44E5-9153-5723F72E7A93}" name="Column13055" dataCellStyle="Normal 2"/>
    <tableColumn id="13071" xr3:uid="{C79E513E-83F9-4B6C-870E-7B5A0E81AF4B}" name="Column13056" dataCellStyle="Normal 2"/>
    <tableColumn id="13072" xr3:uid="{0D1C6D30-C51B-4433-B2F2-09AF9B8C01B9}" name="Column13057" dataCellStyle="Normal 2"/>
    <tableColumn id="13073" xr3:uid="{15C79DBE-2D39-44D5-A5E1-82C837E37A3B}" name="Column13058" dataCellStyle="Normal 2"/>
    <tableColumn id="13074" xr3:uid="{CF40FDFF-CE40-4C79-86C1-764B4B60E611}" name="Column13059" dataCellStyle="Normal 2"/>
    <tableColumn id="13075" xr3:uid="{B8161F6A-6313-4973-AAFA-3A7722A6D5BD}" name="Column13060" dataCellStyle="Normal 2"/>
    <tableColumn id="13076" xr3:uid="{F91C37BD-41E3-4876-9BB0-B8D2AE67C775}" name="Column13061" dataCellStyle="Normal 2"/>
    <tableColumn id="13077" xr3:uid="{2E052954-78ED-4628-A0C0-6FC9CDB7AA39}" name="Column13062" dataCellStyle="Normal 2"/>
    <tableColumn id="13078" xr3:uid="{47B9C5E9-B08A-4784-8CD4-D93148153C26}" name="Column13063" dataCellStyle="Normal 2"/>
    <tableColumn id="13079" xr3:uid="{92244517-8A03-4D6B-A435-25437F42D0E9}" name="Column13064" dataCellStyle="Normal 2"/>
    <tableColumn id="13080" xr3:uid="{511C6330-6C77-40A6-93A0-3F31EAAC7EB9}" name="Column13065" dataCellStyle="Normal 2"/>
    <tableColumn id="13081" xr3:uid="{EC8893CD-E6B1-4167-989A-B44991623FF6}" name="Column13066" dataCellStyle="Normal 2"/>
    <tableColumn id="13082" xr3:uid="{2FD3450C-4583-4EE5-B6F0-F924E6B83C63}" name="Column13067" dataCellStyle="Normal 2"/>
    <tableColumn id="13083" xr3:uid="{53CC2388-4D63-4F79-8252-8ABDF75C4EFB}" name="Column13068" dataCellStyle="Normal 2"/>
    <tableColumn id="13084" xr3:uid="{5DD1F80A-CCA9-4F24-BF73-82A70D2DC9D8}" name="Column13069" dataCellStyle="Normal 2"/>
    <tableColumn id="13085" xr3:uid="{9F494A98-3001-471A-A4E7-768C3A97C98A}" name="Column13070" dataCellStyle="Normal 2"/>
    <tableColumn id="13086" xr3:uid="{4B6A3692-2A5A-492F-B7CE-2FB307463053}" name="Column13071" dataCellStyle="Normal 2"/>
    <tableColumn id="13087" xr3:uid="{00A496E4-8F85-42EA-9C2F-1E5E83D51FD5}" name="Column13072" dataCellStyle="Normal 2"/>
    <tableColumn id="13088" xr3:uid="{D93CCAAE-2F7B-44FB-B4B4-689C05C7B642}" name="Column13073" dataCellStyle="Normal 2"/>
    <tableColumn id="13089" xr3:uid="{25540968-C19C-4DF3-A402-551BCB23E9BB}" name="Column13074" dataCellStyle="Normal 2"/>
    <tableColumn id="13090" xr3:uid="{32139103-3669-4A56-9C59-2FC27CB07831}" name="Column13075" dataCellStyle="Normal 2"/>
    <tableColumn id="13091" xr3:uid="{B54FCEA1-F30D-4D46-BE68-16BB62815962}" name="Column13076" dataCellStyle="Normal 2"/>
    <tableColumn id="13092" xr3:uid="{FC182755-3BA2-4C00-B10B-D3FA4A56DCD5}" name="Column13077" dataCellStyle="Normal 2"/>
    <tableColumn id="13093" xr3:uid="{5131DF99-93AE-47DF-9982-BDF9F33507F7}" name="Column13078" dataCellStyle="Normal 2"/>
    <tableColumn id="13094" xr3:uid="{A6E4EF12-E645-46F5-831B-96697FE5C9BA}" name="Column13079" dataCellStyle="Normal 2"/>
    <tableColumn id="13095" xr3:uid="{61A9058E-2913-4C32-B5E4-65F2F587F4AE}" name="Column13080" dataCellStyle="Normal 2"/>
    <tableColumn id="13096" xr3:uid="{C42A66EE-86CA-492E-9D02-31529F5D767A}" name="Column13081" dataCellStyle="Normal 2"/>
    <tableColumn id="13097" xr3:uid="{4CE9D11A-1AC9-4CDF-A926-2B07E73995CB}" name="Column13082" dataCellStyle="Normal 2"/>
    <tableColumn id="13098" xr3:uid="{1941708B-F1FA-47CC-BF2B-3C306C438BE9}" name="Column13083" dataCellStyle="Normal 2"/>
    <tableColumn id="13099" xr3:uid="{B806C85B-3255-4CFB-8E7E-46D609C331CB}" name="Column13084" dataCellStyle="Normal 2"/>
    <tableColumn id="13100" xr3:uid="{F5C3F4DD-4890-4381-9585-8A62D37F5303}" name="Column13085" dataCellStyle="Normal 2"/>
    <tableColumn id="13101" xr3:uid="{1B0A6AD5-E8AF-49F3-8481-82AEE7E905CF}" name="Column13086" dataCellStyle="Normal 2"/>
    <tableColumn id="13102" xr3:uid="{71FDC02F-8CCF-4A30-945F-A8610E27A44B}" name="Column13087" dataCellStyle="Normal 2"/>
    <tableColumn id="13103" xr3:uid="{4D0D65AB-B5D2-4CF4-A6EF-C818A58AEF94}" name="Column13088" dataCellStyle="Normal 2"/>
    <tableColumn id="13104" xr3:uid="{693182CE-728B-430E-AB0D-D9B6842EFD77}" name="Column13089" dataCellStyle="Normal 2"/>
    <tableColumn id="13105" xr3:uid="{48064214-E0BF-4756-B479-F73F98822955}" name="Column13090" dataCellStyle="Normal 2"/>
    <tableColumn id="13106" xr3:uid="{13C2B65B-197A-4201-AEC7-2B0F4447BBBC}" name="Column13091" dataCellStyle="Normal 2"/>
    <tableColumn id="13107" xr3:uid="{DF24377C-1F01-47E7-98A8-0758A676B25F}" name="Column13092" dataCellStyle="Normal 2"/>
    <tableColumn id="13108" xr3:uid="{52DFD424-0CAF-4C29-B72C-5E2BA5F7199C}" name="Column13093" dataCellStyle="Normal 2"/>
    <tableColumn id="13109" xr3:uid="{09B04B44-EFAE-4ECA-B160-58B1679462B0}" name="Column13094" dataCellStyle="Normal 2"/>
    <tableColumn id="13110" xr3:uid="{A94994B4-2105-4484-8CFC-DB920B0A1076}" name="Column13095" dataCellStyle="Normal 2"/>
    <tableColumn id="13111" xr3:uid="{C22F24B3-DF59-4144-8F7A-CB72EBEC4795}" name="Column13096" dataCellStyle="Normal 2"/>
    <tableColumn id="13112" xr3:uid="{34C8CE05-689F-4414-901C-1A9A973688F8}" name="Column13097" dataCellStyle="Normal 2"/>
    <tableColumn id="13113" xr3:uid="{44676317-615D-4DFD-A472-24BBA0377EA4}" name="Column13098" dataCellStyle="Normal 2"/>
    <tableColumn id="13114" xr3:uid="{E601DFC5-3C2C-4C39-861A-2AB991B950D6}" name="Column13099" dataCellStyle="Normal 2"/>
    <tableColumn id="13115" xr3:uid="{0A6990CB-56F7-4758-A9F2-5431EB14276B}" name="Column13100" dataCellStyle="Normal 2"/>
    <tableColumn id="13116" xr3:uid="{876444E5-C6D5-444F-83FC-521A91519ADC}" name="Column13101" dataCellStyle="Normal 2"/>
    <tableColumn id="13117" xr3:uid="{B400E797-328B-419E-811C-F0F9EAF46AF1}" name="Column13102" dataCellStyle="Normal 2"/>
    <tableColumn id="13118" xr3:uid="{02E17010-493B-4EDE-BA71-4194E192FE0A}" name="Column13103" dataCellStyle="Normal 2"/>
    <tableColumn id="13119" xr3:uid="{299FE030-25A2-4028-B5F9-B854282020A1}" name="Column13104" dataCellStyle="Normal 2"/>
    <tableColumn id="13120" xr3:uid="{020081A1-4788-415E-BC54-08EF83592069}" name="Column13105" dataCellStyle="Normal 2"/>
    <tableColumn id="13121" xr3:uid="{36F02A06-655B-4F1B-9EA6-388B4CD0E8AD}" name="Column13106" dataCellStyle="Normal 2"/>
    <tableColumn id="13122" xr3:uid="{A05391D6-393F-4BA8-867C-486F810DD79A}" name="Column13107" dataCellStyle="Normal 2"/>
    <tableColumn id="13123" xr3:uid="{E7A62FC0-35AF-46CF-8982-680B7258B00B}" name="Column13108" dataCellStyle="Normal 2"/>
    <tableColumn id="13124" xr3:uid="{27353723-E720-427B-94CE-0470593A6E5E}" name="Column13109" dataCellStyle="Normal 2"/>
    <tableColumn id="13125" xr3:uid="{4910D9F9-C120-4107-B17F-FC8C9E1B5530}" name="Column13110" dataCellStyle="Normal 2"/>
    <tableColumn id="13126" xr3:uid="{6A6BCC07-FF5B-4A77-8726-87CA27ED1D00}" name="Column13111" dataCellStyle="Normal 2"/>
    <tableColumn id="13127" xr3:uid="{01240A7E-23CA-42D7-9534-62D87663376C}" name="Column13112" dataCellStyle="Normal 2"/>
    <tableColumn id="13128" xr3:uid="{CAC8A627-FDBE-4E62-B3BA-1F7E53A8BAAA}" name="Column13113" dataCellStyle="Normal 2"/>
    <tableColumn id="13129" xr3:uid="{D16319A6-5950-46F6-8055-453B5150D3BD}" name="Column13114" dataCellStyle="Normal 2"/>
    <tableColumn id="13130" xr3:uid="{1D46DC7E-CEAA-4E1F-8601-CB6351E76155}" name="Column13115" dataCellStyle="Normal 2"/>
    <tableColumn id="13131" xr3:uid="{5FEAAF89-CCCE-462C-A8A2-D0B085193AD5}" name="Column13116" dataCellStyle="Normal 2"/>
    <tableColumn id="13132" xr3:uid="{F28CCA37-1D78-4D01-A2FC-48DA7BAB58A5}" name="Column13117" dataCellStyle="Normal 2"/>
    <tableColumn id="13133" xr3:uid="{2CB822A7-C860-433C-80C8-490983A088F7}" name="Column13118" dataCellStyle="Normal 2"/>
    <tableColumn id="13134" xr3:uid="{D779EFAC-B8EA-4EE7-B6D2-39959D1D53CE}" name="Column13119" dataCellStyle="Normal 2"/>
    <tableColumn id="13135" xr3:uid="{5058691F-5775-46F5-A0C3-923D7996BF61}" name="Column13120" dataCellStyle="Normal 2"/>
    <tableColumn id="13136" xr3:uid="{400C2CC1-B623-4812-B110-13B9AA5162F0}" name="Column13121" dataCellStyle="Normal 2"/>
    <tableColumn id="13137" xr3:uid="{C9706291-A6F2-4D4B-B3AE-BAAF216B324F}" name="Column13122" dataCellStyle="Normal 2"/>
    <tableColumn id="13138" xr3:uid="{2053EF21-7307-4D32-8603-A55A55667F37}" name="Column13123" dataCellStyle="Normal 2"/>
    <tableColumn id="13139" xr3:uid="{B075534A-DF59-4D47-A117-E0205A2C39BD}" name="Column13124" dataCellStyle="Normal 2"/>
    <tableColumn id="13140" xr3:uid="{23E8E2B6-0B57-4399-99EF-04C20AE999A3}" name="Column13125" dataCellStyle="Normal 2"/>
    <tableColumn id="13141" xr3:uid="{3BFE665F-F7E8-4734-A492-3147B58E91F5}" name="Column13126" dataCellStyle="Normal 2"/>
    <tableColumn id="13142" xr3:uid="{C2BE3F58-3C29-4493-B1F0-05CD327695D5}" name="Column13127" dataCellStyle="Normal 2"/>
    <tableColumn id="13143" xr3:uid="{E71AB7C6-6885-4589-9D27-A37F5BC40CBD}" name="Column13128" dataCellStyle="Normal 2"/>
    <tableColumn id="13144" xr3:uid="{9B991396-3EFF-4F27-920B-DA6D518E110D}" name="Column13129" dataCellStyle="Normal 2"/>
    <tableColumn id="13145" xr3:uid="{796461CE-E887-462D-A2BE-2D8E36333EE1}" name="Column13130" dataCellStyle="Normal 2"/>
    <tableColumn id="13146" xr3:uid="{DC28744F-050E-4BB8-8D0A-A1DF641E923E}" name="Column13131" dataCellStyle="Normal 2"/>
    <tableColumn id="13147" xr3:uid="{F8D01D63-0293-45BC-8785-BFF427F4D362}" name="Column13132" dataCellStyle="Normal 2"/>
    <tableColumn id="13148" xr3:uid="{9DC22152-618D-4A27-86A8-D09B9EBBFC1B}" name="Column13133" dataCellStyle="Normal 2"/>
    <tableColumn id="13149" xr3:uid="{3011C38B-0769-41F3-83ED-67656C86FA09}" name="Column13134" dataCellStyle="Normal 2"/>
    <tableColumn id="13150" xr3:uid="{9E8D11F5-1CBE-431F-B11C-0DC220E245E0}" name="Column13135" dataCellStyle="Normal 2"/>
    <tableColumn id="13151" xr3:uid="{254C62A3-2EC0-462A-A785-F83BCBB57E34}" name="Column13136" dataCellStyle="Normal 2"/>
    <tableColumn id="13152" xr3:uid="{C8354F34-53F1-4377-9347-62B2EB22E859}" name="Column13137" dataCellStyle="Normal 2"/>
    <tableColumn id="13153" xr3:uid="{8AF500DF-46D9-4795-8B43-D3EA69F4B899}" name="Column13138" dataCellStyle="Normal 2"/>
    <tableColumn id="13154" xr3:uid="{6FF3C7BF-21FF-4552-A32C-F0FD12FC9BF0}" name="Column13139" dataCellStyle="Normal 2"/>
    <tableColumn id="13155" xr3:uid="{9AF07EFD-26DD-4C84-AC22-41A9B39E24AD}" name="Column13140" dataCellStyle="Normal 2"/>
    <tableColumn id="13156" xr3:uid="{B1E83B1C-E504-45F9-A6CF-B03F0F33EF0F}" name="Column13141" dataCellStyle="Normal 2"/>
    <tableColumn id="13157" xr3:uid="{5AAE2566-A2CA-4DDB-BA00-8F0F6A7111AD}" name="Column13142" dataCellStyle="Normal 2"/>
    <tableColumn id="13158" xr3:uid="{61788625-341D-4A75-910B-AA1CC7EACAC1}" name="Column13143" dataCellStyle="Normal 2"/>
    <tableColumn id="13159" xr3:uid="{A01FC54A-23F7-47A4-8B24-545B8D453DB7}" name="Column13144" dataCellStyle="Normal 2"/>
    <tableColumn id="13160" xr3:uid="{84C9C82C-E6A3-47CF-83DC-8E4741D5F33A}" name="Column13145" dataCellStyle="Normal 2"/>
    <tableColumn id="13161" xr3:uid="{0C41349B-A829-4660-9A54-E7F4B306E311}" name="Column13146" dataCellStyle="Normal 2"/>
    <tableColumn id="13162" xr3:uid="{3827894F-D465-4E5B-A393-4897188AFF47}" name="Column13147" dataCellStyle="Normal 2"/>
    <tableColumn id="13163" xr3:uid="{CF004150-60E1-467F-804C-D8926A9D1C97}" name="Column13148" dataCellStyle="Normal 2"/>
    <tableColumn id="13164" xr3:uid="{CEF5AC99-EBF1-402B-8B1D-79C1D2CE0CD7}" name="Column13149" dataCellStyle="Normal 2"/>
    <tableColumn id="13165" xr3:uid="{9026FF82-C900-4607-9085-BD5BB64663C5}" name="Column13150" dataCellStyle="Normal 2"/>
    <tableColumn id="13166" xr3:uid="{B4F5AFCC-0E53-4FDB-8345-852531A8F1E1}" name="Column13151" dataCellStyle="Normal 2"/>
    <tableColumn id="13167" xr3:uid="{96A01EB3-C698-4EC7-BC68-2B146DB113AF}" name="Column13152" dataCellStyle="Normal 2"/>
    <tableColumn id="13168" xr3:uid="{00098040-C641-4595-889F-85D33B2F9BCC}" name="Column13153" dataCellStyle="Normal 2"/>
    <tableColumn id="13169" xr3:uid="{7A21897A-2174-4602-ACE5-D42314272C1B}" name="Column13154" dataCellStyle="Normal 2"/>
    <tableColumn id="13170" xr3:uid="{52E2C898-A767-4D18-8508-2FCE7E44DEB7}" name="Column13155" dataCellStyle="Normal 2"/>
    <tableColumn id="13171" xr3:uid="{D983953C-C4F5-41CB-89AB-EBF7D61E3130}" name="Column13156" dataCellStyle="Normal 2"/>
    <tableColumn id="13172" xr3:uid="{DA360577-41A0-45CF-883A-F577572C7272}" name="Column13157" dataCellStyle="Normal 2"/>
    <tableColumn id="13173" xr3:uid="{0C8EE6CE-4C1C-4364-A316-BD73B8C03142}" name="Column13158" dataCellStyle="Normal 2"/>
    <tableColumn id="13174" xr3:uid="{9D7F9BA3-73F3-4A17-92CF-CBD03FD82360}" name="Column13159" dataCellStyle="Normal 2"/>
    <tableColumn id="13175" xr3:uid="{F0B6B3D8-9420-4B19-8F10-F21034D4CB41}" name="Column13160" dataCellStyle="Normal 2"/>
    <tableColumn id="13176" xr3:uid="{15010BD5-112B-4196-B8A2-37B1DB6B53E9}" name="Column13161" dataCellStyle="Normal 2"/>
    <tableColumn id="13177" xr3:uid="{AADBFF92-8F2A-460D-B541-4A986E1705F4}" name="Column13162" dataCellStyle="Normal 2"/>
    <tableColumn id="13178" xr3:uid="{D89FC86E-57CF-4D59-8993-861A61876B70}" name="Column13163" dataCellStyle="Normal 2"/>
    <tableColumn id="13179" xr3:uid="{158447FB-A2F1-449B-814E-1E894F05D605}" name="Column13164" dataCellStyle="Normal 2"/>
    <tableColumn id="13180" xr3:uid="{C994B0A7-8148-40B6-AC21-F999A7B111AD}" name="Column13165" dataCellStyle="Normal 2"/>
    <tableColumn id="13181" xr3:uid="{0F3BCB51-CDDD-40ED-9FEC-55B6F08A22EF}" name="Column13166" dataCellStyle="Normal 2"/>
    <tableColumn id="13182" xr3:uid="{D7EA17E1-A9C1-4564-8813-FD90A4963E91}" name="Column13167" dataCellStyle="Normal 2"/>
    <tableColumn id="13183" xr3:uid="{691F0DC7-9EFA-478B-857C-AD1E45789100}" name="Column13168" dataCellStyle="Normal 2"/>
    <tableColumn id="13184" xr3:uid="{DCB1798B-7602-494B-B588-A166B4ED8101}" name="Column13169" dataCellStyle="Normal 2"/>
    <tableColumn id="13185" xr3:uid="{DBF7A18E-9E0F-43DF-AA3C-9221CC236490}" name="Column13170" dataCellStyle="Normal 2"/>
    <tableColumn id="13186" xr3:uid="{350C40E7-4ACC-4D9C-B202-F8276F35C01D}" name="Column13171" dataCellStyle="Normal 2"/>
    <tableColumn id="13187" xr3:uid="{95552EE7-C140-41C0-B6DD-8725220F5847}" name="Column13172" dataCellStyle="Normal 2"/>
    <tableColumn id="13188" xr3:uid="{CD8941FE-A3BD-48F0-8BA9-E4FA7732D542}" name="Column13173" dataCellStyle="Normal 2"/>
    <tableColumn id="13189" xr3:uid="{BAED3A3C-FE75-473C-8395-C73E6A2B91E5}" name="Column13174" dataCellStyle="Normal 2"/>
    <tableColumn id="13190" xr3:uid="{B47684AE-A756-413C-B6FC-6E0305F63F49}" name="Column13175" dataCellStyle="Normal 2"/>
    <tableColumn id="13191" xr3:uid="{7182BA9B-5DA5-466E-9F63-255F571E35C7}" name="Column13176" dataCellStyle="Normal 2"/>
    <tableColumn id="13192" xr3:uid="{2B33D7A5-BAF4-486A-8034-BFA77511EFA3}" name="Column13177" dataCellStyle="Normal 2"/>
    <tableColumn id="13193" xr3:uid="{39D4C470-8827-4290-8B5D-9D10CA0F1ECC}" name="Column13178" dataCellStyle="Normal 2"/>
    <tableColumn id="13194" xr3:uid="{AE908055-6EE3-486B-AA53-769BD7A448DB}" name="Column13179" dataCellStyle="Normal 2"/>
    <tableColumn id="13195" xr3:uid="{C4973019-D919-4C7E-8595-B21D9CD2B582}" name="Column13180" dataCellStyle="Normal 2"/>
    <tableColumn id="13196" xr3:uid="{493CEF78-F1AF-4080-847B-4C0CA38462F8}" name="Column13181" dataCellStyle="Normal 2"/>
    <tableColumn id="13197" xr3:uid="{CB3018EA-455D-42D8-8E98-9264C863939B}" name="Column13182" dataCellStyle="Normal 2"/>
    <tableColumn id="13198" xr3:uid="{9786E199-9CA2-4F0D-9DE5-771DC7544AA6}" name="Column13183" dataCellStyle="Normal 2"/>
    <tableColumn id="13199" xr3:uid="{528DDC94-63F2-4D14-8427-8B96E8973FDF}" name="Column13184" dataCellStyle="Normal 2"/>
    <tableColumn id="13200" xr3:uid="{9A62A06A-7A86-43CA-91AE-E5DFA6CA6995}" name="Column13185" dataCellStyle="Normal 2"/>
    <tableColumn id="13201" xr3:uid="{9062F42C-C32C-4B2B-AF27-85E220147E80}" name="Column13186" dataCellStyle="Normal 2"/>
    <tableColumn id="13202" xr3:uid="{63019EA4-D50F-4EE2-A8FB-FF4936D9F61B}" name="Column13187" dataCellStyle="Normal 2"/>
    <tableColumn id="13203" xr3:uid="{FADC1DEE-349A-47A5-92A5-3CF2A0688A81}" name="Column13188" dataCellStyle="Normal 2"/>
    <tableColumn id="13204" xr3:uid="{9461CDCF-E596-4EA3-A40B-779941047F64}" name="Column13189" dataCellStyle="Normal 2"/>
    <tableColumn id="13205" xr3:uid="{0A37A01C-7213-491F-AAD8-3398C2AB6B26}" name="Column13190" dataCellStyle="Normal 2"/>
    <tableColumn id="13206" xr3:uid="{FBD9E9A0-0E77-47D5-BFBE-8FEDD48B8052}" name="Column13191" dataCellStyle="Normal 2"/>
    <tableColumn id="13207" xr3:uid="{6C7CF0EE-50F8-4761-87E2-C00E19D1F383}" name="Column13192" dataCellStyle="Normal 2"/>
    <tableColumn id="13208" xr3:uid="{B618B386-979D-4D8D-B393-194026F344D0}" name="Column13193" dataCellStyle="Normal 2"/>
    <tableColumn id="13209" xr3:uid="{1156BC58-6021-4060-92A1-06BAF8D1AA99}" name="Column13194" dataCellStyle="Normal 2"/>
    <tableColumn id="13210" xr3:uid="{C42C7FEB-52BC-42EA-BF39-776D1D5850BB}" name="Column13195" dataCellStyle="Normal 2"/>
    <tableColumn id="13211" xr3:uid="{CA164510-5782-4D1E-8109-EE8ABA94A476}" name="Column13196" dataCellStyle="Normal 2"/>
    <tableColumn id="13212" xr3:uid="{917614B5-019C-4D4B-9D6C-1D6C9B78DC79}" name="Column13197" dataCellStyle="Normal 2"/>
    <tableColumn id="13213" xr3:uid="{C7B2DEA2-5D29-4856-853C-4D3F39E830CC}" name="Column13198" dataCellStyle="Normal 2"/>
    <tableColumn id="13214" xr3:uid="{FF24162D-D627-4BE0-8C42-AEC99CCC5699}" name="Column13199" dataCellStyle="Normal 2"/>
    <tableColumn id="13215" xr3:uid="{AF7D40FD-875E-4C27-BBF3-7A6AC5239327}" name="Column13200" dataCellStyle="Normal 2"/>
    <tableColumn id="13216" xr3:uid="{74A3BCEE-7CAE-4189-AF91-61D3C7136EFB}" name="Column13201" dataCellStyle="Normal 2"/>
    <tableColumn id="13217" xr3:uid="{B935ABE2-D776-4105-952F-4B57F09C7A5D}" name="Column13202" dataCellStyle="Normal 2"/>
    <tableColumn id="13218" xr3:uid="{0A65FFCF-61DE-4A1E-A1E0-080882459595}" name="Column13203" dataCellStyle="Normal 2"/>
    <tableColumn id="13219" xr3:uid="{05BD186E-E356-45F6-A114-C9112C4C97FC}" name="Column13204" dataCellStyle="Normal 2"/>
    <tableColumn id="13220" xr3:uid="{6EEFF0BC-0980-4B07-83B1-586A59E9CE52}" name="Column13205" dataCellStyle="Normal 2"/>
    <tableColumn id="13221" xr3:uid="{E947CAA7-640C-4B25-8BB7-2E8F9F3708B5}" name="Column13206" dataCellStyle="Normal 2"/>
    <tableColumn id="13222" xr3:uid="{AB30F0CC-8A6E-4D21-B0B5-5AB28BC86FC6}" name="Column13207" dataCellStyle="Normal 2"/>
    <tableColumn id="13223" xr3:uid="{D5508304-08C3-48BD-94B1-A7944E605E72}" name="Column13208" dataCellStyle="Normal 2"/>
    <tableColumn id="13224" xr3:uid="{57D2DC8D-EA93-483D-AD5D-5E46AD07EC60}" name="Column13209" dataCellStyle="Normal 2"/>
    <tableColumn id="13225" xr3:uid="{A4E2280A-F793-4F41-BE34-11CFE160567C}" name="Column13210" dataCellStyle="Normal 2"/>
    <tableColumn id="13226" xr3:uid="{13273DFF-6656-4CB1-A296-ED02609DD19E}" name="Column13211" dataCellStyle="Normal 2"/>
    <tableColumn id="13227" xr3:uid="{0A15D2EE-BCBE-424B-BB79-A4C1460B4A96}" name="Column13212" dataCellStyle="Normal 2"/>
    <tableColumn id="13228" xr3:uid="{53B0BE16-FA6F-48A9-AFB2-EC080D5CC0C2}" name="Column13213" dataCellStyle="Normal 2"/>
    <tableColumn id="13229" xr3:uid="{CAF7B4ED-4223-4785-B75B-F950545A9FB3}" name="Column13214" dataCellStyle="Normal 2"/>
    <tableColumn id="13230" xr3:uid="{2124F09C-8D54-476B-B52E-7AE50AEF653B}" name="Column13215" dataCellStyle="Normal 2"/>
    <tableColumn id="13231" xr3:uid="{005262F2-EC9B-4BCB-ACE0-6859C71B9878}" name="Column13216" dataCellStyle="Normal 2"/>
    <tableColumn id="13232" xr3:uid="{CAA98F3C-30F8-4D5E-BB1B-444E258778BA}" name="Column13217" dataCellStyle="Normal 2"/>
    <tableColumn id="13233" xr3:uid="{4CB977E7-878F-4838-9F3A-0199DA37761F}" name="Column13218" dataCellStyle="Normal 2"/>
    <tableColumn id="13234" xr3:uid="{9967B2F9-B843-4EBC-9A24-02F1C5A9802F}" name="Column13219" dataCellStyle="Normal 2"/>
    <tableColumn id="13235" xr3:uid="{53483831-022D-4C7A-B815-6337F1B35C58}" name="Column13220" dataCellStyle="Normal 2"/>
    <tableColumn id="13236" xr3:uid="{B6CD1759-AEFB-4C82-8B70-014A9F830D19}" name="Column13221" dataCellStyle="Normal 2"/>
    <tableColumn id="13237" xr3:uid="{F9958FEE-55D7-4761-85A4-84A64280458A}" name="Column13222" dataCellStyle="Normal 2"/>
    <tableColumn id="13238" xr3:uid="{03EC7D8D-848C-471E-A4FD-A9E6B6DCF19E}" name="Column13223" dataCellStyle="Normal 2"/>
    <tableColumn id="13239" xr3:uid="{F2FC5042-1BC3-44D9-9BA0-BB95C6E630AA}" name="Column13224" dataCellStyle="Normal 2"/>
    <tableColumn id="13240" xr3:uid="{020523A7-6972-4552-854B-8BC2FAB717C8}" name="Column13225" dataCellStyle="Normal 2"/>
    <tableColumn id="13241" xr3:uid="{2A002A18-08D4-43C5-AD42-AA1D2CA12AB8}" name="Column13226" dataCellStyle="Normal 2"/>
    <tableColumn id="13242" xr3:uid="{C24508A8-A60F-452E-B5A8-CF22C518E812}" name="Column13227" dataCellStyle="Normal 2"/>
    <tableColumn id="13243" xr3:uid="{B87D1148-D593-4825-AD1B-A4912CF7F514}" name="Column13228" dataCellStyle="Normal 2"/>
    <tableColumn id="13244" xr3:uid="{BEAFE80B-D514-4A80-81E1-EDB62D891F97}" name="Column13229" dataCellStyle="Normal 2"/>
    <tableColumn id="13245" xr3:uid="{DE48C4D9-1AC7-4E65-9641-A166C295C110}" name="Column13230" dataCellStyle="Normal 2"/>
    <tableColumn id="13246" xr3:uid="{A4F2F046-CBF3-47B9-80F2-D45759FF258C}" name="Column13231" dataCellStyle="Normal 2"/>
    <tableColumn id="13247" xr3:uid="{7201E209-CD61-474B-968C-5853C15A6C1A}" name="Column13232" dataCellStyle="Normal 2"/>
    <tableColumn id="13248" xr3:uid="{ECC5D4A8-85F6-4202-845F-32E955ABE578}" name="Column13233" dataCellStyle="Normal 2"/>
    <tableColumn id="13249" xr3:uid="{2104BCAF-15F3-40FF-A012-94519BF6167D}" name="Column13234" dataCellStyle="Normal 2"/>
    <tableColumn id="13250" xr3:uid="{0A1C6168-4C7C-4FA9-BA8F-FA684B5D5EA2}" name="Column13235" dataCellStyle="Normal 2"/>
    <tableColumn id="13251" xr3:uid="{761F5228-1C11-4A44-8DCC-629C134B4440}" name="Column13236" dataCellStyle="Normal 2"/>
    <tableColumn id="13252" xr3:uid="{56A06645-C850-4953-9878-A84FC3703BA0}" name="Column13237" dataCellStyle="Normal 2"/>
    <tableColumn id="13253" xr3:uid="{3F69E058-CF3F-4E24-A96C-58128F52D1EB}" name="Column13238" dataCellStyle="Normal 2"/>
    <tableColumn id="13254" xr3:uid="{92867A45-35C0-4B4B-86F9-AA538103CC04}" name="Column13239" dataCellStyle="Normal 2"/>
    <tableColumn id="13255" xr3:uid="{047AB169-3A24-4CFA-A4A1-F4E532C95D93}" name="Column13240" dataCellStyle="Normal 2"/>
    <tableColumn id="13256" xr3:uid="{14A91EF2-C449-4A14-996E-2DDAE2568D69}" name="Column13241" dataCellStyle="Normal 2"/>
    <tableColumn id="13257" xr3:uid="{11F1FECC-199D-4159-9029-E26B30A84FC4}" name="Column13242" dataCellStyle="Normal 2"/>
    <tableColumn id="13258" xr3:uid="{4F605B31-9B27-408A-ABEF-A5209A488C51}" name="Column13243" dataCellStyle="Normal 2"/>
    <tableColumn id="13259" xr3:uid="{419B18A3-90C8-4503-BD1C-EE197E61D6FF}" name="Column13244" dataCellStyle="Normal 2"/>
    <tableColumn id="13260" xr3:uid="{B97F91CF-8234-4567-A9B6-4F7ED6792210}" name="Column13245" dataCellStyle="Normal 2"/>
    <tableColumn id="13261" xr3:uid="{5EBE835F-4546-43EB-9D2D-F0F4ACF8FFCA}" name="Column13246" dataCellStyle="Normal 2"/>
    <tableColumn id="13262" xr3:uid="{C97B3C4F-916D-44E7-9998-F13271E2A918}" name="Column13247" dataCellStyle="Normal 2"/>
    <tableColumn id="13263" xr3:uid="{3AE26374-AF91-4C4C-9C09-23E37CAD9451}" name="Column13248" dataCellStyle="Normal 2"/>
    <tableColumn id="13264" xr3:uid="{346C5028-78D6-4431-9463-7D2DB2D624D2}" name="Column13249" dataCellStyle="Normal 2"/>
    <tableColumn id="13265" xr3:uid="{A66715D3-AD5D-4697-A61E-E1346C11F3EB}" name="Column13250" dataCellStyle="Normal 2"/>
    <tableColumn id="13266" xr3:uid="{8843D65D-8720-43E8-8905-E73314963436}" name="Column13251" dataCellStyle="Normal 2"/>
    <tableColumn id="13267" xr3:uid="{BCC94C5B-791A-47AF-BBF0-9543234FAE70}" name="Column13252" dataCellStyle="Normal 2"/>
    <tableColumn id="13268" xr3:uid="{DEDD9FE3-518A-4CD4-A085-DDF67791C96F}" name="Column13253" dataCellStyle="Normal 2"/>
    <tableColumn id="13269" xr3:uid="{828D950F-4E01-4B23-9E90-7695B6ABA92C}" name="Column13254" dataCellStyle="Normal 2"/>
    <tableColumn id="13270" xr3:uid="{40D195BB-788F-4D70-B21D-7FBBDC52CD91}" name="Column13255" dataCellStyle="Normal 2"/>
    <tableColumn id="13271" xr3:uid="{8DCDBE8E-2A7B-4E8D-84F3-17A4AFF63069}" name="Column13256" dataCellStyle="Normal 2"/>
    <tableColumn id="13272" xr3:uid="{5D90F309-E02F-4964-818E-6A66F80CB1B3}" name="Column13257" dataCellStyle="Normal 2"/>
    <tableColumn id="13273" xr3:uid="{7F7A5605-2F29-4A61-B9A2-FE3D0B410EDF}" name="Column13258" dataCellStyle="Normal 2"/>
    <tableColumn id="13274" xr3:uid="{B0F70490-8CE6-42BB-AD1B-CD29706954FE}" name="Column13259" dataCellStyle="Normal 2"/>
    <tableColumn id="13275" xr3:uid="{DE2A49A3-B0FB-4B5F-8EE7-AA2BC277F063}" name="Column13260" dataCellStyle="Normal 2"/>
    <tableColumn id="13276" xr3:uid="{A77F89D8-BE15-4F04-B309-B91348F452AF}" name="Column13261" dataCellStyle="Normal 2"/>
    <tableColumn id="13277" xr3:uid="{E18FD2F3-601A-4BBB-B53E-6C9712E987B5}" name="Column13262" dataCellStyle="Normal 2"/>
    <tableColumn id="13278" xr3:uid="{783333FB-8491-4426-9960-DC689E9869D0}" name="Column13263" dataCellStyle="Normal 2"/>
    <tableColumn id="13279" xr3:uid="{A023F1BE-C3D6-415B-9AE0-8C0CF1F356D7}" name="Column13264" dataCellStyle="Normal 2"/>
    <tableColumn id="13280" xr3:uid="{66AB7AE8-01B9-4AEF-A857-8242612B2514}" name="Column13265" dataCellStyle="Normal 2"/>
    <tableColumn id="13281" xr3:uid="{FD58F9D8-74A6-453E-B425-D8A385BBD693}" name="Column13266" dataCellStyle="Normal 2"/>
    <tableColumn id="13282" xr3:uid="{80C6B03C-4976-448F-B7A9-75391DAE8ADA}" name="Column13267" dataCellStyle="Normal 2"/>
    <tableColumn id="13283" xr3:uid="{F0870E71-C569-4F51-B331-670B47114512}" name="Column13268" dataCellStyle="Normal 2"/>
    <tableColumn id="13284" xr3:uid="{DF1FFD80-F606-4345-B92B-B32A4B3F8DC3}" name="Column13269" dataCellStyle="Normal 2"/>
    <tableColumn id="13285" xr3:uid="{5BB38F34-FD67-4EAA-8849-A9E4E04EE4F6}" name="Column13270" dataCellStyle="Normal 2"/>
    <tableColumn id="13286" xr3:uid="{4A3E4CF9-7D5A-4575-8F75-59E7249BCE89}" name="Column13271" dataCellStyle="Normal 2"/>
    <tableColumn id="13287" xr3:uid="{C0A03DE4-061D-49A6-9260-D2925224BE79}" name="Column13272" dataCellStyle="Normal 2"/>
    <tableColumn id="13288" xr3:uid="{1121CBEA-5EDD-4D4A-AF04-5FFC100A9DBC}" name="Column13273" dataCellStyle="Normal 2"/>
    <tableColumn id="13289" xr3:uid="{ED7421B2-0E42-4F23-8A01-6250954D708D}" name="Column13274" dataCellStyle="Normal 2"/>
    <tableColumn id="13290" xr3:uid="{00C84B71-0D51-4214-AE1B-2C1A3C6A2022}" name="Column13275" dataCellStyle="Normal 2"/>
    <tableColumn id="13291" xr3:uid="{F4960438-15DA-4EA8-826F-54C10D7A699D}" name="Column13276" dataCellStyle="Normal 2"/>
    <tableColumn id="13292" xr3:uid="{9960CB64-4007-4233-B250-35B23124F45A}" name="Column13277" dataCellStyle="Normal 2"/>
    <tableColumn id="13293" xr3:uid="{76B20E8F-715E-4FAE-B2A7-F61DBB8621AD}" name="Column13278" dataCellStyle="Normal 2"/>
    <tableColumn id="13294" xr3:uid="{E722FAFC-AD45-47DA-AFCA-CFDEB8F028C7}" name="Column13279" dataCellStyle="Normal 2"/>
    <tableColumn id="13295" xr3:uid="{A945B8AA-3403-4D91-97C1-1A904B1A3F17}" name="Column13280" dataCellStyle="Normal 2"/>
    <tableColumn id="13296" xr3:uid="{F75A0025-F7AA-4DF2-898E-3429698BE697}" name="Column13281" dataCellStyle="Normal 2"/>
    <tableColumn id="13297" xr3:uid="{C6F36406-4303-4437-BD1A-21BDACFA5C18}" name="Column13282" dataCellStyle="Normal 2"/>
    <tableColumn id="13298" xr3:uid="{2F9E4E96-E134-4DFD-9A57-01DCFABB79E0}" name="Column13283" dataCellStyle="Normal 2"/>
    <tableColumn id="13299" xr3:uid="{BA8948D2-B86B-490E-988B-493354411D6C}" name="Column13284" dataCellStyle="Normal 2"/>
    <tableColumn id="13300" xr3:uid="{4287A078-D564-4726-8E7F-7F2A8AA2915A}" name="Column13285" dataCellStyle="Normal 2"/>
    <tableColumn id="13301" xr3:uid="{2DE22E8E-ADCB-4CF9-A9A9-5FFE6026BD6A}" name="Column13286" dataCellStyle="Normal 2"/>
    <tableColumn id="13302" xr3:uid="{D0BB09E0-5FED-419B-A2AA-6657A93D09E1}" name="Column13287" dataCellStyle="Normal 2"/>
    <tableColumn id="13303" xr3:uid="{6C698630-A9E8-4EFC-B7A3-1101878CB988}" name="Column13288" dataCellStyle="Normal 2"/>
    <tableColumn id="13304" xr3:uid="{1BFA581E-D056-4718-B9A3-1F0408E67122}" name="Column13289" dataCellStyle="Normal 2"/>
    <tableColumn id="13305" xr3:uid="{5AA3BBBA-5D86-4D90-A87B-A3019DC0E1F8}" name="Column13290" dataCellStyle="Normal 2"/>
    <tableColumn id="13306" xr3:uid="{22F84FCD-062A-4BE7-B277-19E550A72857}" name="Column13291" dataCellStyle="Normal 2"/>
    <tableColumn id="13307" xr3:uid="{DDFB4524-DE02-4799-AFD7-D66325B9ACAA}" name="Column13292" dataCellStyle="Normal 2"/>
    <tableColumn id="13308" xr3:uid="{DC8A4F26-A4F5-4672-9FF1-9D620DC267E3}" name="Column13293" dataCellStyle="Normal 2"/>
    <tableColumn id="13309" xr3:uid="{89A971C6-D1F7-496F-8C90-C9C4863EF185}" name="Column13294" dataCellStyle="Normal 2"/>
    <tableColumn id="13310" xr3:uid="{02B4B302-A0C4-48E3-A5AB-11C2E98047A3}" name="Column13295" dataCellStyle="Normal 2"/>
    <tableColumn id="13311" xr3:uid="{F264A435-496F-47DB-B99F-E486D1B1A8E3}" name="Column13296" dataCellStyle="Normal 2"/>
    <tableColumn id="13312" xr3:uid="{AA6AE282-7FAE-4FFA-B726-FB75709AAA62}" name="Column13297" dataCellStyle="Normal 2"/>
    <tableColumn id="13313" xr3:uid="{90EAE229-EC4A-45B5-AE85-464BBFC0079B}" name="Column13298" dataCellStyle="Normal 2"/>
    <tableColumn id="13314" xr3:uid="{B6DD3F85-EA44-4343-9E5D-AF52EE1AA250}" name="Column13299" dataCellStyle="Normal 2"/>
    <tableColumn id="13315" xr3:uid="{452ACB96-68C5-4D5F-A7EF-7F02B45B60EB}" name="Column13300" dataCellStyle="Normal 2"/>
    <tableColumn id="13316" xr3:uid="{7CFE90B5-EAB4-4EEC-81F1-89BC5F432E36}" name="Column13301" dataCellStyle="Normal 2"/>
    <tableColumn id="13317" xr3:uid="{77F7AB06-4C23-4D67-988C-02A2E4966C39}" name="Column13302" dataCellStyle="Normal 2"/>
    <tableColumn id="13318" xr3:uid="{E8AB89F5-F89C-4393-921D-A300B3256D28}" name="Column13303" dataCellStyle="Normal 2"/>
    <tableColumn id="13319" xr3:uid="{EF28EEBD-85F6-44D8-8D91-B81CD359A7F2}" name="Column13304" dataCellStyle="Normal 2"/>
    <tableColumn id="13320" xr3:uid="{62819E54-8C6C-41C3-B910-746F4016243B}" name="Column13305" dataCellStyle="Normal 2"/>
    <tableColumn id="13321" xr3:uid="{B859F52F-F9DD-424D-B753-8E138E5EDAAF}" name="Column13306" dataCellStyle="Normal 2"/>
    <tableColumn id="13322" xr3:uid="{3DC9DBC6-BDFA-44D5-A4AD-6468071CAEDF}" name="Column13307" dataCellStyle="Normal 2"/>
    <tableColumn id="13323" xr3:uid="{FEFEEEF2-3D6D-4A48-8F2F-C47F3AA33C38}" name="Column13308" dataCellStyle="Normal 2"/>
    <tableColumn id="13324" xr3:uid="{D76E2398-D3A5-41F8-8098-70BCD313A0DF}" name="Column13309" dataCellStyle="Normal 2"/>
    <tableColumn id="13325" xr3:uid="{6BC74E8B-58FB-4781-8C82-007507345D2B}" name="Column13310" dataCellStyle="Normal 2"/>
    <tableColumn id="13326" xr3:uid="{3774A24D-58BF-4132-9480-273AD266B14D}" name="Column13311" dataCellStyle="Normal 2"/>
    <tableColumn id="13327" xr3:uid="{43A34144-1BC8-42CF-9BE5-355E2B0FF871}" name="Column13312" dataCellStyle="Normal 2"/>
    <tableColumn id="13328" xr3:uid="{1F6115AF-DCB2-43C4-85B6-350A1EA8B7BA}" name="Column13313" dataCellStyle="Normal 2"/>
    <tableColumn id="13329" xr3:uid="{14579565-A780-43EE-B0C0-38CDA9FC6C13}" name="Column13314" dataCellStyle="Normal 2"/>
    <tableColumn id="13330" xr3:uid="{9D41C695-65C5-4754-97DB-EDE9E7FE4496}" name="Column13315" dataCellStyle="Normal 2"/>
    <tableColumn id="13331" xr3:uid="{33FF23C5-7A31-4C6E-8892-5483C62FA310}" name="Column13316" dataCellStyle="Normal 2"/>
    <tableColumn id="13332" xr3:uid="{3D70BA5E-57F3-43FE-8625-580AF45E9250}" name="Column13317" dataCellStyle="Normal 2"/>
    <tableColumn id="13333" xr3:uid="{07A7D881-9DFC-45C9-BB13-EE4F52E51807}" name="Column13318" dataCellStyle="Normal 2"/>
    <tableColumn id="13334" xr3:uid="{93C52C2E-823C-443F-B293-6E0855FB33E3}" name="Column13319" dataCellStyle="Normal 2"/>
    <tableColumn id="13335" xr3:uid="{85BFAFE6-E6FF-4827-AB53-1D9346DC936F}" name="Column13320" dataCellStyle="Normal 2"/>
    <tableColumn id="13336" xr3:uid="{124F012B-EE84-440C-BC19-36BE1F4082E0}" name="Column13321" dataCellStyle="Normal 2"/>
    <tableColumn id="13337" xr3:uid="{0016C46A-6B2C-4E20-90CB-C860F203E782}" name="Column13322" dataCellStyle="Normal 2"/>
    <tableColumn id="13338" xr3:uid="{21F8D7F2-5B61-43F5-A295-45A7DE8D3FFD}" name="Column13323" dataCellStyle="Normal 2"/>
    <tableColumn id="13339" xr3:uid="{A6D461D0-C165-406E-B428-09580B3A1254}" name="Column13324" dataCellStyle="Normal 2"/>
    <tableColumn id="13340" xr3:uid="{C01C8214-0B30-4D42-9546-4E02E16C8BFD}" name="Column13325" dataCellStyle="Normal 2"/>
    <tableColumn id="13341" xr3:uid="{283DB40B-427A-45F9-AF64-B2D7059DCA37}" name="Column13326" dataCellStyle="Normal 2"/>
    <tableColumn id="13342" xr3:uid="{20F815EB-CB3A-4C86-8F90-E6A02CFD8E5D}" name="Column13327" dataCellStyle="Normal 2"/>
    <tableColumn id="13343" xr3:uid="{F4BCFC45-1D80-439F-9CB5-DC3431C7B5D4}" name="Column13328" dataCellStyle="Normal 2"/>
    <tableColumn id="13344" xr3:uid="{2DAE05CF-2333-4D30-A058-95F162701CD9}" name="Column13329" dataCellStyle="Normal 2"/>
    <tableColumn id="13345" xr3:uid="{59ECE6AE-BCDE-4191-9C78-B6D41046A935}" name="Column13330" dataCellStyle="Normal 2"/>
    <tableColumn id="13346" xr3:uid="{118630B2-9949-4B1F-9B0D-463C22717690}" name="Column13331" dataCellStyle="Normal 2"/>
    <tableColumn id="13347" xr3:uid="{5C481B24-AD2E-4ED2-80DC-4D30D1A3ABB6}" name="Column13332" dataCellStyle="Normal 2"/>
    <tableColumn id="13348" xr3:uid="{28A7B995-0700-4D25-BB83-02BB8B6044BD}" name="Column13333" dataCellStyle="Normal 2"/>
    <tableColumn id="13349" xr3:uid="{0EB64EC5-A327-4BAF-816B-68F016D12298}" name="Column13334" dataCellStyle="Normal 2"/>
    <tableColumn id="13350" xr3:uid="{216F50F5-635F-4666-B6AE-561762473D2A}" name="Column13335" dataCellStyle="Normal 2"/>
    <tableColumn id="13351" xr3:uid="{0A8868DA-813D-42B4-B741-27BE3ECE81CA}" name="Column13336" dataCellStyle="Normal 2"/>
    <tableColumn id="13352" xr3:uid="{473047B3-69C2-44C0-B76B-0833D9D91C31}" name="Column13337" dataCellStyle="Normal 2"/>
    <tableColumn id="13353" xr3:uid="{AB00DEFF-907E-4D46-AA87-BCDBC3FED77E}" name="Column13338" dataCellStyle="Normal 2"/>
    <tableColumn id="13354" xr3:uid="{3FD14B47-6946-40C3-8219-545DE25EDC12}" name="Column13339" dataCellStyle="Normal 2"/>
    <tableColumn id="13355" xr3:uid="{1BAB3BBB-F895-44F7-8DB5-34D20CEDA39D}" name="Column13340" dataCellStyle="Normal 2"/>
    <tableColumn id="13356" xr3:uid="{CDCB3841-C0A1-4AB1-8C80-C729BD9B3D59}" name="Column13341" dataCellStyle="Normal 2"/>
    <tableColumn id="13357" xr3:uid="{96D4FB56-FC91-49D9-9009-2D0DF9921F59}" name="Column13342" dataCellStyle="Normal 2"/>
    <tableColumn id="13358" xr3:uid="{BE92597B-08F4-428D-95AA-619385DF2CF1}" name="Column13343" dataCellStyle="Normal 2"/>
    <tableColumn id="13359" xr3:uid="{D6755928-5755-43E1-8BEB-C77BE0D275D0}" name="Column13344" dataCellStyle="Normal 2"/>
    <tableColumn id="13360" xr3:uid="{914BDC95-B49E-4525-85C4-DD539272F987}" name="Column13345" dataCellStyle="Normal 2"/>
    <tableColumn id="13361" xr3:uid="{381B84EB-0230-4A50-8897-89877951F29E}" name="Column13346" dataCellStyle="Normal 2"/>
    <tableColumn id="13362" xr3:uid="{8DFD45B9-E3CA-4346-8444-9BC3AF1D0421}" name="Column13347" dataCellStyle="Normal 2"/>
    <tableColumn id="13363" xr3:uid="{91A5177B-59B6-43CC-AF34-85D7B576F08F}" name="Column13348" dataCellStyle="Normal 2"/>
    <tableColumn id="13364" xr3:uid="{A4F8B74C-E512-414C-B0FC-0BD296CF4244}" name="Column13349" dataCellStyle="Normal 2"/>
    <tableColumn id="13365" xr3:uid="{DC5AA021-F61B-443F-BF28-D2B1D5B831A7}" name="Column13350" dataCellStyle="Normal 2"/>
    <tableColumn id="13366" xr3:uid="{E87B003A-8FF2-4198-A678-F8E3CAE8DBAB}" name="Column13351" dataCellStyle="Normal 2"/>
    <tableColumn id="13367" xr3:uid="{4BD5D683-82FB-40EC-9E93-73A11839FBEE}" name="Column13352" dataCellStyle="Normal 2"/>
    <tableColumn id="13368" xr3:uid="{0943BACB-817A-47B4-B8C9-236CAC6F758C}" name="Column13353" dataCellStyle="Normal 2"/>
    <tableColumn id="13369" xr3:uid="{366ACFAE-06D1-4BF2-808A-4E69619D0676}" name="Column13354" dataCellStyle="Normal 2"/>
    <tableColumn id="13370" xr3:uid="{E4B0BDF1-32E6-430D-9D04-3DE379B66526}" name="Column13355" dataCellStyle="Normal 2"/>
    <tableColumn id="13371" xr3:uid="{1F73B4B5-DDF9-4537-BFDE-24D82BBD7572}" name="Column13356" dataCellStyle="Normal 2"/>
    <tableColumn id="13372" xr3:uid="{07E19CF3-E900-4AD3-8CAE-3FDDD8D7F2C4}" name="Column13357" dataCellStyle="Normal 2"/>
    <tableColumn id="13373" xr3:uid="{6E73E882-36C8-4DC1-8AA2-F370BD72F383}" name="Column13358" dataCellStyle="Normal 2"/>
    <tableColumn id="13374" xr3:uid="{B1B7E4CA-AC73-485D-897C-03E3BA7197DA}" name="Column13359" dataCellStyle="Normal 2"/>
    <tableColumn id="13375" xr3:uid="{3F36AE29-D898-4640-A83C-ABBA0DBF2133}" name="Column13360" dataCellStyle="Normal 2"/>
    <tableColumn id="13376" xr3:uid="{D5708E83-1BED-4BB1-93DF-4D97DB6EAE35}" name="Column13361" dataCellStyle="Normal 2"/>
    <tableColumn id="13377" xr3:uid="{69A200F4-5AB6-4EAA-86C6-F3658EA3BEA6}" name="Column13362" dataCellStyle="Normal 2"/>
    <tableColumn id="13378" xr3:uid="{0367BA68-A663-4A2A-9ED3-E202084E5DED}" name="Column13363" dataCellStyle="Normal 2"/>
    <tableColumn id="13379" xr3:uid="{7D8684AA-DE86-4322-BCDF-9AAA1B9B680F}" name="Column13364" dataCellStyle="Normal 2"/>
    <tableColumn id="13380" xr3:uid="{55D2E82D-B5BB-4CCC-8282-C759D8587CEE}" name="Column13365" dataCellStyle="Normal 2"/>
    <tableColumn id="13381" xr3:uid="{89031708-A869-4C09-9E3F-53D50E54A824}" name="Column13366" dataCellStyle="Normal 2"/>
    <tableColumn id="13382" xr3:uid="{621D5BD0-7442-4B9B-8838-B344E7765AA4}" name="Column13367" dataCellStyle="Normal 2"/>
    <tableColumn id="13383" xr3:uid="{AED01247-D14C-4934-B920-E720F1308329}" name="Column13368" dataCellStyle="Normal 2"/>
    <tableColumn id="13384" xr3:uid="{75E8D80B-4412-4444-B876-85C1D98709DF}" name="Column13369" dataCellStyle="Normal 2"/>
    <tableColumn id="13385" xr3:uid="{6252EA0F-2B91-463A-BAA0-771CCCC181F4}" name="Column13370" dataCellStyle="Normal 2"/>
    <tableColumn id="13386" xr3:uid="{DF71E185-0B5D-4FBA-B8B4-8C31082614F8}" name="Column13371" dataCellStyle="Normal 2"/>
    <tableColumn id="13387" xr3:uid="{44DEA33E-01CF-4D62-9303-4DFD4870A27C}" name="Column13372" dataCellStyle="Normal 2"/>
    <tableColumn id="13388" xr3:uid="{9BC4EE7F-2186-49E1-A552-9FCC401F5D56}" name="Column13373" dataCellStyle="Normal 2"/>
    <tableColumn id="13389" xr3:uid="{421B2C64-859A-4162-B213-40F427FED10E}" name="Column13374" dataCellStyle="Normal 2"/>
    <tableColumn id="13390" xr3:uid="{6A22309C-D91B-42AD-80FE-82C44037644A}" name="Column13375" dataCellStyle="Normal 2"/>
    <tableColumn id="13391" xr3:uid="{EFD202D6-9159-444D-97D9-91E0A79EEE03}" name="Column13376" dataCellStyle="Normal 2"/>
    <tableColumn id="13392" xr3:uid="{CDFDAD45-5D70-4D56-AB34-03B2040FAC5D}" name="Column13377" dataCellStyle="Normal 2"/>
    <tableColumn id="13393" xr3:uid="{81E3F001-F852-49C1-AFDC-7E8F6B26429B}" name="Column13378" dataCellStyle="Normal 2"/>
    <tableColumn id="13394" xr3:uid="{5C171139-9508-4EC2-B7B8-0D75209AD0F6}" name="Column13379" dataCellStyle="Normal 2"/>
    <tableColumn id="13395" xr3:uid="{C37FC7C2-FEB9-4CD2-A195-70B38C7B73A6}" name="Column13380" dataCellStyle="Normal 2"/>
    <tableColumn id="13396" xr3:uid="{F6BF76B1-7CFB-4A59-97B3-6408D5E61A7B}" name="Column13381" dataCellStyle="Normal 2"/>
    <tableColumn id="13397" xr3:uid="{1ED18677-C696-44A2-8BBC-0C079FA0C531}" name="Column13382" dataCellStyle="Normal 2"/>
    <tableColumn id="13398" xr3:uid="{91FEAF8A-64EA-45C7-BBEC-F6ECFEE667E8}" name="Column13383" dataCellStyle="Normal 2"/>
    <tableColumn id="13399" xr3:uid="{51E91760-A68A-472C-9AE0-A3D1E90C0855}" name="Column13384" dataCellStyle="Normal 2"/>
    <tableColumn id="13400" xr3:uid="{31CD3E0E-624E-4F95-9515-20B5E4FF07AC}" name="Column13385" dataCellStyle="Normal 2"/>
    <tableColumn id="13401" xr3:uid="{9454D10D-41BF-44C7-BD32-C56AC411E404}" name="Column13386" dataCellStyle="Normal 2"/>
    <tableColumn id="13402" xr3:uid="{064E81E6-EAED-4AF7-8C68-2EFE653CADB8}" name="Column13387" dataCellStyle="Normal 2"/>
    <tableColumn id="13403" xr3:uid="{61245085-E021-4AF2-918C-E287944EB03A}" name="Column13388" dataCellStyle="Normal 2"/>
    <tableColumn id="13404" xr3:uid="{106DAACB-72C1-4787-9C87-B3785CF933C5}" name="Column13389" dataCellStyle="Normal 2"/>
    <tableColumn id="13405" xr3:uid="{4DA058B6-1E59-4D1A-A1CB-41843BE6F0EC}" name="Column13390" dataCellStyle="Normal 2"/>
    <tableColumn id="13406" xr3:uid="{9AA6E336-6A2B-4340-8D9E-F4BCBE3165D6}" name="Column13391" dataCellStyle="Normal 2"/>
    <tableColumn id="13407" xr3:uid="{3DF743B1-93F2-45FD-94CA-160E5134B5A8}" name="Column13392" dataCellStyle="Normal 2"/>
    <tableColumn id="13408" xr3:uid="{5C22031E-EA83-4416-B1EC-26DF26D37720}" name="Column13393" dataCellStyle="Normal 2"/>
    <tableColumn id="13409" xr3:uid="{61012CB3-EAF7-457A-A731-02504123BEDF}" name="Column13394" dataCellStyle="Normal 2"/>
    <tableColumn id="13410" xr3:uid="{63B4FD0A-55B5-458F-96A3-A1F3FCAA751A}" name="Column13395" dataCellStyle="Normal 2"/>
    <tableColumn id="13411" xr3:uid="{87B135AE-ED34-4151-8B82-02DD816D4275}" name="Column13396" dataCellStyle="Normal 2"/>
    <tableColumn id="13412" xr3:uid="{45DEEC47-8A36-4980-9CCC-D5A016A10FAA}" name="Column13397" dataCellStyle="Normal 2"/>
    <tableColumn id="13413" xr3:uid="{BB262ECC-D502-47AE-95BF-C5305CF82C4B}" name="Column13398" dataCellStyle="Normal 2"/>
    <tableColumn id="13414" xr3:uid="{62044133-2413-413E-9862-1C05DE48D2C0}" name="Column13399" dataCellStyle="Normal 2"/>
    <tableColumn id="13415" xr3:uid="{BA73EDEE-DB0B-499A-B64F-234D37C8C4D7}" name="Column13400" dataCellStyle="Normal 2"/>
    <tableColumn id="13416" xr3:uid="{01A9723E-149D-46F0-AE85-3E63DBC0CE59}" name="Column13401" dataCellStyle="Normal 2"/>
    <tableColumn id="13417" xr3:uid="{4CCC4B38-9526-4701-909C-AF1C8A649104}" name="Column13402" dataCellStyle="Normal 2"/>
    <tableColumn id="13418" xr3:uid="{DF0875D6-2892-4735-9115-15CABE3D23AD}" name="Column13403" dataCellStyle="Normal 2"/>
    <tableColumn id="13419" xr3:uid="{76129431-64CC-4E7A-B3D6-7480E97CD7D3}" name="Column13404" dataCellStyle="Normal 2"/>
    <tableColumn id="13420" xr3:uid="{EE2216AF-A0D8-4DB9-9597-A1E56B65E36D}" name="Column13405" dataCellStyle="Normal 2"/>
    <tableColumn id="13421" xr3:uid="{D4F95210-98F7-4D5B-8EBF-C55E41AAC9D1}" name="Column13406" dataCellStyle="Normal 2"/>
    <tableColumn id="13422" xr3:uid="{52597515-1FCD-4148-92CC-61230FBF027E}" name="Column13407" dataCellStyle="Normal 2"/>
    <tableColumn id="13423" xr3:uid="{31375AA0-1241-48B4-AEAE-BF58558AAD4E}" name="Column13408" dataCellStyle="Normal 2"/>
    <tableColumn id="13424" xr3:uid="{BCC107E5-EEC8-4A44-BC32-B913B5A37879}" name="Column13409" dataCellStyle="Normal 2"/>
    <tableColumn id="13425" xr3:uid="{25B0759C-351A-49D5-84F2-0213D85952CB}" name="Column13410" dataCellStyle="Normal 2"/>
    <tableColumn id="13426" xr3:uid="{79221BF4-C8B9-4268-A032-16F15DDB2F98}" name="Column13411" dataCellStyle="Normal 2"/>
    <tableColumn id="13427" xr3:uid="{BD57679B-3B31-4A46-9FB7-D0AFB3AF5A85}" name="Column13412" dataCellStyle="Normal 2"/>
    <tableColumn id="13428" xr3:uid="{53B6829E-2085-49B6-BEA1-01B4685C8EDC}" name="Column13413" dataCellStyle="Normal 2"/>
    <tableColumn id="13429" xr3:uid="{46C851B2-ADBB-4E35-A1D6-9606C84A9DE7}" name="Column13414" dataCellStyle="Normal 2"/>
    <tableColumn id="13430" xr3:uid="{074C9A94-25BB-488C-A064-E502E62A3160}" name="Column13415" dataCellStyle="Normal 2"/>
    <tableColumn id="13431" xr3:uid="{DAC3B3BC-1875-471D-A444-811346982AEB}" name="Column13416" dataCellStyle="Normal 2"/>
    <tableColumn id="13432" xr3:uid="{AA53BC33-7345-46BB-84CF-39CD94DFC36E}" name="Column13417" dataCellStyle="Normal 2"/>
    <tableColumn id="13433" xr3:uid="{A40020D2-2CBF-4DEA-986E-3D0E626FF2B2}" name="Column13418" dataCellStyle="Normal 2"/>
    <tableColumn id="13434" xr3:uid="{AAE88024-83FB-48F5-9CE8-120CEADCF3BF}" name="Column13419" dataCellStyle="Normal 2"/>
    <tableColumn id="13435" xr3:uid="{AE40319C-7A53-4AC8-A9AF-75E7177BA13E}" name="Column13420" dataCellStyle="Normal 2"/>
    <tableColumn id="13436" xr3:uid="{8D4A8579-A942-457E-B89E-DC0164FADDC4}" name="Column13421" dataCellStyle="Normal 2"/>
    <tableColumn id="13437" xr3:uid="{F990C578-C791-41A3-A129-62CE69390BC2}" name="Column13422" dataCellStyle="Normal 2"/>
    <tableColumn id="13438" xr3:uid="{7B1ADE2D-00AC-4F8D-B7B7-AB97E15756CD}" name="Column13423" dataCellStyle="Normal 2"/>
    <tableColumn id="13439" xr3:uid="{DD67608B-9AC5-4A07-B68B-2B8D903F9099}" name="Column13424" dataCellStyle="Normal 2"/>
    <tableColumn id="13440" xr3:uid="{437966E3-ACA5-448F-B8C9-79F352A823DC}" name="Column13425" dataCellStyle="Normal 2"/>
    <tableColumn id="13441" xr3:uid="{50675E76-5187-44DB-8051-B6ADC7788D65}" name="Column13426" dataCellStyle="Normal 2"/>
    <tableColumn id="13442" xr3:uid="{2A3F45E8-D104-4FFD-BB27-010F9D8C7556}" name="Column13427" dataCellStyle="Normal 2"/>
    <tableColumn id="13443" xr3:uid="{E6077116-EED1-4A02-AB64-018DCB707DEF}" name="Column13428" dataCellStyle="Normal 2"/>
    <tableColumn id="13444" xr3:uid="{978C86A3-C210-4FA7-8964-654956AEED08}" name="Column13429" dataCellStyle="Normal 2"/>
    <tableColumn id="13445" xr3:uid="{C4118AF2-2222-453B-B0D5-C63508B23C1D}" name="Column13430" dataCellStyle="Normal 2"/>
    <tableColumn id="13446" xr3:uid="{1EB90FBD-2AAA-4D16-A633-849BED2EB19C}" name="Column13431" dataCellStyle="Normal 2"/>
    <tableColumn id="13447" xr3:uid="{809A67B8-8E62-4256-8396-112D80DD745C}" name="Column13432" dataCellStyle="Normal 2"/>
    <tableColumn id="13448" xr3:uid="{184852CB-DA8A-4604-BB1B-40F6E8DC69BA}" name="Column13433" dataCellStyle="Normal 2"/>
    <tableColumn id="13449" xr3:uid="{EAF6071B-D71E-44AC-8BEF-2FEB563DDB27}" name="Column13434" dataCellStyle="Normal 2"/>
    <tableColumn id="13450" xr3:uid="{F0B93E75-0E9F-46F3-A25F-95092C53E28B}" name="Column13435" dataCellStyle="Normal 2"/>
    <tableColumn id="13451" xr3:uid="{3B54BCD3-CFBF-4AB8-9A55-961CB81D47AD}" name="Column13436" dataCellStyle="Normal 2"/>
    <tableColumn id="13452" xr3:uid="{B64721E7-08E5-45D4-A4FD-945D716ABC14}" name="Column13437" dataCellStyle="Normal 2"/>
    <tableColumn id="13453" xr3:uid="{2BA4EFA1-4E3A-4D6F-B209-0B8A262B2D8D}" name="Column13438" dataCellStyle="Normal 2"/>
    <tableColumn id="13454" xr3:uid="{E1C1B1B5-8544-4B05-855F-AC6BD7361A23}" name="Column13439" dataCellStyle="Normal 2"/>
    <tableColumn id="13455" xr3:uid="{7EDF9386-8770-4F05-8E7B-944D9A827AD3}" name="Column13440" dataCellStyle="Normal 2"/>
    <tableColumn id="13456" xr3:uid="{9D059E9F-EF44-40F9-83C0-3700FB107A08}" name="Column13441" dataCellStyle="Normal 2"/>
    <tableColumn id="13457" xr3:uid="{A641CB18-12DF-400C-9BE2-C3D43E457942}" name="Column13442" dataCellStyle="Normal 2"/>
    <tableColumn id="13458" xr3:uid="{006CCB0D-5E67-4AD9-BFA8-E35C8E0463B2}" name="Column13443" dataCellStyle="Normal 2"/>
    <tableColumn id="13459" xr3:uid="{7EC66AC6-9405-49A7-B50C-48DB8B361362}" name="Column13444" dataCellStyle="Normal 2"/>
    <tableColumn id="13460" xr3:uid="{B39E07AA-93DA-444E-87B0-33C4F73BC387}" name="Column13445" dataCellStyle="Normal 2"/>
    <tableColumn id="13461" xr3:uid="{74916579-F1F2-41DE-BD97-F02169ED15E5}" name="Column13446" dataCellStyle="Normal 2"/>
    <tableColumn id="13462" xr3:uid="{806D9D23-E969-4AF8-AA97-4AB8AA5D5A42}" name="Column13447" dataCellStyle="Normal 2"/>
    <tableColumn id="13463" xr3:uid="{54F633C1-47F7-4318-BA16-576785BA2147}" name="Column13448" dataCellStyle="Normal 2"/>
    <tableColumn id="13464" xr3:uid="{F31E221E-A76E-449B-89E7-57F922E060ED}" name="Column13449" dataCellStyle="Normal 2"/>
    <tableColumn id="13465" xr3:uid="{B740AC4E-F6F6-400F-87AE-5701FA7588CE}" name="Column13450" dataCellStyle="Normal 2"/>
    <tableColumn id="13466" xr3:uid="{B12F236F-D579-4840-9737-8E48A3577485}" name="Column13451" dataCellStyle="Normal 2"/>
    <tableColumn id="13467" xr3:uid="{CAEEEFAF-948B-4128-B522-C706291CDF46}" name="Column13452" dataCellStyle="Normal 2"/>
    <tableColumn id="13468" xr3:uid="{CC40D710-1FFF-4391-8EE0-B9F904A7B89F}" name="Column13453" dataCellStyle="Normal 2"/>
    <tableColumn id="13469" xr3:uid="{03069D2B-AD85-4421-8ED3-C05D1678AFCE}" name="Column13454" dataCellStyle="Normal 2"/>
    <tableColumn id="13470" xr3:uid="{75CF01C1-F36A-4340-8F4E-2DE5769BA297}" name="Column13455" dataCellStyle="Normal 2"/>
    <tableColumn id="13471" xr3:uid="{EB7D8E6F-A315-4426-9883-CC57194CC4EB}" name="Column13456" dataCellStyle="Normal 2"/>
    <tableColumn id="13472" xr3:uid="{2E68AE58-08B3-4B09-96E4-B4F26E823C3F}" name="Column13457" dataCellStyle="Normal 2"/>
    <tableColumn id="13473" xr3:uid="{BA7747C2-EF5C-4642-AF4D-18174BB03CA9}" name="Column13458" dataCellStyle="Normal 2"/>
    <tableColumn id="13474" xr3:uid="{C30B118B-5F81-4288-84C4-D7B02B211C8A}" name="Column13459" dataCellStyle="Normal 2"/>
    <tableColumn id="13475" xr3:uid="{C80C03D3-9808-4F1B-A947-C3A031C64E83}" name="Column13460" dataCellStyle="Normal 2"/>
    <tableColumn id="13476" xr3:uid="{A542C196-8312-4352-B294-1E07115E079A}" name="Column13461" dataCellStyle="Normal 2"/>
    <tableColumn id="13477" xr3:uid="{99704231-4A77-4D46-8B37-2B5CE0D0DC84}" name="Column13462" dataCellStyle="Normal 2"/>
    <tableColumn id="13478" xr3:uid="{A854BC90-0DBE-4A71-A74C-C9BF756FFCC5}" name="Column13463" dataCellStyle="Normal 2"/>
    <tableColumn id="13479" xr3:uid="{ACA09761-DFFA-47C4-994E-2D4E82152728}" name="Column13464" dataCellStyle="Normal 2"/>
    <tableColumn id="13480" xr3:uid="{2AFBA84F-DAD1-4723-8A63-C52849E32055}" name="Column13465" dataCellStyle="Normal 2"/>
    <tableColumn id="13481" xr3:uid="{594D84DA-14A2-4FA6-9CA7-74B390264F26}" name="Column13466" dataCellStyle="Normal 2"/>
    <tableColumn id="13482" xr3:uid="{22B2F5F6-BFE9-4BF3-90FB-CA7D480AF522}" name="Column13467" dataCellStyle="Normal 2"/>
    <tableColumn id="13483" xr3:uid="{C711D907-9F96-4B3F-BD34-F86F18440D64}" name="Column13468" dataCellStyle="Normal 2"/>
    <tableColumn id="13484" xr3:uid="{959FF000-CA8C-4CF4-88B4-B5C82961C4BE}" name="Column13469" dataCellStyle="Normal 2"/>
    <tableColumn id="13485" xr3:uid="{128BA45D-47AA-4BD3-ACE0-3DD9A33430AF}" name="Column13470" dataCellStyle="Normal 2"/>
    <tableColumn id="13486" xr3:uid="{C45C0C33-A77F-41FE-8853-68F02EE32EAB}" name="Column13471" dataCellStyle="Normal 2"/>
    <tableColumn id="13487" xr3:uid="{E7B8FCF5-E920-46A6-9C23-78FC8E558D32}" name="Column13472" dataCellStyle="Normal 2"/>
    <tableColumn id="13488" xr3:uid="{4399224A-5CAC-4F76-BBD3-023AC9E19175}" name="Column13473" dataCellStyle="Normal 2"/>
    <tableColumn id="13489" xr3:uid="{EFEF1E4F-6D81-47E9-BC92-FF0D83D3FA4F}" name="Column13474" dataCellStyle="Normal 2"/>
    <tableColumn id="13490" xr3:uid="{EFE05CB4-A3C8-4187-AF4E-1734FE72B403}" name="Column13475" dataCellStyle="Normal 2"/>
    <tableColumn id="13491" xr3:uid="{D80D8EDC-393D-4ADD-8E21-4C6905EEC959}" name="Column13476" dataCellStyle="Normal 2"/>
    <tableColumn id="13492" xr3:uid="{321DF49A-0073-40E8-BFB5-285F1A886346}" name="Column13477" dataCellStyle="Normal 2"/>
    <tableColumn id="13493" xr3:uid="{8F1DF913-994C-4DED-9317-40FFF82C38AE}" name="Column13478" dataCellStyle="Normal 2"/>
    <tableColumn id="13494" xr3:uid="{370936E9-62F2-4F14-964C-715B0012AAF1}" name="Column13479" dataCellStyle="Normal 2"/>
    <tableColumn id="13495" xr3:uid="{B0334CD4-E699-4813-9493-1CD4D2920DA7}" name="Column13480" dataCellStyle="Normal 2"/>
    <tableColumn id="13496" xr3:uid="{079802AB-6AFE-425E-9182-BE2ECAA13633}" name="Column13481" dataCellStyle="Normal 2"/>
    <tableColumn id="13497" xr3:uid="{81A6A747-76F8-4720-9586-D8F920E2E9E1}" name="Column13482" dataCellStyle="Normal 2"/>
    <tableColumn id="13498" xr3:uid="{5A3B5869-BDD7-4277-AD09-A0646E2D4260}" name="Column13483" dataCellStyle="Normal 2"/>
    <tableColumn id="13499" xr3:uid="{CE162A8A-2F52-4C07-9216-4F798A5DC011}" name="Column13484" dataCellStyle="Normal 2"/>
    <tableColumn id="13500" xr3:uid="{E9138556-870C-4F14-96D4-9E2EDADA5191}" name="Column13485" dataCellStyle="Normal 2"/>
    <tableColumn id="13501" xr3:uid="{E0ED933D-B91C-4810-8E36-DE32525573DD}" name="Column13486" dataCellStyle="Normal 2"/>
    <tableColumn id="13502" xr3:uid="{1D560675-A395-41F8-A7A2-AE61E188F8CD}" name="Column13487" dataCellStyle="Normal 2"/>
    <tableColumn id="13503" xr3:uid="{C98A6239-B09C-46F6-903F-25A518032D69}" name="Column13488" dataCellStyle="Normal 2"/>
    <tableColumn id="13504" xr3:uid="{BAA5BB69-E4EF-4581-8A62-81A4711B5A34}" name="Column13489" dataCellStyle="Normal 2"/>
    <tableColumn id="13505" xr3:uid="{FD21389E-6D13-432C-875C-07E4ABC20001}" name="Column13490" dataCellStyle="Normal 2"/>
    <tableColumn id="13506" xr3:uid="{92053957-256D-484E-9AFA-9D2247AF6E0A}" name="Column13491" dataCellStyle="Normal 2"/>
    <tableColumn id="13507" xr3:uid="{9B03DA1C-E36D-4F2E-9853-4808BEEA7B20}" name="Column13492" dataCellStyle="Normal 2"/>
    <tableColumn id="13508" xr3:uid="{87B7D88D-95E5-4FC1-907C-C0D0DFF26D9B}" name="Column13493" dataCellStyle="Normal 2"/>
    <tableColumn id="13509" xr3:uid="{8914408E-A588-44A3-9D5D-C30B6D88E9DA}" name="Column13494" dataCellStyle="Normal 2"/>
    <tableColumn id="13510" xr3:uid="{CC12E17B-285A-4A5D-9ACA-B7F1378BA47E}" name="Column13495" dataCellStyle="Normal 2"/>
    <tableColumn id="13511" xr3:uid="{770F8ECC-1873-4512-9E0B-2899682C00E6}" name="Column13496" dataCellStyle="Normal 2"/>
    <tableColumn id="13512" xr3:uid="{E42267B4-205F-499B-8C55-A174E4494AE3}" name="Column13497" dataCellStyle="Normal 2"/>
    <tableColumn id="13513" xr3:uid="{C4AC6B0D-F242-4B3B-BEFE-2B82F27F029D}" name="Column13498" dataCellStyle="Normal 2"/>
    <tableColumn id="13514" xr3:uid="{02A061AB-55F8-4218-BBB3-4F1277A1656C}" name="Column13499" dataCellStyle="Normal 2"/>
    <tableColumn id="13515" xr3:uid="{36C1B663-372C-44F8-AC8D-0CF57AD8003D}" name="Column13500" dataCellStyle="Normal 2"/>
    <tableColumn id="13516" xr3:uid="{AA0E88E9-AC4D-462D-AD3A-F7505E84ECE5}" name="Column13501" dataCellStyle="Normal 2"/>
    <tableColumn id="13517" xr3:uid="{E501177D-A536-4BF5-90E5-0065B71C5748}" name="Column13502" dataCellStyle="Normal 2"/>
    <tableColumn id="13518" xr3:uid="{0150F29B-63B7-4501-8B85-E11124817536}" name="Column13503" dataCellStyle="Normal 2"/>
    <tableColumn id="13519" xr3:uid="{0B7D404A-B6B8-4164-A89D-55C4D5FBCF53}" name="Column13504" dataCellStyle="Normal 2"/>
    <tableColumn id="13520" xr3:uid="{B7898053-F9E5-45EF-8EC1-AD5850DC433F}" name="Column13505" dataCellStyle="Normal 2"/>
    <tableColumn id="13521" xr3:uid="{D4D9DF5B-507F-400B-9FE7-8058DFFF36DE}" name="Column13506" dataCellStyle="Normal 2"/>
    <tableColumn id="13522" xr3:uid="{489F4492-C6CE-400F-ACA8-C294ABDEBE6C}" name="Column13507" dataCellStyle="Normal 2"/>
    <tableColumn id="13523" xr3:uid="{3AE4DBAE-846A-4B15-BD51-44EAD6FE65F7}" name="Column13508" dataCellStyle="Normal 2"/>
    <tableColumn id="13524" xr3:uid="{B28C88DF-AB95-4F39-95FA-DB1A03886A9C}" name="Column13509" dataCellStyle="Normal 2"/>
    <tableColumn id="13525" xr3:uid="{46B68827-795D-45E2-AA3E-130C397C0223}" name="Column13510" dataCellStyle="Normal 2"/>
    <tableColumn id="13526" xr3:uid="{800A0525-6DC4-4ED2-BA58-7DF8AF1342EB}" name="Column13511" dataCellStyle="Normal 2"/>
    <tableColumn id="13527" xr3:uid="{1E9F2C24-B2DE-454C-9BEA-12170BBA48BE}" name="Column13512" dataCellStyle="Normal 2"/>
    <tableColumn id="13528" xr3:uid="{6F6868C9-09DF-47C0-BC64-E95F66FFD95C}" name="Column13513" dataCellStyle="Normal 2"/>
    <tableColumn id="13529" xr3:uid="{896131F8-CFEF-4EC4-B5ED-5E303A702E22}" name="Column13514" dataCellStyle="Normal 2"/>
    <tableColumn id="13530" xr3:uid="{E7CD30B1-D826-4488-BDB7-448825AE76B5}" name="Column13515" dataCellStyle="Normal 2"/>
    <tableColumn id="13531" xr3:uid="{4DD7A4FE-02C3-4D09-BCDC-711017510CA3}" name="Column13516" dataCellStyle="Normal 2"/>
    <tableColumn id="13532" xr3:uid="{05C2A579-143B-4F52-9AB8-198A763A07B6}" name="Column13517" dataCellStyle="Normal 2"/>
    <tableColumn id="13533" xr3:uid="{D6DC9E17-14D8-4CB2-A937-5F15F06D59DE}" name="Column13518" dataCellStyle="Normal 2"/>
    <tableColumn id="13534" xr3:uid="{34DF3968-3269-44EA-B5E3-F143A95420D7}" name="Column13519" dataCellStyle="Normal 2"/>
    <tableColumn id="13535" xr3:uid="{076E3F50-84F7-49B4-816E-4951C9583795}" name="Column13520" dataCellStyle="Normal 2"/>
    <tableColumn id="13536" xr3:uid="{866D5248-A5D3-482A-B1FA-A370F3803D25}" name="Column13521" dataCellStyle="Normal 2"/>
    <tableColumn id="13537" xr3:uid="{00EC9DA1-CA87-4A2F-97ED-19CCF6C772DA}" name="Column13522" dataCellStyle="Normal 2"/>
    <tableColumn id="13538" xr3:uid="{08CE2B33-1D22-49EA-A427-C98097B8162D}" name="Column13523" dataCellStyle="Normal 2"/>
    <tableColumn id="13539" xr3:uid="{BEEBEA5A-1268-4452-8C74-19872449DFF6}" name="Column13524" dataCellStyle="Normal 2"/>
    <tableColumn id="13540" xr3:uid="{7E2D72CD-59C1-45BA-8A98-283547562FB4}" name="Column13525" dataCellStyle="Normal 2"/>
    <tableColumn id="13541" xr3:uid="{0F3A93F4-022F-4743-9493-C7C7F2F66D90}" name="Column13526" dataCellStyle="Normal 2"/>
    <tableColumn id="13542" xr3:uid="{C7B91256-1A36-45AE-9724-66ADEBBF9D76}" name="Column13527" dataCellStyle="Normal 2"/>
    <tableColumn id="13543" xr3:uid="{F10141AD-AA4E-43CB-BC88-81CE0518AD55}" name="Column13528" dataCellStyle="Normal 2"/>
    <tableColumn id="13544" xr3:uid="{63867D54-0A66-48F0-9F3F-64F44DEDE53A}" name="Column13529" dataCellStyle="Normal 2"/>
    <tableColumn id="13545" xr3:uid="{55A074F3-DE63-435C-8827-1AEBAB5CAB75}" name="Column13530" dataCellStyle="Normal 2"/>
    <tableColumn id="13546" xr3:uid="{D01D5552-F6A0-4993-B6E0-E6BAE6269010}" name="Column13531" dataCellStyle="Normal 2"/>
    <tableColumn id="13547" xr3:uid="{CA82AA40-E343-47A3-B217-032B042946A7}" name="Column13532" dataCellStyle="Normal 2"/>
    <tableColumn id="13548" xr3:uid="{71916BF5-4BE8-45A3-9F25-8E139CD17821}" name="Column13533" dataCellStyle="Normal 2"/>
    <tableColumn id="13549" xr3:uid="{4D17489F-273B-4AD0-B99D-FB40C88BC233}" name="Column13534" dataCellStyle="Normal 2"/>
    <tableColumn id="13550" xr3:uid="{276F687E-16DD-4E23-B2DA-31CC8FEE5A0B}" name="Column13535" dataCellStyle="Normal 2"/>
    <tableColumn id="13551" xr3:uid="{73C06831-DC44-4CF4-9C95-F1CCC6363831}" name="Column13536" dataCellStyle="Normal 2"/>
    <tableColumn id="13552" xr3:uid="{4E9E5A9B-DBAB-4154-87E6-6944336E0015}" name="Column13537" dataCellStyle="Normal 2"/>
    <tableColumn id="13553" xr3:uid="{DE966719-0363-464E-A152-2E4C36E0DFCC}" name="Column13538" dataCellStyle="Normal 2"/>
    <tableColumn id="13554" xr3:uid="{7BAA8E57-0B2F-4B22-9B6D-EFD84B87684D}" name="Column13539" dataCellStyle="Normal 2"/>
    <tableColumn id="13555" xr3:uid="{F5CCB84B-51A5-4596-A036-F44A71621BC9}" name="Column13540" dataCellStyle="Normal 2"/>
    <tableColumn id="13556" xr3:uid="{CE900BD6-B19D-4252-8E6E-405A1766E3F1}" name="Column13541" dataCellStyle="Normal 2"/>
    <tableColumn id="13557" xr3:uid="{37CBB665-98FC-46BC-9362-C8743B12CA00}" name="Column13542" dataCellStyle="Normal 2"/>
    <tableColumn id="13558" xr3:uid="{8398A885-D669-4059-9EED-379FFE118308}" name="Column13543" dataCellStyle="Normal 2"/>
    <tableColumn id="13559" xr3:uid="{431D4B08-9897-49DD-9E89-BE6E2371D08F}" name="Column13544" dataCellStyle="Normal 2"/>
    <tableColumn id="13560" xr3:uid="{478C9CEC-2D94-423A-9B0C-2D9C6036241A}" name="Column13545" dataCellStyle="Normal 2"/>
    <tableColumn id="13561" xr3:uid="{A80939EB-F497-4ACD-B8F1-ACE4C686A6E1}" name="Column13546" dataCellStyle="Normal 2"/>
    <tableColumn id="13562" xr3:uid="{7A816F68-ECE6-4447-B11A-85B90C683D47}" name="Column13547" dataCellStyle="Normal 2"/>
    <tableColumn id="13563" xr3:uid="{D55BDFDD-BE66-4CB5-A04C-9913EA0DE39B}" name="Column13548" dataCellStyle="Normal 2"/>
    <tableColumn id="13564" xr3:uid="{A61AD38E-D757-47B5-97F5-D788C0E674B8}" name="Column13549" dataCellStyle="Normal 2"/>
    <tableColumn id="13565" xr3:uid="{A66222C1-4B9A-457C-B24F-04C6FFE5B169}" name="Column13550" dataCellStyle="Normal 2"/>
    <tableColumn id="13566" xr3:uid="{50D681ED-8F6C-427B-B8AF-23392F508695}" name="Column13551" dataCellStyle="Normal 2"/>
    <tableColumn id="13567" xr3:uid="{2F949133-412E-4FC2-ABA1-9F5D4000B0B7}" name="Column13552" dataCellStyle="Normal 2"/>
    <tableColumn id="13568" xr3:uid="{3BE46D24-89E3-421E-BA1A-516DBD202E8A}" name="Column13553" dataCellStyle="Normal 2"/>
    <tableColumn id="13569" xr3:uid="{2E10F120-2A01-4430-A2EB-B097290335C4}" name="Column13554" dataCellStyle="Normal 2"/>
    <tableColumn id="13570" xr3:uid="{9B10B192-BFDA-4FC3-BDDB-7592FB9791B0}" name="Column13555" dataCellStyle="Normal 2"/>
    <tableColumn id="13571" xr3:uid="{A29E3439-20B5-4BFC-8618-378F653289DE}" name="Column13556" dataCellStyle="Normal 2"/>
    <tableColumn id="13572" xr3:uid="{49D02204-AE52-46C0-99CA-DBA0151F8786}" name="Column13557" dataCellStyle="Normal 2"/>
    <tableColumn id="13573" xr3:uid="{BCAC05C0-F472-4C43-9125-C31139D87E2C}" name="Column13558" dataCellStyle="Normal 2"/>
    <tableColumn id="13574" xr3:uid="{EBA770BA-4F5A-49E8-97DA-85A7C4BD16B3}" name="Column13559" dataCellStyle="Normal 2"/>
    <tableColumn id="13575" xr3:uid="{FCB7BA32-9705-40FD-A8B8-80D8952EFBB6}" name="Column13560" dataCellStyle="Normal 2"/>
    <tableColumn id="13576" xr3:uid="{722E26D1-0122-49A1-BE53-B9AAC1395B45}" name="Column13561" dataCellStyle="Normal 2"/>
    <tableColumn id="13577" xr3:uid="{F19FBE19-2CC1-4B39-B601-D26C216172BB}" name="Column13562" dataCellStyle="Normal 2"/>
    <tableColumn id="13578" xr3:uid="{D690E30E-691E-4B11-BBF4-31DF32BA4148}" name="Column13563" dataCellStyle="Normal 2"/>
    <tableColumn id="13579" xr3:uid="{717269D2-F5B6-4C9B-97EA-768B2EEDD83A}" name="Column13564" dataCellStyle="Normal 2"/>
    <tableColumn id="13580" xr3:uid="{47BB1AB7-06D0-45E9-A954-BDD563A72731}" name="Column13565" dataCellStyle="Normal 2"/>
    <tableColumn id="13581" xr3:uid="{C0C5F663-DB66-412A-8273-1AD97D5C2E67}" name="Column13566" dataCellStyle="Normal 2"/>
    <tableColumn id="13582" xr3:uid="{15E94C32-7D34-4CBE-B539-57ACED9B79F1}" name="Column13567" dataCellStyle="Normal 2"/>
    <tableColumn id="13583" xr3:uid="{6DA51245-2988-41C9-9439-CD5D235D5C91}" name="Column13568" dataCellStyle="Normal 2"/>
    <tableColumn id="13584" xr3:uid="{326FED65-D017-4527-BF8F-3E9B49BCF4D0}" name="Column13569" dataCellStyle="Normal 2"/>
    <tableColumn id="13585" xr3:uid="{BF1E07F0-C0A7-404A-92CF-491783182A45}" name="Column13570" dataCellStyle="Normal 2"/>
    <tableColumn id="13586" xr3:uid="{598536A5-87F4-40FF-8431-2A0FB0F362A7}" name="Column13571" dataCellStyle="Normal 2"/>
    <tableColumn id="13587" xr3:uid="{BB3CBFD9-C81D-4F90-A52E-954448BB8714}" name="Column13572" dataCellStyle="Normal 2"/>
    <tableColumn id="13588" xr3:uid="{82A58A1A-DC1E-4FBC-B048-3C1560AAD22E}" name="Column13573" dataCellStyle="Normal 2"/>
    <tableColumn id="13589" xr3:uid="{F38BCD5E-2477-46B6-A1A8-1C914D46B556}" name="Column13574" dataCellStyle="Normal 2"/>
    <tableColumn id="13590" xr3:uid="{DE2A3941-C04C-4DB7-980E-9D8BB150AF1F}" name="Column13575" dataCellStyle="Normal 2"/>
    <tableColumn id="13591" xr3:uid="{65DCB13E-77EE-41FB-A065-A85ED8219C8C}" name="Column13576" dataCellStyle="Normal 2"/>
    <tableColumn id="13592" xr3:uid="{C245D1C2-EB21-41D3-896F-1A7D83D03EBA}" name="Column13577" dataCellStyle="Normal 2"/>
    <tableColumn id="13593" xr3:uid="{EFF074C7-8ECA-4767-BDFE-BF8D1C917882}" name="Column13578" dataCellStyle="Normal 2"/>
    <tableColumn id="13594" xr3:uid="{A3BDE06F-8557-4FE6-9C50-DE131F174E3E}" name="Column13579" dataCellStyle="Normal 2"/>
    <tableColumn id="13595" xr3:uid="{ED575051-C9F2-48FC-A5A8-4754584F90EA}" name="Column13580" dataCellStyle="Normal 2"/>
    <tableColumn id="13596" xr3:uid="{4ED8E2AC-B26C-402D-A74D-38CF6E45390A}" name="Column13581" dataCellStyle="Normal 2"/>
    <tableColumn id="13597" xr3:uid="{90B88A61-8349-45A8-93DA-3D0FFC90C453}" name="Column13582" dataCellStyle="Normal 2"/>
    <tableColumn id="13598" xr3:uid="{1B710B4C-1587-45B3-BD8C-469DA1C4C026}" name="Column13583" dataCellStyle="Normal 2"/>
    <tableColumn id="13599" xr3:uid="{EB3FFD1B-A599-466F-A54B-464C6991EFDA}" name="Column13584" dataCellStyle="Normal 2"/>
    <tableColumn id="13600" xr3:uid="{5325846F-1B1E-447F-AD35-24770D5049A9}" name="Column13585" dataCellStyle="Normal 2"/>
    <tableColumn id="13601" xr3:uid="{FA6B587C-8633-4A23-81AC-650BF746012B}" name="Column13586" dataCellStyle="Normal 2"/>
    <tableColumn id="13602" xr3:uid="{D4C94E56-CCAE-486A-A943-142D309CF7BB}" name="Column13587" dataCellStyle="Normal 2"/>
    <tableColumn id="13603" xr3:uid="{4BB15A0B-E0A9-4A9B-9348-6642757BF779}" name="Column13588" dataCellStyle="Normal 2"/>
    <tableColumn id="13604" xr3:uid="{430BF01C-8858-415E-8A1F-1A438F5F660A}" name="Column13589" dataCellStyle="Normal 2"/>
    <tableColumn id="13605" xr3:uid="{20F388EF-F743-475F-A769-889CF6F86AB5}" name="Column13590" dataCellStyle="Normal 2"/>
    <tableColumn id="13606" xr3:uid="{C4A775A8-2230-4B80-B216-E219FF99449F}" name="Column13591" dataCellStyle="Normal 2"/>
    <tableColumn id="13607" xr3:uid="{CA4D9A77-23BA-4740-871C-494D8A347D1C}" name="Column13592" dataCellStyle="Normal 2"/>
    <tableColumn id="13608" xr3:uid="{1602D337-F877-4C4F-8FB3-918DF2E81354}" name="Column13593" dataCellStyle="Normal 2"/>
    <tableColumn id="13609" xr3:uid="{F379CCEA-35B8-4126-8C07-ED96FC2EC454}" name="Column13594" dataCellStyle="Normal 2"/>
    <tableColumn id="13610" xr3:uid="{823464B3-2BE2-4EEE-9240-A184F569BBED}" name="Column13595" dataCellStyle="Normal 2"/>
    <tableColumn id="13611" xr3:uid="{B7B2CD96-CEA5-4073-B021-D4E2C92D40BE}" name="Column13596" dataCellStyle="Normal 2"/>
    <tableColumn id="13612" xr3:uid="{D67DE68F-7E59-4BED-A594-C24C1DCE2882}" name="Column13597" dataCellStyle="Normal 2"/>
    <tableColumn id="13613" xr3:uid="{ADBCC21D-0ED2-4D13-A182-51485525F2C7}" name="Column13598" dataCellStyle="Normal 2"/>
    <tableColumn id="13614" xr3:uid="{D09BA0CF-962C-442F-8A14-985D59796976}" name="Column13599" dataCellStyle="Normal 2"/>
    <tableColumn id="13615" xr3:uid="{0F092F60-1E0E-4D18-BF1E-A91A66EDDFB1}" name="Column13600" dataCellStyle="Normal 2"/>
    <tableColumn id="13616" xr3:uid="{3E09235D-C384-4F64-8D31-81500376EE33}" name="Column13601" dataCellStyle="Normal 2"/>
    <tableColumn id="13617" xr3:uid="{B731A6F0-E90B-4857-966D-ABF9B4A6924B}" name="Column13602" dataCellStyle="Normal 2"/>
    <tableColumn id="13618" xr3:uid="{2BF2E460-AF2E-46E7-BFD3-C2F877710F40}" name="Column13603" dataCellStyle="Normal 2"/>
    <tableColumn id="13619" xr3:uid="{F2A3E98E-95A5-4B84-A94B-4BCC569DA418}" name="Column13604" dataCellStyle="Normal 2"/>
    <tableColumn id="13620" xr3:uid="{7A249490-7506-4E61-8822-065DD98F1DAD}" name="Column13605" dataCellStyle="Normal 2"/>
    <tableColumn id="13621" xr3:uid="{BFCD1291-EE41-46EE-897D-BB254F73C07D}" name="Column13606" dataCellStyle="Normal 2"/>
    <tableColumn id="13622" xr3:uid="{2C3D4560-8E63-4711-94F1-D8EB5EF4AA09}" name="Column13607" dataCellStyle="Normal 2"/>
    <tableColumn id="13623" xr3:uid="{D429AC2C-19D9-4F9A-A96A-3F6E4D434F70}" name="Column13608" dataCellStyle="Normal 2"/>
    <tableColumn id="13624" xr3:uid="{3554A55E-734F-44EA-8E7A-11B847398F72}" name="Column13609" dataCellStyle="Normal 2"/>
    <tableColumn id="13625" xr3:uid="{D0BCB9A5-0257-48F4-ABA6-43476389C02C}" name="Column13610" dataCellStyle="Normal 2"/>
    <tableColumn id="13626" xr3:uid="{D61DC328-B199-4E14-B02C-96F7A9EE6684}" name="Column13611" dataCellStyle="Normal 2"/>
    <tableColumn id="13627" xr3:uid="{C0559F83-34ED-49F5-A5C1-0899BF18CC7B}" name="Column13612" dataCellStyle="Normal 2"/>
    <tableColumn id="13628" xr3:uid="{388E37B1-46BD-4E64-BAD6-AD2237E6A235}" name="Column13613" dataCellStyle="Normal 2"/>
    <tableColumn id="13629" xr3:uid="{A055F432-67E6-49E0-AC00-C2666A07F946}" name="Column13614" dataCellStyle="Normal 2"/>
    <tableColumn id="13630" xr3:uid="{8AC5784F-19B6-42A8-81CE-68497263DE82}" name="Column13615" dataCellStyle="Normal 2"/>
    <tableColumn id="13631" xr3:uid="{8603AF43-E660-414B-B2F0-23471C2B52C0}" name="Column13616" dataCellStyle="Normal 2"/>
    <tableColumn id="13632" xr3:uid="{7DCD9725-A552-45D1-BDE3-2282C4F9A8F4}" name="Column13617" dataCellStyle="Normal 2"/>
    <tableColumn id="13633" xr3:uid="{85893DAB-4E90-4DA7-855D-EB1697071948}" name="Column13618" dataCellStyle="Normal 2"/>
    <tableColumn id="13634" xr3:uid="{EFC9EC22-B17C-4CC3-BC18-BDC5B64695F8}" name="Column13619" dataCellStyle="Normal 2"/>
    <tableColumn id="13635" xr3:uid="{A22856E0-2EED-4871-B65C-7F01E69F841C}" name="Column13620" dataCellStyle="Normal 2"/>
    <tableColumn id="13636" xr3:uid="{62ED4BB4-3582-4944-BB43-B7B03EA9508F}" name="Column13621" dataCellStyle="Normal 2"/>
    <tableColumn id="13637" xr3:uid="{BB4652A4-102B-4C69-B6ED-3512186391A9}" name="Column13622" dataCellStyle="Normal 2"/>
    <tableColumn id="13638" xr3:uid="{3842B309-09C0-48F1-942A-06CA36F2320E}" name="Column13623" dataCellStyle="Normal 2"/>
    <tableColumn id="13639" xr3:uid="{677DE73D-FAE3-4A9D-9EB0-455898744D8B}" name="Column13624" dataCellStyle="Normal 2"/>
    <tableColumn id="13640" xr3:uid="{A868D113-2D1E-4C36-9167-9CA830C148F0}" name="Column13625" dataCellStyle="Normal 2"/>
    <tableColumn id="13641" xr3:uid="{45D6E015-8C19-4D47-BBEC-BEEC61E3AADB}" name="Column13626" dataCellStyle="Normal 2"/>
    <tableColumn id="13642" xr3:uid="{E7AAF2E8-4EE7-4951-A772-3508712AF604}" name="Column13627" dataCellStyle="Normal 2"/>
    <tableColumn id="13643" xr3:uid="{5A8EADB6-DE1F-4B51-98B5-297DCA3519D9}" name="Column13628" dataCellStyle="Normal 2"/>
    <tableColumn id="13644" xr3:uid="{4E9CC609-355F-4007-8783-8DA39EFF702F}" name="Column13629" dataCellStyle="Normal 2"/>
    <tableColumn id="13645" xr3:uid="{EF4B1E31-57A1-4087-A46C-4A3A490452B0}" name="Column13630" dataCellStyle="Normal 2"/>
    <tableColumn id="13646" xr3:uid="{716283E3-4F5D-4054-A0AE-B518566D0579}" name="Column13631" dataCellStyle="Normal 2"/>
    <tableColumn id="13647" xr3:uid="{F517FB0B-3FE7-4204-8DDB-5B37B5383AD8}" name="Column13632" dataCellStyle="Normal 2"/>
    <tableColumn id="13648" xr3:uid="{4D15DDD0-FF73-499F-AF62-2BBF031C33AC}" name="Column13633" dataCellStyle="Normal 2"/>
    <tableColumn id="13649" xr3:uid="{A3344130-BC78-47E3-89A6-3E5254B3FA96}" name="Column13634" dataCellStyle="Normal 2"/>
    <tableColumn id="13650" xr3:uid="{2E3A0662-D17D-408C-8595-97130EC822B1}" name="Column13635" dataCellStyle="Normal 2"/>
    <tableColumn id="13651" xr3:uid="{2E2E140D-4AD2-4FAF-B616-FB73842F86E7}" name="Column13636" dataCellStyle="Normal 2"/>
    <tableColumn id="13652" xr3:uid="{C3F46A5A-BDFF-4E7C-86D4-396C2BF07A0C}" name="Column13637" dataCellStyle="Normal 2"/>
    <tableColumn id="13653" xr3:uid="{AAF45082-F0BF-43D1-AC8A-6102EA2300C0}" name="Column13638" dataCellStyle="Normal 2"/>
    <tableColumn id="13654" xr3:uid="{3E5C36D6-C754-4163-8C0E-125CCCC5C48B}" name="Column13639" dataCellStyle="Normal 2"/>
    <tableColumn id="13655" xr3:uid="{E288132C-E3C4-48E9-9390-EDB1810AA492}" name="Column13640" dataCellStyle="Normal 2"/>
    <tableColumn id="13656" xr3:uid="{A2DDD817-D01C-4F20-A5C3-38CABA6BEE90}" name="Column13641" dataCellStyle="Normal 2"/>
    <tableColumn id="13657" xr3:uid="{C1D95828-7D34-43BE-8965-7587AB402A20}" name="Column13642" dataCellStyle="Normal 2"/>
    <tableColumn id="13658" xr3:uid="{931F8E56-FAAB-4D77-94D4-D87C849FD42E}" name="Column13643" dataCellStyle="Normal 2"/>
    <tableColumn id="13659" xr3:uid="{D1C8FA12-6704-4A5F-9ADB-C69EF13A4D4D}" name="Column13644" dataCellStyle="Normal 2"/>
    <tableColumn id="13660" xr3:uid="{BC9444B4-1944-4A97-9D99-5C16918CE81A}" name="Column13645" dataCellStyle="Normal 2"/>
    <tableColumn id="13661" xr3:uid="{C3984DAE-73F6-4744-A7F6-0C8D1F146B7D}" name="Column13646" dataCellStyle="Normal 2"/>
    <tableColumn id="13662" xr3:uid="{8FAAE952-1058-4381-B8AA-81D055E55C60}" name="Column13647" dataCellStyle="Normal 2"/>
    <tableColumn id="13663" xr3:uid="{D2712A09-4348-4135-9B51-84FA62DD6A99}" name="Column13648" dataCellStyle="Normal 2"/>
    <tableColumn id="13664" xr3:uid="{8DF4D5EB-E181-4362-83C5-DF57FAD5E792}" name="Column13649" dataCellStyle="Normal 2"/>
    <tableColumn id="13665" xr3:uid="{972DD4D7-3FC1-42F4-847A-8B95A34CFFC6}" name="Column13650" dataCellStyle="Normal 2"/>
    <tableColumn id="13666" xr3:uid="{A797725C-A145-4163-8F24-617B330E28DD}" name="Column13651" dataCellStyle="Normal 2"/>
    <tableColumn id="13667" xr3:uid="{532DB4CD-F825-4514-AE29-ADD08312FE6A}" name="Column13652" dataCellStyle="Normal 2"/>
    <tableColumn id="13668" xr3:uid="{6DCE4DD2-60A7-4605-829E-D2790F8C6532}" name="Column13653" dataCellStyle="Normal 2"/>
    <tableColumn id="13669" xr3:uid="{C3F7818B-658D-4A04-8403-8BF71B5AF5A6}" name="Column13654" dataCellStyle="Normal 2"/>
    <tableColumn id="13670" xr3:uid="{CEE6EDB1-4694-4F6C-B3EE-1DF54C3669CA}" name="Column13655" dataCellStyle="Normal 2"/>
    <tableColumn id="13671" xr3:uid="{20E1B0B9-6F24-4BAC-823D-90BC7A0024CA}" name="Column13656" dataCellStyle="Normal 2"/>
    <tableColumn id="13672" xr3:uid="{A1AC32F5-C7C1-4B98-9429-27FACEC88813}" name="Column13657" dataCellStyle="Normal 2"/>
    <tableColumn id="13673" xr3:uid="{20A9F965-3BF3-48B3-9AA1-E6AA9F2B6F32}" name="Column13658" dataCellStyle="Normal 2"/>
    <tableColumn id="13674" xr3:uid="{C9F09FEB-6196-4172-9AD3-52A740AF2125}" name="Column13659" dataCellStyle="Normal 2"/>
    <tableColumn id="13675" xr3:uid="{603EADBB-FC90-4C3E-BE90-8BBC9B0AB8B1}" name="Column13660" dataCellStyle="Normal 2"/>
    <tableColumn id="13676" xr3:uid="{8610D447-4B56-4D8B-923F-3167F7750299}" name="Column13661" dataCellStyle="Normal 2"/>
    <tableColumn id="13677" xr3:uid="{E4C7CCF3-CD13-40FF-9588-03892D3F5D59}" name="Column13662" dataCellStyle="Normal 2"/>
    <tableColumn id="13678" xr3:uid="{6A9A5DE9-E874-47AE-941B-8D1687BE12D6}" name="Column13663" dataCellStyle="Normal 2"/>
    <tableColumn id="13679" xr3:uid="{D45567EC-F31C-492C-95E6-3E98B30FD51E}" name="Column13664" dataCellStyle="Normal 2"/>
    <tableColumn id="13680" xr3:uid="{39C97944-0E38-4C59-BACD-1D81BCA8A8EE}" name="Column13665" dataCellStyle="Normal 2"/>
    <tableColumn id="13681" xr3:uid="{15545B81-09F2-44FA-9F58-9D4F85FD025E}" name="Column13666" dataCellStyle="Normal 2"/>
    <tableColumn id="13682" xr3:uid="{E4D78AE9-886C-4DE5-ABED-0FD16E2578F3}" name="Column13667" dataCellStyle="Normal 2"/>
    <tableColumn id="13683" xr3:uid="{E06C9503-A9DC-4A61-9747-9C71DF2B81BA}" name="Column13668" dataCellStyle="Normal 2"/>
    <tableColumn id="13684" xr3:uid="{D406E721-77F6-48AF-B951-92F60BE31F84}" name="Column13669" dataCellStyle="Normal 2"/>
    <tableColumn id="13685" xr3:uid="{434FB3DE-2E64-4F31-9E5E-02477055D32B}" name="Column13670" dataCellStyle="Normal 2"/>
    <tableColumn id="13686" xr3:uid="{B9E12284-3856-452B-89A4-7543E2EB45AE}" name="Column13671" dataCellStyle="Normal 2"/>
    <tableColumn id="13687" xr3:uid="{0E28877B-FBCD-4A64-A872-46B1FC58A67D}" name="Column13672" dataCellStyle="Normal 2"/>
    <tableColumn id="13688" xr3:uid="{9091F17F-6816-4F09-B2D7-A72BFE766C1C}" name="Column13673" dataCellStyle="Normal 2"/>
    <tableColumn id="13689" xr3:uid="{0E5BFBB4-B3EA-46C2-BDEB-B949ED382E86}" name="Column13674" dataCellStyle="Normal 2"/>
    <tableColumn id="13690" xr3:uid="{2A6832F0-5EF7-4AD9-8899-515F9E4755F1}" name="Column13675" dataCellStyle="Normal 2"/>
    <tableColumn id="13691" xr3:uid="{2AA823F3-C6E8-4294-9A4E-97263CE41ACE}" name="Column13676" dataCellStyle="Normal 2"/>
    <tableColumn id="13692" xr3:uid="{6589482D-A3B1-44C3-A3D0-328AF59DDC96}" name="Column13677" dataCellStyle="Normal 2"/>
    <tableColumn id="13693" xr3:uid="{E1A0A0BE-CF18-46FE-88AE-7E96F657317C}" name="Column13678" dataCellStyle="Normal 2"/>
    <tableColumn id="13694" xr3:uid="{B1376AA5-A387-4B85-ABC8-72D2B527075B}" name="Column13679" dataCellStyle="Normal 2"/>
    <tableColumn id="13695" xr3:uid="{C02BCCC4-35C8-4943-9B06-DE606B8E2DC4}" name="Column13680" dataCellStyle="Normal 2"/>
    <tableColumn id="13696" xr3:uid="{B61E7365-9CB9-4FBD-8B0E-D7F4935BA537}" name="Column13681" dataCellStyle="Normal 2"/>
    <tableColumn id="13697" xr3:uid="{004EFC23-9A75-4E8E-AA54-318B9DB81215}" name="Column13682" dataCellStyle="Normal 2"/>
    <tableColumn id="13698" xr3:uid="{908C4A1A-E65B-4DB4-A3B9-AF9733B6AD81}" name="Column13683" dataCellStyle="Normal 2"/>
    <tableColumn id="13699" xr3:uid="{DC36A5DB-E3D8-4169-AB8F-A7723BAAE358}" name="Column13684" dataCellStyle="Normal 2"/>
    <tableColumn id="13700" xr3:uid="{AB6F31ED-7E71-4BF2-9B90-FB085F57AC28}" name="Column13685" dataCellStyle="Normal 2"/>
    <tableColumn id="13701" xr3:uid="{8A39DD47-F2A5-4BE6-B2D0-DA361A7A34DB}" name="Column13686" dataCellStyle="Normal 2"/>
    <tableColumn id="13702" xr3:uid="{1F835446-904C-444B-B46C-7243ADD6FA02}" name="Column13687" dataCellStyle="Normal 2"/>
    <tableColumn id="13703" xr3:uid="{ECFB60F9-B81D-440B-A69C-84476CE95120}" name="Column13688" dataCellStyle="Normal 2"/>
    <tableColumn id="13704" xr3:uid="{7F7670E7-4232-4318-B676-83855B916329}" name="Column13689" dataCellStyle="Normal 2"/>
    <tableColumn id="13705" xr3:uid="{B63750FD-4ACA-40F4-A26E-4AEEC5409C07}" name="Column13690" dataCellStyle="Normal 2"/>
    <tableColumn id="13706" xr3:uid="{B4FFDF76-B25C-4CA3-957C-FA9EDB10A7F0}" name="Column13691" dataCellStyle="Normal 2"/>
    <tableColumn id="13707" xr3:uid="{19362A0A-8F72-443F-B0A9-A9315338BEB4}" name="Column13692" dataCellStyle="Normal 2"/>
    <tableColumn id="13708" xr3:uid="{E1333617-7159-4503-92E6-04AB0982DD67}" name="Column13693" dataCellStyle="Normal 2"/>
    <tableColumn id="13709" xr3:uid="{986568EF-FCB0-4C18-8CAD-A82F47767A80}" name="Column13694" dataCellStyle="Normal 2"/>
    <tableColumn id="13710" xr3:uid="{1AF8CC32-1631-4FF6-A757-F6835D837FDC}" name="Column13695" dataCellStyle="Normal 2"/>
    <tableColumn id="13711" xr3:uid="{CECD1629-7BD7-4BFB-B0AA-A177CB538D04}" name="Column13696" dataCellStyle="Normal 2"/>
    <tableColumn id="13712" xr3:uid="{E5486D86-2DAF-42FB-924E-DD78EA1B6DF5}" name="Column13697" dataCellStyle="Normal 2"/>
    <tableColumn id="13713" xr3:uid="{5B5FD5E7-EC41-4E98-81F3-718E18E763E1}" name="Column13698" dataCellStyle="Normal 2"/>
    <tableColumn id="13714" xr3:uid="{4064E858-FE0F-425C-8F68-5510B1B8BD22}" name="Column13699" dataCellStyle="Normal 2"/>
    <tableColumn id="13715" xr3:uid="{4189C71D-F787-4A99-903E-1482861AAFC3}" name="Column13700" dataCellStyle="Normal 2"/>
    <tableColumn id="13716" xr3:uid="{30F09450-CC49-445A-9610-87E67D196221}" name="Column13701" dataCellStyle="Normal 2"/>
    <tableColumn id="13717" xr3:uid="{631B1F27-A300-4AF5-9298-62D89EBF08B4}" name="Column13702" dataCellStyle="Normal 2"/>
    <tableColumn id="13718" xr3:uid="{AEC82E55-401E-419C-9F61-461706FA4F0A}" name="Column13703" dataCellStyle="Normal 2"/>
    <tableColumn id="13719" xr3:uid="{81F9C0FF-3D80-40C7-9842-359E08D1F2F2}" name="Column13704" dataCellStyle="Normal 2"/>
    <tableColumn id="13720" xr3:uid="{F9AD218A-A0AF-4BED-B6A3-A6D878CA0559}" name="Column13705" dataCellStyle="Normal 2"/>
    <tableColumn id="13721" xr3:uid="{9A4FD95C-86BF-4D53-B39D-CB3EED0CE389}" name="Column13706" dataCellStyle="Normal 2"/>
    <tableColumn id="13722" xr3:uid="{AEE9C0FE-0E6E-4CD6-9AAD-C956CB8B37DE}" name="Column13707" dataCellStyle="Normal 2"/>
    <tableColumn id="13723" xr3:uid="{7101E758-1BFB-48CA-9FF2-BF8729272D31}" name="Column13708" dataCellStyle="Normal 2"/>
    <tableColumn id="13724" xr3:uid="{5CF99D01-9C36-40CD-80C9-ADE1B659F332}" name="Column13709" dataCellStyle="Normal 2"/>
    <tableColumn id="13725" xr3:uid="{357DD2FE-6437-471C-A858-FA7E0B028FA0}" name="Column13710" dataCellStyle="Normal 2"/>
    <tableColumn id="13726" xr3:uid="{C1E25E3C-AB99-42DE-8291-424DEAF37D45}" name="Column13711" dataCellStyle="Normal 2"/>
    <tableColumn id="13727" xr3:uid="{600B0C77-518F-4693-9E02-A2317AD23DBF}" name="Column13712" dataCellStyle="Normal 2"/>
    <tableColumn id="13728" xr3:uid="{B3E11C31-DC1D-475D-9D13-D9826FAAFF87}" name="Column13713" dataCellStyle="Normal 2"/>
    <tableColumn id="13729" xr3:uid="{DB1D937F-DC77-42EC-9E86-43B39D212A4B}" name="Column13714" dataCellStyle="Normal 2"/>
    <tableColumn id="13730" xr3:uid="{0E525234-5105-4092-AF3A-7CF9ED24A2EB}" name="Column13715" dataCellStyle="Normal 2"/>
    <tableColumn id="13731" xr3:uid="{36A1EF5B-BA27-4E4F-B3BF-C10C25AF2690}" name="Column13716" dataCellStyle="Normal 2"/>
    <tableColumn id="13732" xr3:uid="{E3D25840-BB08-48E1-A2AD-527124C4DED4}" name="Column13717" dataCellStyle="Normal 2"/>
    <tableColumn id="13733" xr3:uid="{082F2E6B-F1F4-4E8E-A2D2-3E001C4258EC}" name="Column13718" dataCellStyle="Normal 2"/>
    <tableColumn id="13734" xr3:uid="{7104C449-0459-462F-A439-9FB001513579}" name="Column13719" dataCellStyle="Normal 2"/>
    <tableColumn id="13735" xr3:uid="{0A0788D7-ACEF-4E3D-8549-8D36FE1A41F4}" name="Column13720" dataCellStyle="Normal 2"/>
    <tableColumn id="13736" xr3:uid="{87C0D830-3031-4009-BB69-632C580B2F6E}" name="Column13721" dataCellStyle="Normal 2"/>
    <tableColumn id="13737" xr3:uid="{55FA7FEE-E78B-465D-8C17-76C7FC2BD3E8}" name="Column13722" dataCellStyle="Normal 2"/>
    <tableColumn id="13738" xr3:uid="{75C3BB21-9768-4136-84E1-EA4EB9119D81}" name="Column13723" dataCellStyle="Normal 2"/>
    <tableColumn id="13739" xr3:uid="{C06C96C8-7829-4A08-B265-7A09A8851204}" name="Column13724" dataCellStyle="Normal 2"/>
    <tableColumn id="13740" xr3:uid="{521F61D9-980E-40DA-A70A-FB45E3E34404}" name="Column13725" dataCellStyle="Normal 2"/>
    <tableColumn id="13741" xr3:uid="{D6D05614-238F-40A5-B7B6-4C80F67DA4D5}" name="Column13726" dataCellStyle="Normal 2"/>
    <tableColumn id="13742" xr3:uid="{EDFDE028-0E66-46C3-B5B7-5B4235E56C55}" name="Column13727" dataCellStyle="Normal 2"/>
    <tableColumn id="13743" xr3:uid="{23133413-33E9-43A0-AAFD-F07B8FB5BC79}" name="Column13728" dataCellStyle="Normal 2"/>
    <tableColumn id="13744" xr3:uid="{BB137A0A-8048-49EE-B507-14C101D088BC}" name="Column13729" dataCellStyle="Normal 2"/>
    <tableColumn id="13745" xr3:uid="{4AEFF465-A214-4538-9588-C415D4F32F8E}" name="Column13730" dataCellStyle="Normal 2"/>
    <tableColumn id="13746" xr3:uid="{B5C27AE3-879F-4AB3-9934-267F534F35FD}" name="Column13731" dataCellStyle="Normal 2"/>
    <tableColumn id="13747" xr3:uid="{17E04064-1C99-46B2-A17C-AA7704FAF342}" name="Column13732" dataCellStyle="Normal 2"/>
    <tableColumn id="13748" xr3:uid="{7EE51D17-4CEC-4565-9074-AFA28F52BC34}" name="Column13733" dataCellStyle="Normal 2"/>
    <tableColumn id="13749" xr3:uid="{66741344-A5C7-420D-8152-DDA4EC871AE9}" name="Column13734" dataCellStyle="Normal 2"/>
    <tableColumn id="13750" xr3:uid="{138701E5-DE42-40F1-B57F-C97A54741495}" name="Column13735" dataCellStyle="Normal 2"/>
    <tableColumn id="13751" xr3:uid="{55F46416-3CB9-4473-8BC3-D4046E68E320}" name="Column13736" dataCellStyle="Normal 2"/>
    <tableColumn id="13752" xr3:uid="{07FC824D-C268-43F7-A4DA-C3F3350E4AC6}" name="Column13737" dataCellStyle="Normal 2"/>
    <tableColumn id="13753" xr3:uid="{A8E48A7D-6F21-48F1-B785-300CE56A130D}" name="Column13738" dataCellStyle="Normal 2"/>
    <tableColumn id="13754" xr3:uid="{B2E9FD35-314D-4A4C-94A3-458C05C94901}" name="Column13739" dataCellStyle="Normal 2"/>
    <tableColumn id="13755" xr3:uid="{98A8092F-1EA1-4B30-A2F9-594BF081957A}" name="Column13740" dataCellStyle="Normal 2"/>
    <tableColumn id="13756" xr3:uid="{D031F07A-E71F-4F56-AC3C-AFBD8597FAC3}" name="Column13741" dataCellStyle="Normal 2"/>
    <tableColumn id="13757" xr3:uid="{AEB0D84E-3227-4502-A1F2-801BE2C14832}" name="Column13742" dataCellStyle="Normal 2"/>
    <tableColumn id="13758" xr3:uid="{E4FFBE73-3DDF-4708-89A1-719D4A92A9BD}" name="Column13743" dataCellStyle="Normal 2"/>
    <tableColumn id="13759" xr3:uid="{D81926DD-010C-4ECE-B60C-88480E74BC88}" name="Column13744" dataCellStyle="Normal 2"/>
    <tableColumn id="13760" xr3:uid="{93F0B870-D2C5-42A9-8448-40F1D29FB5AA}" name="Column13745" dataCellStyle="Normal 2"/>
    <tableColumn id="13761" xr3:uid="{BD93C4E9-019B-445E-94A4-406C7172AF86}" name="Column13746" dataCellStyle="Normal 2"/>
    <tableColumn id="13762" xr3:uid="{ED40738F-9AD7-4003-AC0C-B8D2AC6DB38C}" name="Column13747" dataCellStyle="Normal 2"/>
    <tableColumn id="13763" xr3:uid="{1EF1EA93-FF51-4C4B-944A-547CF4EED394}" name="Column13748" dataCellStyle="Normal 2"/>
    <tableColumn id="13764" xr3:uid="{2400D46E-5F9E-4671-BA91-8D49C4389575}" name="Column13749" dataCellStyle="Normal 2"/>
    <tableColumn id="13765" xr3:uid="{5F22D7C0-22F2-43B7-B603-B24364FBED3C}" name="Column13750" dataCellStyle="Normal 2"/>
    <tableColumn id="13766" xr3:uid="{283893BB-5523-4107-86EA-FB456B54B39D}" name="Column13751" dataCellStyle="Normal 2"/>
    <tableColumn id="13767" xr3:uid="{65F0CDFE-117B-4E0D-AA72-9A25ECB8FC2E}" name="Column13752" dataCellStyle="Normal 2"/>
    <tableColumn id="13768" xr3:uid="{639946C9-ECE5-4779-9082-EAA8A31B23AE}" name="Column13753" dataCellStyle="Normal 2"/>
    <tableColumn id="13769" xr3:uid="{5C5B82F4-699E-459C-9F62-BCEDCF740910}" name="Column13754" dataCellStyle="Normal 2"/>
    <tableColumn id="13770" xr3:uid="{4885A61D-D9A8-4089-B515-4155402BCFAC}" name="Column13755" dataCellStyle="Normal 2"/>
    <tableColumn id="13771" xr3:uid="{09899775-1E19-4377-8AEC-041AE50D3B38}" name="Column13756" dataCellStyle="Normal 2"/>
    <tableColumn id="13772" xr3:uid="{49B3F4FF-72CA-4843-9088-6F16DD87EBEB}" name="Column13757" dataCellStyle="Normal 2"/>
    <tableColumn id="13773" xr3:uid="{0FC54FB6-F506-44F7-B212-635E26B3D0D6}" name="Column13758" dataCellStyle="Normal 2"/>
    <tableColumn id="13774" xr3:uid="{BFCA3A04-D6BE-4A8D-B42B-027F0B05135B}" name="Column13759" dataCellStyle="Normal 2"/>
    <tableColumn id="13775" xr3:uid="{43C10E1B-91E1-4F15-9DB6-EEDB77169364}" name="Column13760" dataCellStyle="Normal 2"/>
    <tableColumn id="13776" xr3:uid="{F6FD2F38-71D9-462F-91D0-6C0DAF779912}" name="Column13761" dataCellStyle="Normal 2"/>
    <tableColumn id="13777" xr3:uid="{C585467B-8C31-42F4-BBB5-5E11B6EF5995}" name="Column13762" dataCellStyle="Normal 2"/>
    <tableColumn id="13778" xr3:uid="{F7CB297A-36D3-497F-ADBC-796A74A36E4F}" name="Column13763" dataCellStyle="Normal 2"/>
    <tableColumn id="13779" xr3:uid="{6C0043DB-0753-4936-8D55-C620D9371AB9}" name="Column13764" dataCellStyle="Normal 2"/>
    <tableColumn id="13780" xr3:uid="{B6E183A0-1F52-4BA3-86CF-390F4613BD2A}" name="Column13765" dataCellStyle="Normal 2"/>
    <tableColumn id="13781" xr3:uid="{C1E56FA9-767B-44B4-978D-3F1EFDE390E0}" name="Column13766" dataCellStyle="Normal 2"/>
    <tableColumn id="13782" xr3:uid="{5A9561CB-CD37-41FA-82EA-EDCC3EFA6313}" name="Column13767" dataCellStyle="Normal 2"/>
    <tableColumn id="13783" xr3:uid="{8A8CF3F4-BA4F-4B65-96ED-54A27E7B81AF}" name="Column13768" dataCellStyle="Normal 2"/>
    <tableColumn id="13784" xr3:uid="{A5552A7A-6E50-492D-A226-8EE0AAE57337}" name="Column13769" dataCellStyle="Normal 2"/>
    <tableColumn id="13785" xr3:uid="{95B5CB12-79A0-4FB9-BF0F-AD299434AFE5}" name="Column13770" dataCellStyle="Normal 2"/>
    <tableColumn id="13786" xr3:uid="{B83A8A55-5579-4A19-9ABE-AA2BF8498EC0}" name="Column13771" dataCellStyle="Normal 2"/>
    <tableColumn id="13787" xr3:uid="{BF70861D-D8D5-4FC4-8511-ACEE2555D93C}" name="Column13772" dataCellStyle="Normal 2"/>
    <tableColumn id="13788" xr3:uid="{0304E2A5-ADC2-4A52-9DB2-819999613862}" name="Column13773" dataCellStyle="Normal 2"/>
    <tableColumn id="13789" xr3:uid="{8DF1517E-45CD-456F-85B5-CB441606DDD1}" name="Column13774" dataCellStyle="Normal 2"/>
    <tableColumn id="13790" xr3:uid="{7BAE0746-4FEF-4EA6-9625-C0AFF643FE8B}" name="Column13775" dataCellStyle="Normal 2"/>
    <tableColumn id="13791" xr3:uid="{8A55158C-234A-4653-AA4D-E69758AD683F}" name="Column13776" dataCellStyle="Normal 2"/>
    <tableColumn id="13792" xr3:uid="{74FA62D5-2BE2-4A99-871A-E6D7AD0C54CC}" name="Column13777" dataCellStyle="Normal 2"/>
    <tableColumn id="13793" xr3:uid="{56D6095F-C23B-4943-BF38-B1CF8E2408B1}" name="Column13778" dataCellStyle="Normal 2"/>
    <tableColumn id="13794" xr3:uid="{FE3857B0-57AD-4C5C-BB85-1FF9E9B08595}" name="Column13779" dataCellStyle="Normal 2"/>
    <tableColumn id="13795" xr3:uid="{F00344D8-2866-4D2F-B897-44B24B25D46E}" name="Column13780" dataCellStyle="Normal 2"/>
    <tableColumn id="13796" xr3:uid="{ED92235C-5E88-4127-B7D6-2C4F8E731DF1}" name="Column13781" dataCellStyle="Normal 2"/>
    <tableColumn id="13797" xr3:uid="{238E7B3E-883E-4E99-A55D-913CD3094610}" name="Column13782" dataCellStyle="Normal 2"/>
    <tableColumn id="13798" xr3:uid="{E1DE6E56-FA25-4673-BFAD-7209E4C527EC}" name="Column13783" dataCellStyle="Normal 2"/>
    <tableColumn id="13799" xr3:uid="{A3A87028-00D1-486D-AD8C-49254B97DC83}" name="Column13784" dataCellStyle="Normal 2"/>
    <tableColumn id="13800" xr3:uid="{5FCCA853-2BD4-435D-9B9F-91088EC3645E}" name="Column13785" dataCellStyle="Normal 2"/>
    <tableColumn id="13801" xr3:uid="{69CE9C3E-CD06-4818-9163-E145DFDC25CC}" name="Column13786" dataCellStyle="Normal 2"/>
    <tableColumn id="13802" xr3:uid="{E8CFCF3B-8787-4962-A2D8-9C82D504AB85}" name="Column13787" dataCellStyle="Normal 2"/>
    <tableColumn id="13803" xr3:uid="{7952EB2F-48E9-4738-BB22-89F52C5ECC5F}" name="Column13788" dataCellStyle="Normal 2"/>
    <tableColumn id="13804" xr3:uid="{182AFB01-B6E5-4D43-90FC-A77EA40E5C1D}" name="Column13789" dataCellStyle="Normal 2"/>
    <tableColumn id="13805" xr3:uid="{6CD46850-2ADA-4D2C-86EB-61B131F729B1}" name="Column13790" dataCellStyle="Normal 2"/>
    <tableColumn id="13806" xr3:uid="{745895B0-5AE5-4B73-AC6E-4B240CCE5479}" name="Column13791" dataCellStyle="Normal 2"/>
    <tableColumn id="13807" xr3:uid="{77B445FD-44B9-466C-A7A9-395BAC56A140}" name="Column13792" dataCellStyle="Normal 2"/>
    <tableColumn id="13808" xr3:uid="{D83A47DD-503E-4C34-B5DA-E9D349980EED}" name="Column13793" dataCellStyle="Normal 2"/>
    <tableColumn id="13809" xr3:uid="{495AB056-2171-4645-98C1-03EBE67D223B}" name="Column13794" dataCellStyle="Normal 2"/>
    <tableColumn id="13810" xr3:uid="{908E9E3D-CCE3-46E3-9127-623D727AE052}" name="Column13795" dataCellStyle="Normal 2"/>
    <tableColumn id="13811" xr3:uid="{AC634F19-CA18-4D12-B544-CD34F2E10B1C}" name="Column13796" dataCellStyle="Normal 2"/>
    <tableColumn id="13812" xr3:uid="{D33D5101-03A0-4064-8C9F-B0FBD14277C9}" name="Column13797" dataCellStyle="Normal 2"/>
    <tableColumn id="13813" xr3:uid="{D8E23FCF-E726-480C-A120-C000C7F880D1}" name="Column13798" dataCellStyle="Normal 2"/>
    <tableColumn id="13814" xr3:uid="{331EA651-EE5E-4BE9-B4F1-587BEC8DDA90}" name="Column13799" dataCellStyle="Normal 2"/>
    <tableColumn id="13815" xr3:uid="{6520A9A0-1C43-4449-9D11-102086B27F64}" name="Column13800" dataCellStyle="Normal 2"/>
    <tableColumn id="13816" xr3:uid="{FF687FE6-D6BD-45D8-BA73-23A4FEA6DF95}" name="Column13801" dataCellStyle="Normal 2"/>
    <tableColumn id="13817" xr3:uid="{3D242078-A0A3-42F6-A1B9-943F778AE4DD}" name="Column13802" dataCellStyle="Normal 2"/>
    <tableColumn id="13818" xr3:uid="{9A0B05B9-1BEE-46DA-BC7D-E80AF9B0682F}" name="Column13803" dataCellStyle="Normal 2"/>
    <tableColumn id="13819" xr3:uid="{4821379F-5CD5-4FEB-BCCA-8D562DE5A097}" name="Column13804" dataCellStyle="Normal 2"/>
    <tableColumn id="13820" xr3:uid="{870F4DA4-53BB-443E-86FB-1F789A5A81C4}" name="Column13805" dataCellStyle="Normal 2"/>
    <tableColumn id="13821" xr3:uid="{ADBE1E5F-7818-4C4C-BA0F-CECDB0FD0A6A}" name="Column13806" dataCellStyle="Normal 2"/>
    <tableColumn id="13822" xr3:uid="{2518E98D-40DC-4A65-9D3B-FFD811659FAA}" name="Column13807" dataCellStyle="Normal 2"/>
    <tableColumn id="13823" xr3:uid="{4329050A-C031-41BB-8614-CA887D86E841}" name="Column13808" dataCellStyle="Normal 2"/>
    <tableColumn id="13824" xr3:uid="{279871AC-1BEA-4C23-A653-13739C4AEE16}" name="Column13809" dataCellStyle="Normal 2"/>
    <tableColumn id="13825" xr3:uid="{6ED64C3A-CE39-40A4-AACD-45BDAE2E4826}" name="Column13810" dataCellStyle="Normal 2"/>
    <tableColumn id="13826" xr3:uid="{B7C1FC4A-3E02-43BF-B591-264642B99A5D}" name="Column13811" dataCellStyle="Normal 2"/>
    <tableColumn id="13827" xr3:uid="{F2AA4853-501C-4F39-83A7-B8726DC28022}" name="Column13812" dataCellStyle="Normal 2"/>
    <tableColumn id="13828" xr3:uid="{199A467A-1FE1-44EA-A4C2-8BBBA5BB9625}" name="Column13813" dataCellStyle="Normal 2"/>
    <tableColumn id="13829" xr3:uid="{B72D5913-0D75-49A6-AA19-E3476833A1B3}" name="Column13814" dataCellStyle="Normal 2"/>
    <tableColumn id="13830" xr3:uid="{F6B88ED7-7E1C-424B-93B3-D55B722D6265}" name="Column13815" dataCellStyle="Normal 2"/>
    <tableColumn id="13831" xr3:uid="{2B35C7F6-23E5-4F04-9D4D-BCFD9BADB336}" name="Column13816" dataCellStyle="Normal 2"/>
    <tableColumn id="13832" xr3:uid="{44C63C6A-146F-457D-B465-9ECB3680B3B2}" name="Column13817" dataCellStyle="Normal 2"/>
    <tableColumn id="13833" xr3:uid="{7EE26316-722C-45B0-B78B-FD957791B051}" name="Column13818" dataCellStyle="Normal 2"/>
    <tableColumn id="13834" xr3:uid="{929BC802-13CF-4A08-BC28-28DDEEBE0831}" name="Column13819" dataCellStyle="Normal 2"/>
    <tableColumn id="13835" xr3:uid="{E1F6EA7C-DE6E-42BE-B1D1-A2C3178E82EC}" name="Column13820" dataCellStyle="Normal 2"/>
    <tableColumn id="13836" xr3:uid="{8A666E0A-8C71-459E-B23A-A3597D779CFF}" name="Column13821" dataCellStyle="Normal 2"/>
    <tableColumn id="13837" xr3:uid="{A7CA52D7-CA30-4026-BD90-597954BAB503}" name="Column13822" dataCellStyle="Normal 2"/>
    <tableColumn id="13838" xr3:uid="{2C2D1620-BF75-4664-B6F3-02EC33C76C78}" name="Column13823" dataCellStyle="Normal 2"/>
    <tableColumn id="13839" xr3:uid="{4A5B792D-F934-43FF-95A0-6848539D9E43}" name="Column13824" dataCellStyle="Normal 2"/>
    <tableColumn id="13840" xr3:uid="{240F4353-DAD5-41D2-B364-0A87203EE568}" name="Column13825" dataCellStyle="Normal 2"/>
    <tableColumn id="13841" xr3:uid="{B5841AD0-BE94-4653-9D6A-2D29BC571B7D}" name="Column13826" dataCellStyle="Normal 2"/>
    <tableColumn id="13842" xr3:uid="{88B30776-796F-40BD-94B0-7FE7B50C6955}" name="Column13827" dataCellStyle="Normal 2"/>
    <tableColumn id="13843" xr3:uid="{869DAEA4-2C66-4450-AE7A-E8AE1E0A69D5}" name="Column13828" dataCellStyle="Normal 2"/>
    <tableColumn id="13844" xr3:uid="{D0BCC225-FB9E-46E5-937C-ED91AD76436D}" name="Column13829" dataCellStyle="Normal 2"/>
    <tableColumn id="13845" xr3:uid="{301ED069-1F00-42AA-8501-E7BA2189524B}" name="Column13830" dataCellStyle="Normal 2"/>
    <tableColumn id="13846" xr3:uid="{67E455AD-EB67-47FB-8C39-77888107160C}" name="Column13831" dataCellStyle="Normal 2"/>
    <tableColumn id="13847" xr3:uid="{98153A76-14FF-470C-8EBA-8F32CAA9BA3A}" name="Column13832" dataCellStyle="Normal 2"/>
    <tableColumn id="13848" xr3:uid="{171EAAD5-D3F7-4F0D-83D8-09B758C70EBF}" name="Column13833" dataCellStyle="Normal 2"/>
    <tableColumn id="13849" xr3:uid="{7F4D5A43-E6BA-4C31-A267-846A8464CD8C}" name="Column13834" dataCellStyle="Normal 2"/>
    <tableColumn id="13850" xr3:uid="{5F0C1F80-3359-434D-B1D7-9E4555792D29}" name="Column13835" dataCellStyle="Normal 2"/>
    <tableColumn id="13851" xr3:uid="{B2A62646-E82A-4BF1-BA83-4F71054B05A7}" name="Column13836" dataCellStyle="Normal 2"/>
    <tableColumn id="13852" xr3:uid="{7079086C-F881-48C6-8E78-E388D5D49C69}" name="Column13837" dataCellStyle="Normal 2"/>
    <tableColumn id="13853" xr3:uid="{D408FF1D-73DA-4863-B205-E377651DCD4F}" name="Column13838" dataCellStyle="Normal 2"/>
    <tableColumn id="13854" xr3:uid="{B03D4B3E-FCD8-4458-8F05-C364902830D9}" name="Column13839" dataCellStyle="Normal 2"/>
    <tableColumn id="13855" xr3:uid="{20026F8E-60DC-4B22-BB90-EF0C5EEE10C8}" name="Column13840" dataCellStyle="Normal 2"/>
    <tableColumn id="13856" xr3:uid="{CEAB43DC-2125-452F-9BC6-9485486D5EFB}" name="Column13841" dataCellStyle="Normal 2"/>
    <tableColumn id="13857" xr3:uid="{65BD20A6-56C1-4CF2-B11C-C9337907C0BB}" name="Column13842" dataCellStyle="Normal 2"/>
    <tableColumn id="13858" xr3:uid="{BA2549E9-A15E-4EE6-8DB9-C232023444C2}" name="Column13843" dataCellStyle="Normal 2"/>
    <tableColumn id="13859" xr3:uid="{B920E465-A445-4798-867D-61B570071959}" name="Column13844" dataCellStyle="Normal 2"/>
    <tableColumn id="13860" xr3:uid="{203A9AE5-85D5-4EF1-872A-93B4961F155C}" name="Column13845" dataCellStyle="Normal 2"/>
    <tableColumn id="13861" xr3:uid="{3747D002-2F7A-4138-B9BB-D0506365C828}" name="Column13846" dataCellStyle="Normal 2"/>
    <tableColumn id="13862" xr3:uid="{A3E58692-994F-4958-998C-EBF59E2D7A10}" name="Column13847" dataCellStyle="Normal 2"/>
    <tableColumn id="13863" xr3:uid="{BF1760C2-ABD2-41E4-B80C-C28F3F9BD183}" name="Column13848" dataCellStyle="Normal 2"/>
    <tableColumn id="13864" xr3:uid="{E185E9C9-6F31-46F2-B674-AF7E921B50D2}" name="Column13849" dataCellStyle="Normal 2"/>
    <tableColumn id="13865" xr3:uid="{EF869C2A-AC11-40C8-AE41-B69AABB46610}" name="Column13850" dataCellStyle="Normal 2"/>
    <tableColumn id="13866" xr3:uid="{E4B7501B-3186-46D1-9E4E-EC911535CFBE}" name="Column13851" dataCellStyle="Normal 2"/>
    <tableColumn id="13867" xr3:uid="{D7255E52-4DE5-4F2C-A077-D7B179054D88}" name="Column13852" dataCellStyle="Normal 2"/>
    <tableColumn id="13868" xr3:uid="{46C69E47-E04C-433B-8994-A38ED5D0BE7D}" name="Column13853" dataCellStyle="Normal 2"/>
    <tableColumn id="13869" xr3:uid="{29D5E192-CC28-474F-9AA6-B9FCF49FF123}" name="Column13854" dataCellStyle="Normal 2"/>
    <tableColumn id="13870" xr3:uid="{0B49BDD5-519C-4C97-A3D3-D9BC50F738A2}" name="Column13855" dataCellStyle="Normal 2"/>
    <tableColumn id="13871" xr3:uid="{B24FBD3B-1BBD-486C-B275-6EDC13C3BBC0}" name="Column13856" dataCellStyle="Normal 2"/>
    <tableColumn id="13872" xr3:uid="{0597C021-F4A4-4850-837B-C4C0BE6AA06F}" name="Column13857" dataCellStyle="Normal 2"/>
    <tableColumn id="13873" xr3:uid="{E6118F93-ED09-4105-A874-959442A7F0BA}" name="Column13858" dataCellStyle="Normal 2"/>
    <tableColumn id="13874" xr3:uid="{0B634008-88BF-4B4F-A4DE-2262F1129CE4}" name="Column13859" dataCellStyle="Normal 2"/>
    <tableColumn id="13875" xr3:uid="{FC91E24C-1430-456F-AB2D-2F30B7D44AD2}" name="Column13860" dataCellStyle="Normal 2"/>
    <tableColumn id="13876" xr3:uid="{0D47B147-740B-4015-8E61-E55E21F5C1F8}" name="Column13861" dataCellStyle="Normal 2"/>
    <tableColumn id="13877" xr3:uid="{0822BD9E-27DE-49F5-B19D-018597A4BFDD}" name="Column13862" dataCellStyle="Normal 2"/>
    <tableColumn id="13878" xr3:uid="{9D1C8769-67CD-42F1-BF07-641F9D6ED419}" name="Column13863" dataCellStyle="Normal 2"/>
    <tableColumn id="13879" xr3:uid="{4FF0FEAC-5BD0-46F3-B78A-9DE68D3020BB}" name="Column13864" dataCellStyle="Normal 2"/>
    <tableColumn id="13880" xr3:uid="{306BCCDE-FCA0-42B1-B242-D50A0AE0F090}" name="Column13865" dataCellStyle="Normal 2"/>
    <tableColumn id="13881" xr3:uid="{74354E03-606E-4F0A-9EB6-0AF17D3577C1}" name="Column13866" dataCellStyle="Normal 2"/>
    <tableColumn id="13882" xr3:uid="{EC392A87-441C-4D3E-A271-F302A55A1836}" name="Column13867" dataCellStyle="Normal 2"/>
    <tableColumn id="13883" xr3:uid="{6300C4A1-0391-44CB-8EF4-C78002C45D40}" name="Column13868" dataCellStyle="Normal 2"/>
    <tableColumn id="13884" xr3:uid="{755F9AB9-F844-4399-846A-646A03FCAF70}" name="Column13869" dataCellStyle="Normal 2"/>
    <tableColumn id="13885" xr3:uid="{DB442301-3470-4D76-A720-0180D2CBE7E8}" name="Column13870" dataCellStyle="Normal 2"/>
    <tableColumn id="13886" xr3:uid="{08A0FA1D-D27B-439F-9E98-F3DE07E2A130}" name="Column13871" dataCellStyle="Normal 2"/>
    <tableColumn id="13887" xr3:uid="{49170D13-387E-46E2-BAAC-40270A343260}" name="Column13872" dataCellStyle="Normal 2"/>
    <tableColumn id="13888" xr3:uid="{218DB00D-2CD9-429B-9E89-50E5760FE452}" name="Column13873" dataCellStyle="Normal 2"/>
    <tableColumn id="13889" xr3:uid="{355545B1-81FE-40D7-A05D-DFF21F793F1A}" name="Column13874" dataCellStyle="Normal 2"/>
    <tableColumn id="13890" xr3:uid="{7CD8DC48-A142-4F87-B665-B6A13D6AB68C}" name="Column13875" dataCellStyle="Normal 2"/>
    <tableColumn id="13891" xr3:uid="{8772FFE8-8DA7-469B-B3C4-CCA374111B0A}" name="Column13876" dataCellStyle="Normal 2"/>
    <tableColumn id="13892" xr3:uid="{573196E4-F050-4F1E-8F67-B8AEC07B1950}" name="Column13877" dataCellStyle="Normal 2"/>
    <tableColumn id="13893" xr3:uid="{970E398A-6ABB-417D-B757-19DACEB1E07F}" name="Column13878" dataCellStyle="Normal 2"/>
    <tableColumn id="13894" xr3:uid="{33FAAE2C-57AA-49EC-AE08-CA2741DC7497}" name="Column13879" dataCellStyle="Normal 2"/>
    <tableColumn id="13895" xr3:uid="{8D75C1F3-9338-445B-A3C3-ECEBA2BE6928}" name="Column13880" dataCellStyle="Normal 2"/>
    <tableColumn id="13896" xr3:uid="{EBAAE845-B2AD-4E64-87F9-372386F79BE0}" name="Column13881" dataCellStyle="Normal 2"/>
    <tableColumn id="13897" xr3:uid="{A147CF9F-12B4-4841-9FC3-C74534543BE6}" name="Column13882" dataCellStyle="Normal 2"/>
    <tableColumn id="13898" xr3:uid="{F0309EBE-9BEC-4878-A1DC-78164CA6B3ED}" name="Column13883" dataCellStyle="Normal 2"/>
    <tableColumn id="13899" xr3:uid="{E366D0C9-115B-4109-944E-39B0A8EAC5F7}" name="Column13884" dataCellStyle="Normal 2"/>
    <tableColumn id="13900" xr3:uid="{DB799EB9-1096-4F19-BC18-E46109D78B9B}" name="Column13885" dataCellStyle="Normal 2"/>
    <tableColumn id="13901" xr3:uid="{6944B16B-2F48-47B7-8AB7-442744690C13}" name="Column13886" dataCellStyle="Normal 2"/>
    <tableColumn id="13902" xr3:uid="{9B1ED524-CF9C-4851-94BF-A3E9C997270F}" name="Column13887" dataCellStyle="Normal 2"/>
    <tableColumn id="13903" xr3:uid="{531E65F3-491C-4F4E-A36B-FC898A694B26}" name="Column13888" dataCellStyle="Normal 2"/>
    <tableColumn id="13904" xr3:uid="{3E8D18C5-010E-4259-B48B-05E22094B9CF}" name="Column13889" dataCellStyle="Normal 2"/>
    <tableColumn id="13905" xr3:uid="{584CA22A-96D5-485A-A5D6-69642E521087}" name="Column13890" dataCellStyle="Normal 2"/>
    <tableColumn id="13906" xr3:uid="{53957914-8C24-4039-8365-525AF460D3E5}" name="Column13891" dataCellStyle="Normal 2"/>
    <tableColumn id="13907" xr3:uid="{BC4C40DB-1F9B-40DA-9FFC-0630D2EE3DB7}" name="Column13892" dataCellStyle="Normal 2"/>
    <tableColumn id="13908" xr3:uid="{D0B614FE-1617-44AF-AEC7-ADB6EB082EE4}" name="Column13893" dataCellStyle="Normal 2"/>
    <tableColumn id="13909" xr3:uid="{6D2784EC-0C58-440A-ACC6-3BF85D0AFD69}" name="Column13894" dataCellStyle="Normal 2"/>
    <tableColumn id="13910" xr3:uid="{C236E19E-9C11-4297-B78C-26D4F29B28B6}" name="Column13895" dataCellStyle="Normal 2"/>
    <tableColumn id="13911" xr3:uid="{995FCF41-91F5-4BA0-8F2B-67F167FF1388}" name="Column13896" dataCellStyle="Normal 2"/>
    <tableColumn id="13912" xr3:uid="{26FBE67C-102B-4B36-8FC3-C207DA47E021}" name="Column13897" dataCellStyle="Normal 2"/>
    <tableColumn id="13913" xr3:uid="{BC6F60D2-064B-4F4E-BAF1-E2B7FD29CF96}" name="Column13898" dataCellStyle="Normal 2"/>
    <tableColumn id="13914" xr3:uid="{585CA630-DA69-4586-A274-EBDF394A67BB}" name="Column13899" dataCellStyle="Normal 2"/>
    <tableColumn id="13915" xr3:uid="{9AA20BBD-BA2B-4FE0-BA36-ED7DA80D2301}" name="Column13900" dataCellStyle="Normal 2"/>
    <tableColumn id="13916" xr3:uid="{BB107C0A-BEE7-4448-A08A-DD2B707B1F55}" name="Column13901" dataCellStyle="Normal 2"/>
    <tableColumn id="13917" xr3:uid="{33EBC2F4-B749-4A18-8AE6-CF735C61AB8A}" name="Column13902" dataCellStyle="Normal 2"/>
    <tableColumn id="13918" xr3:uid="{2F8E8CB8-4B92-4FC6-BA1B-48FC439C2E09}" name="Column13903" dataCellStyle="Normal 2"/>
    <tableColumn id="13919" xr3:uid="{5A1AC2E3-8FFD-447F-9A4A-7204A6AF4A73}" name="Column13904" dataCellStyle="Normal 2"/>
    <tableColumn id="13920" xr3:uid="{45127140-5B5E-4755-915A-F51A8D2C9000}" name="Column13905" dataCellStyle="Normal 2"/>
    <tableColumn id="13921" xr3:uid="{84AF064A-6B6F-4122-9E28-A3A952AAB5EB}" name="Column13906" dataCellStyle="Normal 2"/>
    <tableColumn id="13922" xr3:uid="{743B7E6E-1457-4BE0-9678-B267B0D69D9C}" name="Column13907" dataCellStyle="Normal 2"/>
    <tableColumn id="13923" xr3:uid="{C823C9D2-9E35-4282-9ADC-42A8C345B28E}" name="Column13908" dataCellStyle="Normal 2"/>
    <tableColumn id="13924" xr3:uid="{FEDDF2BE-EE56-4CDA-AE8D-ED2C75CA85E9}" name="Column13909" dataCellStyle="Normal 2"/>
    <tableColumn id="13925" xr3:uid="{C570F869-1DF5-4B4B-9658-46327DE2D3F9}" name="Column13910" dataCellStyle="Normal 2"/>
    <tableColumn id="13926" xr3:uid="{C1BF6E84-AA4D-43E1-8386-716D952B1C69}" name="Column13911" dataCellStyle="Normal 2"/>
    <tableColumn id="13927" xr3:uid="{5040448B-43B1-4681-890B-71E106492927}" name="Column13912" dataCellStyle="Normal 2"/>
    <tableColumn id="13928" xr3:uid="{DEABA060-B401-4396-8393-093A5A7CF7A1}" name="Column13913" dataCellStyle="Normal 2"/>
    <tableColumn id="13929" xr3:uid="{2CD04E84-91AE-4330-B965-92095A618474}" name="Column13914" dataCellStyle="Normal 2"/>
    <tableColumn id="13930" xr3:uid="{5771CF06-0BB0-4717-88A1-E8F348639EA5}" name="Column13915" dataCellStyle="Normal 2"/>
    <tableColumn id="13931" xr3:uid="{350FE00B-C822-4838-AA5F-CA52F53F88CF}" name="Column13916" dataCellStyle="Normal 2"/>
    <tableColumn id="13932" xr3:uid="{4DF8B8B0-8AE9-4953-9888-D857DA82549A}" name="Column13917" dataCellStyle="Normal 2"/>
    <tableColumn id="13933" xr3:uid="{65725893-03CC-4F4E-AEB1-E8F2ECF8E090}" name="Column13918" dataCellStyle="Normal 2"/>
    <tableColumn id="13934" xr3:uid="{86E0B2DE-F4CB-44D6-82BD-AAF73BDD2746}" name="Column13919" dataCellStyle="Normal 2"/>
    <tableColumn id="13935" xr3:uid="{5655A6CD-3405-4B5B-9A43-8835EE3E52FF}" name="Column13920" dataCellStyle="Normal 2"/>
    <tableColumn id="13936" xr3:uid="{EC4E4630-0437-4874-B0F0-0C51D5707C30}" name="Column13921" dataCellStyle="Normal 2"/>
    <tableColumn id="13937" xr3:uid="{723C6433-0CE7-44F1-9EBA-3A95CAF61899}" name="Column13922" dataCellStyle="Normal 2"/>
    <tableColumn id="13938" xr3:uid="{5D2CA88C-40F2-4ACC-B992-F25945B040E5}" name="Column13923" dataCellStyle="Normal 2"/>
    <tableColumn id="13939" xr3:uid="{2A1B0294-A890-47BE-9E9F-DAAA732B9CF8}" name="Column13924" dataCellStyle="Normal 2"/>
    <tableColumn id="13940" xr3:uid="{F68F50F0-07DB-4A7B-A5D6-A3FF70729069}" name="Column13925" dataCellStyle="Normal 2"/>
    <tableColumn id="13941" xr3:uid="{A0344CAA-B3A5-47E1-9298-65A22F09C777}" name="Column13926" dataCellStyle="Normal 2"/>
    <tableColumn id="13942" xr3:uid="{235C8E7D-6268-4CC2-A964-4B04B977CAFD}" name="Column13927" dataCellStyle="Normal 2"/>
    <tableColumn id="13943" xr3:uid="{2D6F8EB1-40A9-4759-BE77-343BC1EE429B}" name="Column13928" dataCellStyle="Normal 2"/>
    <tableColumn id="13944" xr3:uid="{EFF88AEB-564C-402F-A3EF-DA87A629C9DD}" name="Column13929" dataCellStyle="Normal 2"/>
    <tableColumn id="13945" xr3:uid="{58555792-6447-4708-9AA8-49B073B3C43E}" name="Column13930" dataCellStyle="Normal 2"/>
    <tableColumn id="13946" xr3:uid="{CA175904-A8EC-4534-8DC0-394555B2A33A}" name="Column13931" dataCellStyle="Normal 2"/>
    <tableColumn id="13947" xr3:uid="{E2D0D3B6-3ABE-4896-A748-0E1FA721AB72}" name="Column13932" dataCellStyle="Normal 2"/>
    <tableColumn id="13948" xr3:uid="{06F44F24-6EDE-4FDA-8F37-20B944CC7E20}" name="Column13933" dataCellStyle="Normal 2"/>
    <tableColumn id="13949" xr3:uid="{2E31A043-00A2-4ADA-8BCB-1536DCC784A2}" name="Column13934" dataCellStyle="Normal 2"/>
    <tableColumn id="13950" xr3:uid="{53F9AFDD-715F-412F-BD67-198C2FC0F497}" name="Column13935" dataCellStyle="Normal 2"/>
    <tableColumn id="13951" xr3:uid="{63980498-AA06-4C51-9AF9-F39E126E3521}" name="Column13936" dataCellStyle="Normal 2"/>
    <tableColumn id="13952" xr3:uid="{3D7D5144-5416-4774-91ED-79A8AD069BDB}" name="Column13937" dataCellStyle="Normal 2"/>
    <tableColumn id="13953" xr3:uid="{DFF88755-33A0-4AEF-9E2C-6DA3D42811D8}" name="Column13938" dataCellStyle="Normal 2"/>
    <tableColumn id="13954" xr3:uid="{503A44D3-9B5B-4E55-A211-F730F140D3C1}" name="Column13939" dataCellStyle="Normal 2"/>
    <tableColumn id="13955" xr3:uid="{AEA8E0F1-3B06-47C3-8BA9-8E5365281EF3}" name="Column13940" dataCellStyle="Normal 2"/>
    <tableColumn id="13956" xr3:uid="{FDC0DCD7-802F-4EDE-A7F2-D0F9F2BE9E36}" name="Column13941" dataCellStyle="Normal 2"/>
    <tableColumn id="13957" xr3:uid="{92FDE6F7-97C1-490A-A928-781A5B657B40}" name="Column13942" dataCellStyle="Normal 2"/>
    <tableColumn id="13958" xr3:uid="{84F0463E-EE1A-4945-B268-17D85894F9A4}" name="Column13943" dataCellStyle="Normal 2"/>
    <tableColumn id="13959" xr3:uid="{AA9DF11C-E9DE-41C6-80AB-6E7D992C111C}" name="Column13944" dataCellStyle="Normal 2"/>
    <tableColumn id="13960" xr3:uid="{2AEE177D-087F-4E05-A20D-927E68B51D4F}" name="Column13945" dataCellStyle="Normal 2"/>
    <tableColumn id="13961" xr3:uid="{58BCD974-24D3-4E22-AF2F-02D32B81A57D}" name="Column13946" dataCellStyle="Normal 2"/>
    <tableColumn id="13962" xr3:uid="{E76B28DB-2AF4-4B3E-965A-51151AE3237C}" name="Column13947" dataCellStyle="Normal 2"/>
    <tableColumn id="13963" xr3:uid="{CF17C271-070E-42E8-897A-25382691EAA1}" name="Column13948" dataCellStyle="Normal 2"/>
    <tableColumn id="13964" xr3:uid="{3948E157-E667-4F1B-BC76-5BABBFBD4EE7}" name="Column13949" dataCellStyle="Normal 2"/>
    <tableColumn id="13965" xr3:uid="{110B48F5-77E8-49DA-A4EF-4C91F502BF9E}" name="Column13950" dataCellStyle="Normal 2"/>
    <tableColumn id="13966" xr3:uid="{302DFCCE-D5CC-4563-9E50-E841DB77FF4E}" name="Column13951" dataCellStyle="Normal 2"/>
    <tableColumn id="13967" xr3:uid="{24B0ACD7-7417-40F3-82DB-2E843A6D9D74}" name="Column13952" dataCellStyle="Normal 2"/>
    <tableColumn id="13968" xr3:uid="{95D1C75C-DB00-4BD1-BC73-2E4AC4145A1C}" name="Column13953" dataCellStyle="Normal 2"/>
    <tableColumn id="13969" xr3:uid="{BB994D92-651F-494A-A02C-82FE5773B26C}" name="Column13954" dataCellStyle="Normal 2"/>
    <tableColumn id="13970" xr3:uid="{9681370C-8886-4907-B22E-DEC43CE756F3}" name="Column13955" dataCellStyle="Normal 2"/>
    <tableColumn id="13971" xr3:uid="{42E308C1-22CF-4005-B1E3-9529818B51B7}" name="Column13956" dataCellStyle="Normal 2"/>
    <tableColumn id="13972" xr3:uid="{60A962FA-A9C0-4FC5-966A-7252173F2C18}" name="Column13957" dataCellStyle="Normal 2"/>
    <tableColumn id="13973" xr3:uid="{513C3512-10FE-4AB0-917C-71ECAFBFA8FE}" name="Column13958" dataCellStyle="Normal 2"/>
    <tableColumn id="13974" xr3:uid="{E18EF89B-762B-47E8-9333-C009284DEC66}" name="Column13959" dataCellStyle="Normal 2"/>
    <tableColumn id="13975" xr3:uid="{F3C0B620-76C0-466A-A373-71DA5CAE5D9C}" name="Column13960" dataCellStyle="Normal 2"/>
    <tableColumn id="13976" xr3:uid="{B6C31302-E872-462E-83DA-C7067BA93841}" name="Column13961" dataCellStyle="Normal 2"/>
    <tableColumn id="13977" xr3:uid="{9E153591-DBBD-41F9-A91A-B2377E5BF40B}" name="Column13962" dataCellStyle="Normal 2"/>
    <tableColumn id="13978" xr3:uid="{AFCDBAA3-1F7A-4C20-BFC5-D80F658494CE}" name="Column13963" dataCellStyle="Normal 2"/>
    <tableColumn id="13979" xr3:uid="{A10A4AFF-7334-4574-8781-DB5AE7F40058}" name="Column13964" dataCellStyle="Normal 2"/>
    <tableColumn id="13980" xr3:uid="{43F0B897-734F-417E-935C-6C3B4641B3AC}" name="Column13965" dataCellStyle="Normal 2"/>
    <tableColumn id="13981" xr3:uid="{72826660-6809-4BD8-9050-92F129EDFA78}" name="Column13966" dataCellStyle="Normal 2"/>
    <tableColumn id="13982" xr3:uid="{8971AA65-F27F-4848-85BE-C2169C86DB2D}" name="Column13967" dataCellStyle="Normal 2"/>
    <tableColumn id="13983" xr3:uid="{22678083-5AC2-4FB5-98F1-15E3E2B17B6F}" name="Column13968" dataCellStyle="Normal 2"/>
    <tableColumn id="13984" xr3:uid="{DC2C1680-0AB3-4E37-B2B1-EF9F2305F4E5}" name="Column13969" dataCellStyle="Normal 2"/>
    <tableColumn id="13985" xr3:uid="{F3BC0D98-22D1-4C45-B5C7-4D3D3A13C453}" name="Column13970" dataCellStyle="Normal 2"/>
    <tableColumn id="13986" xr3:uid="{2FE15EE6-1C01-4287-AB5D-4B83E8994784}" name="Column13971" dataCellStyle="Normal 2"/>
    <tableColumn id="13987" xr3:uid="{DC825DD8-CB86-4094-BB08-43EF4E878E51}" name="Column13972" dataCellStyle="Normal 2"/>
    <tableColumn id="13988" xr3:uid="{80BF977B-364C-4428-BD8E-13C192396C25}" name="Column13973" dataCellStyle="Normal 2"/>
    <tableColumn id="13989" xr3:uid="{E387EAB4-FDBF-4140-8F5E-D1746DB3A03A}" name="Column13974" dataCellStyle="Normal 2"/>
    <tableColumn id="13990" xr3:uid="{BC81CDA0-D6B7-4865-B8DD-536902525466}" name="Column13975" dataCellStyle="Normal 2"/>
    <tableColumn id="13991" xr3:uid="{3C0E4B22-E63C-4E4D-B822-351D888584A0}" name="Column13976" dataCellStyle="Normal 2"/>
    <tableColumn id="13992" xr3:uid="{13F419E1-19E4-418D-AF16-6FA308728FD8}" name="Column13977" dataCellStyle="Normal 2"/>
    <tableColumn id="13993" xr3:uid="{E4224994-BD78-403A-841D-7CCAD74F2DC2}" name="Column13978" dataCellStyle="Normal 2"/>
    <tableColumn id="13994" xr3:uid="{874E91A3-7CD0-43A7-9473-07CD2A1DB4DD}" name="Column13979" dataCellStyle="Normal 2"/>
    <tableColumn id="13995" xr3:uid="{EB8821BE-17DC-4695-B4D3-5D32EDDAF6FF}" name="Column13980" dataCellStyle="Normal 2"/>
    <tableColumn id="13996" xr3:uid="{32F5B79D-6F91-4C20-A87F-A1CBFC57406C}" name="Column13981" dataCellStyle="Normal 2"/>
    <tableColumn id="13997" xr3:uid="{8EDFE8DB-3215-4CE8-B7BA-5DC153039E6C}" name="Column13982" dataCellStyle="Normal 2"/>
    <tableColumn id="13998" xr3:uid="{A6685224-ED1E-4657-9723-853A07BD4329}" name="Column13983" dataCellStyle="Normal 2"/>
    <tableColumn id="13999" xr3:uid="{BD207ADA-E123-48E0-A00C-B634D0BD2EEF}" name="Column13984" dataCellStyle="Normal 2"/>
    <tableColumn id="14000" xr3:uid="{C3776AF2-0CB9-4EFE-8977-665129F024A7}" name="Column13985" dataCellStyle="Normal 2"/>
    <tableColumn id="14001" xr3:uid="{C3A80D75-0246-4049-A537-A8FB699820A0}" name="Column13986" dataCellStyle="Normal 2"/>
    <tableColumn id="14002" xr3:uid="{29C1801D-F065-4240-B1A9-4956BCB787A1}" name="Column13987" dataCellStyle="Normal 2"/>
    <tableColumn id="14003" xr3:uid="{D24E4A4B-88F9-42AD-9354-E6390D4FAA53}" name="Column13988" dataCellStyle="Normal 2"/>
    <tableColumn id="14004" xr3:uid="{E9F89C3F-C068-4050-B8E7-6D9C8FC481ED}" name="Column13989" dataCellStyle="Normal 2"/>
    <tableColumn id="14005" xr3:uid="{C440358F-DD66-486D-915F-3BB4655EC27C}" name="Column13990" dataCellStyle="Normal 2"/>
    <tableColumn id="14006" xr3:uid="{3192F13E-7C8A-41D3-9FC2-B00F7E806EF5}" name="Column13991" dataCellStyle="Normal 2"/>
    <tableColumn id="14007" xr3:uid="{6BEB1EAB-6CA6-4BCE-804F-0D90CAD383FD}" name="Column13992" dataCellStyle="Normal 2"/>
    <tableColumn id="14008" xr3:uid="{78651CE7-E7ED-4681-A4F6-3928A76710BF}" name="Column13993" dataCellStyle="Normal 2"/>
    <tableColumn id="14009" xr3:uid="{6C5DE09C-5C0F-4EA4-AAFE-0DEDAFF3D04A}" name="Column13994" dataCellStyle="Normal 2"/>
    <tableColumn id="14010" xr3:uid="{054F7BA7-96EA-4B5A-9004-10CD2788B26C}" name="Column13995" dataCellStyle="Normal 2"/>
    <tableColumn id="14011" xr3:uid="{DC30FFB9-A326-4174-B9BB-69D332B239C2}" name="Column13996" dataCellStyle="Normal 2"/>
    <tableColumn id="14012" xr3:uid="{F3A140C1-2898-4234-9046-69AD003F43D7}" name="Column13997" dataCellStyle="Normal 2"/>
    <tableColumn id="14013" xr3:uid="{B4E3E092-E5D8-4DF8-8873-E26E5DB3BE9F}" name="Column13998" dataCellStyle="Normal 2"/>
    <tableColumn id="14014" xr3:uid="{7D9E01B9-0654-4F72-9500-3182A7D1BB4E}" name="Column13999" dataCellStyle="Normal 2"/>
    <tableColumn id="14015" xr3:uid="{B2303049-1DA5-4B4E-832F-E5CEC9B30BA6}" name="Column14000" dataCellStyle="Normal 2"/>
    <tableColumn id="14016" xr3:uid="{A7FAA338-2232-449D-A282-8DD4AFA45D73}" name="Column14001" dataCellStyle="Normal 2"/>
    <tableColumn id="14017" xr3:uid="{E35D4941-2FBA-45E2-B857-2AD1E74C9E21}" name="Column14002" dataCellStyle="Normal 2"/>
    <tableColumn id="14018" xr3:uid="{2563E932-EE48-4135-B215-24E7BB21DE93}" name="Column14003" dataCellStyle="Normal 2"/>
    <tableColumn id="14019" xr3:uid="{01B47B6E-661F-4BB6-996A-628CB5D3F75C}" name="Column14004" dataCellStyle="Normal 2"/>
    <tableColumn id="14020" xr3:uid="{C09FDBF1-8221-4713-B6DC-668478576A8F}" name="Column14005" dataCellStyle="Normal 2"/>
    <tableColumn id="14021" xr3:uid="{C34976B9-F74B-47AF-9470-4928E95095E0}" name="Column14006" dataCellStyle="Normal 2"/>
    <tableColumn id="14022" xr3:uid="{FAD4A076-75E5-46C1-8135-E25F3FC08683}" name="Column14007" dataCellStyle="Normal 2"/>
    <tableColumn id="14023" xr3:uid="{129510F0-4C32-46C1-B196-EC93FE31D340}" name="Column14008" dataCellStyle="Normal 2"/>
    <tableColumn id="14024" xr3:uid="{420AF04E-E5B4-4E47-B6F7-1E71AE0131DF}" name="Column14009" dataCellStyle="Normal 2"/>
    <tableColumn id="14025" xr3:uid="{87727B64-5041-4C43-A794-E8C9B277C96A}" name="Column14010" dataCellStyle="Normal 2"/>
    <tableColumn id="14026" xr3:uid="{9BB31227-0B93-47A2-8AE4-27DC71CD0473}" name="Column14011" dataCellStyle="Normal 2"/>
    <tableColumn id="14027" xr3:uid="{481B3E6E-9902-4C86-8A2C-5259F264DCF5}" name="Column14012" dataCellStyle="Normal 2"/>
    <tableColumn id="14028" xr3:uid="{F32149DD-71FB-4AE4-9A72-CEA9AB326C98}" name="Column14013" dataCellStyle="Normal 2"/>
    <tableColumn id="14029" xr3:uid="{69B907D3-57AD-49DE-8FAB-0EE19E69A25F}" name="Column14014" dataCellStyle="Normal 2"/>
    <tableColumn id="14030" xr3:uid="{2F54A9D6-1085-450E-9632-5B552E99A0EA}" name="Column14015" dataCellStyle="Normal 2"/>
    <tableColumn id="14031" xr3:uid="{24924A23-3A1A-489C-B415-7CDA27CC9579}" name="Column14016" dataCellStyle="Normal 2"/>
    <tableColumn id="14032" xr3:uid="{BAD9D01F-4B49-4F7A-9AD0-33C9A7D7B4F4}" name="Column14017" dataCellStyle="Normal 2"/>
    <tableColumn id="14033" xr3:uid="{D77E0A0B-A486-48C7-9360-CC9AEB68126C}" name="Column14018" dataCellStyle="Normal 2"/>
    <tableColumn id="14034" xr3:uid="{C53A33F2-D72B-4A92-AE50-9D03AD2E9273}" name="Column14019" dataCellStyle="Normal 2"/>
    <tableColumn id="14035" xr3:uid="{319D3224-862E-4B8E-A668-D4F1BFEF9A8E}" name="Column14020" dataCellStyle="Normal 2"/>
    <tableColumn id="14036" xr3:uid="{0EFBD66B-1655-40F3-8FF6-064323B56E09}" name="Column14021" dataCellStyle="Normal 2"/>
    <tableColumn id="14037" xr3:uid="{FDA4AAFF-393B-4EE7-A605-5E3A45274557}" name="Column14022" dataCellStyle="Normal 2"/>
    <tableColumn id="14038" xr3:uid="{3864B10F-CD6F-4C1F-ACB3-B6A094DFE534}" name="Column14023" dataCellStyle="Normal 2"/>
    <tableColumn id="14039" xr3:uid="{10826CFB-B7E7-407E-854A-6B5B28ADF57E}" name="Column14024" dataCellStyle="Normal 2"/>
    <tableColumn id="14040" xr3:uid="{947B0EDA-EFF0-4A7B-97AE-36EE20076BEC}" name="Column14025" dataCellStyle="Normal 2"/>
    <tableColumn id="14041" xr3:uid="{3A78B1B8-2F49-48E0-A340-41ADFFE0A9C3}" name="Column14026" dataCellStyle="Normal 2"/>
    <tableColumn id="14042" xr3:uid="{65967FDD-1218-48F3-A921-A6B9D1050766}" name="Column14027" dataCellStyle="Normal 2"/>
    <tableColumn id="14043" xr3:uid="{91E740CE-3790-40B9-A080-7186F0833781}" name="Column14028" dataCellStyle="Normal 2"/>
    <tableColumn id="14044" xr3:uid="{30571613-D1A3-4338-960C-060D17C4243B}" name="Column14029" dataCellStyle="Normal 2"/>
    <tableColumn id="14045" xr3:uid="{8319568D-BEA4-4089-B9D4-4C4546D07958}" name="Column14030" dataCellStyle="Normal 2"/>
    <tableColumn id="14046" xr3:uid="{2117F741-07B5-4CB6-A535-4AB2ADE14C43}" name="Column14031" dataCellStyle="Normal 2"/>
    <tableColumn id="14047" xr3:uid="{D4510194-40B9-40EB-ABCE-641EFFB4CF04}" name="Column14032" dataCellStyle="Normal 2"/>
    <tableColumn id="14048" xr3:uid="{C523F786-31C5-4963-A030-CEC181AB39A3}" name="Column14033" dataCellStyle="Normal 2"/>
    <tableColumn id="14049" xr3:uid="{2FC0E6D8-21CD-46C7-8561-1EF878D87122}" name="Column14034" dataCellStyle="Normal 2"/>
    <tableColumn id="14050" xr3:uid="{5F7818C6-2E12-41A1-9B56-09121B660D69}" name="Column14035" dataCellStyle="Normal 2"/>
    <tableColumn id="14051" xr3:uid="{6CE80051-3A37-40FD-B5F3-6D59DD421855}" name="Column14036" dataCellStyle="Normal 2"/>
    <tableColumn id="14052" xr3:uid="{30D55CA7-85DE-4E97-BE87-A28EA4CAC89F}" name="Column14037" dataCellStyle="Normal 2"/>
    <tableColumn id="14053" xr3:uid="{E3C82512-3579-4309-837A-D0C48C20FC7A}" name="Column14038" dataCellStyle="Normal 2"/>
    <tableColumn id="14054" xr3:uid="{56F57E7B-AE3C-492E-A325-3C3504FD83BB}" name="Column14039" dataCellStyle="Normal 2"/>
    <tableColumn id="14055" xr3:uid="{4A51A00D-CCC9-4236-9A51-E6FDD42C5327}" name="Column14040" dataCellStyle="Normal 2"/>
    <tableColumn id="14056" xr3:uid="{A6B8DE5B-6A7B-460D-84AE-9E1BE36371C5}" name="Column14041" dataCellStyle="Normal 2"/>
    <tableColumn id="14057" xr3:uid="{490A2F5B-91B2-458D-8C3A-E49B09BEC074}" name="Column14042" dataCellStyle="Normal 2"/>
    <tableColumn id="14058" xr3:uid="{949935F3-F3BD-4DED-9B2D-F4B4B562C65E}" name="Column14043" dataCellStyle="Normal 2"/>
    <tableColumn id="14059" xr3:uid="{94986AD5-8D86-43B1-B130-37CEB21ABF3A}" name="Column14044" dataCellStyle="Normal 2"/>
    <tableColumn id="14060" xr3:uid="{AED3712E-F8F0-4A10-B1EF-0C2CD3964B13}" name="Column14045" dataCellStyle="Normal 2"/>
    <tableColumn id="14061" xr3:uid="{FC356493-8D26-4373-BE9C-58ABDAF7E36C}" name="Column14046" dataCellStyle="Normal 2"/>
    <tableColumn id="14062" xr3:uid="{67D09A26-BD82-438C-9B43-4207FD68D20C}" name="Column14047" dataCellStyle="Normal 2"/>
    <tableColumn id="14063" xr3:uid="{E4757CA9-FE3C-4412-8496-850A780C0803}" name="Column14048" dataCellStyle="Normal 2"/>
    <tableColumn id="14064" xr3:uid="{C1329A55-E774-426D-80E8-29FA457F67B2}" name="Column14049" dataCellStyle="Normal 2"/>
    <tableColumn id="14065" xr3:uid="{8E7B006A-8C34-444D-8954-C8CB96146969}" name="Column14050" dataCellStyle="Normal 2"/>
    <tableColumn id="14066" xr3:uid="{01FB3164-9621-46C0-AF00-2EE360818534}" name="Column14051" dataCellStyle="Normal 2"/>
    <tableColumn id="14067" xr3:uid="{3A61A62F-250C-44E0-9FE5-04222D6C0723}" name="Column14052" dataCellStyle="Normal 2"/>
    <tableColumn id="14068" xr3:uid="{3BDC9FC0-5B3C-4637-8B8F-A2A7142064BB}" name="Column14053" dataCellStyle="Normal 2"/>
    <tableColumn id="14069" xr3:uid="{0638BD00-958B-4E2D-BFF3-9AEA76061F14}" name="Column14054" dataCellStyle="Normal 2"/>
    <tableColumn id="14070" xr3:uid="{9E0C9C9A-4F7F-44D5-A73C-9ADACEEC1D32}" name="Column14055" dataCellStyle="Normal 2"/>
    <tableColumn id="14071" xr3:uid="{0B4AFF01-9708-4FF0-A2FC-BCC6B92184FB}" name="Column14056" dataCellStyle="Normal 2"/>
    <tableColumn id="14072" xr3:uid="{7254124D-6B47-4C3C-9AE0-21560E545AB4}" name="Column14057" dataCellStyle="Normal 2"/>
    <tableColumn id="14073" xr3:uid="{D248242D-5092-4A25-866B-1AAFC6E63670}" name="Column14058" dataCellStyle="Normal 2"/>
    <tableColumn id="14074" xr3:uid="{26469ED4-AEE1-4196-8CB9-D812BA9411EC}" name="Column14059" dataCellStyle="Normal 2"/>
    <tableColumn id="14075" xr3:uid="{A0BF144A-6A47-4795-91EE-2C9FAD5D4C33}" name="Column14060" dataCellStyle="Normal 2"/>
    <tableColumn id="14076" xr3:uid="{8F2A982D-017E-479A-AE7D-3E592B9151F1}" name="Column14061" dataCellStyle="Normal 2"/>
    <tableColumn id="14077" xr3:uid="{A8BFFD3D-F195-4B4D-A14E-54C428D16505}" name="Column14062" dataCellStyle="Normal 2"/>
    <tableColumn id="14078" xr3:uid="{5A710DBE-B2C4-445B-8551-17E5FE03BF5F}" name="Column14063" dataCellStyle="Normal 2"/>
    <tableColumn id="14079" xr3:uid="{8A10100F-79DB-42AE-A16A-176BC161A6F6}" name="Column14064" dataCellStyle="Normal 2"/>
    <tableColumn id="14080" xr3:uid="{5301F73C-565A-4359-B5E3-A08648F48153}" name="Column14065" dataCellStyle="Normal 2"/>
    <tableColumn id="14081" xr3:uid="{BD0CFF58-E9AD-4B31-A56D-AE4CDE9F1C8A}" name="Column14066" dataCellStyle="Normal 2"/>
    <tableColumn id="14082" xr3:uid="{CFD309BF-A46D-4025-A566-89A0A0DF3559}" name="Column14067" dataCellStyle="Normal 2"/>
    <tableColumn id="14083" xr3:uid="{549FA388-EC7A-4172-B61F-B77CBEEC844B}" name="Column14068" dataCellStyle="Normal 2"/>
    <tableColumn id="14084" xr3:uid="{F0941351-D791-4267-839F-ADA4E318ED9F}" name="Column14069" dataCellStyle="Normal 2"/>
    <tableColumn id="14085" xr3:uid="{8D3C9193-8D7B-45D9-8E1D-6683ADE609F2}" name="Column14070" dataCellStyle="Normal 2"/>
    <tableColumn id="14086" xr3:uid="{7F9E9229-A650-455F-8654-626A92359DF6}" name="Column14071" dataCellStyle="Normal 2"/>
    <tableColumn id="14087" xr3:uid="{BB5B1FCC-0B2F-4E7F-B699-5ACD9F1CC292}" name="Column14072" dataCellStyle="Normal 2"/>
    <tableColumn id="14088" xr3:uid="{7B8C7A08-458D-4E7B-A07B-2E9FF780031C}" name="Column14073" dataCellStyle="Normal 2"/>
    <tableColumn id="14089" xr3:uid="{426D2F76-0F66-4F46-AB1D-911C9264311F}" name="Column14074" dataCellStyle="Normal 2"/>
    <tableColumn id="14090" xr3:uid="{2BD8E83F-FC84-4D86-B34A-1D46A8ADDF81}" name="Column14075" dataCellStyle="Normal 2"/>
    <tableColumn id="14091" xr3:uid="{187FC1DC-F3DE-4867-90EE-285A1B9DAD63}" name="Column14076" dataCellStyle="Normal 2"/>
    <tableColumn id="14092" xr3:uid="{F47328A7-5ED5-4063-B327-31F3959D1528}" name="Column14077" dataCellStyle="Normal 2"/>
    <tableColumn id="14093" xr3:uid="{51C4F198-86BF-4B18-9277-1659E01F4456}" name="Column14078" dataCellStyle="Normal 2"/>
    <tableColumn id="14094" xr3:uid="{4AC75E80-9CFD-4FCF-BF59-CB6A3BCB4B40}" name="Column14079" dataCellStyle="Normal 2"/>
    <tableColumn id="14095" xr3:uid="{4B3E692B-E66C-4D96-850F-214B7E216287}" name="Column14080" dataCellStyle="Normal 2"/>
    <tableColumn id="14096" xr3:uid="{C6878AE3-9102-41A6-A417-74703E61320F}" name="Column14081" dataCellStyle="Normal 2"/>
    <tableColumn id="14097" xr3:uid="{4B665810-0D07-468B-A1A1-1B311E0027FE}" name="Column14082" dataCellStyle="Normal 2"/>
    <tableColumn id="14098" xr3:uid="{476E343F-F7D2-4D30-865B-4CC7AEA70B98}" name="Column14083" dataCellStyle="Normal 2"/>
    <tableColumn id="14099" xr3:uid="{6EE7E946-300D-44F8-A318-FACD76F782A2}" name="Column14084" dataCellStyle="Normal 2"/>
    <tableColumn id="14100" xr3:uid="{0C3AD176-2DDB-4F7E-B3E6-1F85169985B4}" name="Column14085" dataCellStyle="Normal 2"/>
    <tableColumn id="14101" xr3:uid="{9F3029C8-EAED-4984-9CCB-CB5075916918}" name="Column14086" dataCellStyle="Normal 2"/>
    <tableColumn id="14102" xr3:uid="{5F3955F2-E3C6-48C1-A7F3-C2A4E1E974C1}" name="Column14087" dataCellStyle="Normal 2"/>
    <tableColumn id="14103" xr3:uid="{C705B197-A75A-4D32-A467-F42ACC47CD0E}" name="Column14088" dataCellStyle="Normal 2"/>
    <tableColumn id="14104" xr3:uid="{A82B7696-C9A6-405B-B333-FA60EA3A0095}" name="Column14089" dataCellStyle="Normal 2"/>
    <tableColumn id="14105" xr3:uid="{F3F13CA9-98DD-418A-A8FC-C5F4E15FE2CB}" name="Column14090" dataCellStyle="Normal 2"/>
    <tableColumn id="14106" xr3:uid="{FF01DFA9-ED14-416D-88A6-DFBE489367D9}" name="Column14091" dataCellStyle="Normal 2"/>
    <tableColumn id="14107" xr3:uid="{754CB098-E0B0-4D80-ABFF-3AC53AB87E94}" name="Column14092" dataCellStyle="Normal 2"/>
    <tableColumn id="14108" xr3:uid="{89925AC3-763E-43DE-BCC0-1405771E738C}" name="Column14093" dataCellStyle="Normal 2"/>
    <tableColumn id="14109" xr3:uid="{BC24A341-3567-4F04-B64E-6F2F66C8F982}" name="Column14094" dataCellStyle="Normal 2"/>
    <tableColumn id="14110" xr3:uid="{2CEFC273-64F0-456E-9C82-AE3A816D1106}" name="Column14095" dataCellStyle="Normal 2"/>
    <tableColumn id="14111" xr3:uid="{24CC2EB4-FA0A-4780-93F9-567982E61E31}" name="Column14096" dataCellStyle="Normal 2"/>
    <tableColumn id="14112" xr3:uid="{38E037DE-017A-467F-B366-DE3F009ABF18}" name="Column14097" dataCellStyle="Normal 2"/>
    <tableColumn id="14113" xr3:uid="{D98511B4-E136-4C01-A50B-13269A8CDE0E}" name="Column14098" dataCellStyle="Normal 2"/>
    <tableColumn id="14114" xr3:uid="{5E591AD5-AB67-4AEB-A681-F49667A27CA8}" name="Column14099" dataCellStyle="Normal 2"/>
    <tableColumn id="14115" xr3:uid="{AE991885-8E54-4B7F-8010-E8271BECAABB}" name="Column14100" dataCellStyle="Normal 2"/>
    <tableColumn id="14116" xr3:uid="{1844561A-4A29-4B9F-A2C4-982026BCDABF}" name="Column14101" dataCellStyle="Normal 2"/>
    <tableColumn id="14117" xr3:uid="{92B7A1A0-53BA-4E09-AA3A-D40769EB29B4}" name="Column14102" dataCellStyle="Normal 2"/>
    <tableColumn id="14118" xr3:uid="{FDD1A18A-E00E-47C5-A0F5-BA2D7BB9F22B}" name="Column14103" dataCellStyle="Normal 2"/>
    <tableColumn id="14119" xr3:uid="{2529F4AC-C059-4FEC-A6B9-914439C03A30}" name="Column14104" dataCellStyle="Normal 2"/>
    <tableColumn id="14120" xr3:uid="{0FABE322-2418-4B64-BDE1-8A52A7D4E3B8}" name="Column14105" dataCellStyle="Normal 2"/>
    <tableColumn id="14121" xr3:uid="{A86C25E4-DFA9-4EB8-8739-71AD4C121428}" name="Column14106" dataCellStyle="Normal 2"/>
    <tableColumn id="14122" xr3:uid="{A5BFB3D2-138A-4293-A844-DE60A5B15E1C}" name="Column14107" dataCellStyle="Normal 2"/>
    <tableColumn id="14123" xr3:uid="{1D1BC6EF-B609-40DF-8668-1AAA66691638}" name="Column14108" dataCellStyle="Normal 2"/>
    <tableColumn id="14124" xr3:uid="{6ADCE675-A119-4ED8-9D71-A9FE8C076BE0}" name="Column14109" dataCellStyle="Normal 2"/>
    <tableColumn id="14125" xr3:uid="{5D259307-99B1-4F4D-AC9F-1D6B74B7913C}" name="Column14110" dataCellStyle="Normal 2"/>
    <tableColumn id="14126" xr3:uid="{0ACD16E2-848A-4957-822F-E4AC23F6080A}" name="Column14111" dataCellStyle="Normal 2"/>
    <tableColumn id="14127" xr3:uid="{0F4711C8-1588-453B-8CFB-AEF6ADA418F5}" name="Column14112" dataCellStyle="Normal 2"/>
    <tableColumn id="14128" xr3:uid="{42642DE3-28F4-4F16-8353-D0969987557A}" name="Column14113" dataCellStyle="Normal 2"/>
    <tableColumn id="14129" xr3:uid="{061FD93D-DC12-4596-8BDF-62C04EA69095}" name="Column14114" dataCellStyle="Normal 2"/>
    <tableColumn id="14130" xr3:uid="{8C17E99E-9687-4498-A26F-5AD73850B024}" name="Column14115" dataCellStyle="Normal 2"/>
    <tableColumn id="14131" xr3:uid="{5C6BCAEB-5F93-4AFF-935F-7CEDA04E23D3}" name="Column14116" dataCellStyle="Normal 2"/>
    <tableColumn id="14132" xr3:uid="{95533FB5-4CC4-4EAD-987E-5DC103CA0F1F}" name="Column14117" dataCellStyle="Normal 2"/>
    <tableColumn id="14133" xr3:uid="{8F3BA3A4-4909-41C8-ADBB-ACEEC89E1C9C}" name="Column14118" dataCellStyle="Normal 2"/>
    <tableColumn id="14134" xr3:uid="{87E1DA90-5954-4759-874F-468D74806CE1}" name="Column14119" dataCellStyle="Normal 2"/>
    <tableColumn id="14135" xr3:uid="{AD48A3EF-E032-4CD2-A998-ADF95D00A24D}" name="Column14120" dataCellStyle="Normal 2"/>
    <tableColumn id="14136" xr3:uid="{66012465-9A26-4CF8-B3CF-4935443700C0}" name="Column14121" dataCellStyle="Normal 2"/>
    <tableColumn id="14137" xr3:uid="{E32426B0-DD23-48D3-9D7D-7C5FE6FA9544}" name="Column14122" dataCellStyle="Normal 2"/>
    <tableColumn id="14138" xr3:uid="{8CA9C719-B302-4DEF-86C4-0D7BB4D7C069}" name="Column14123" dataCellStyle="Normal 2"/>
    <tableColumn id="14139" xr3:uid="{3D61D03A-CD6A-441C-8751-7C5BB7CAEE85}" name="Column14124" dataCellStyle="Normal 2"/>
    <tableColumn id="14140" xr3:uid="{90451EA7-A415-42EE-A41E-2822788B78C2}" name="Column14125" dataCellStyle="Normal 2"/>
    <tableColumn id="14141" xr3:uid="{38DDE6AD-7A13-4ABF-8D4A-9AF52B456D7F}" name="Column14126" dataCellStyle="Normal 2"/>
    <tableColumn id="14142" xr3:uid="{3661DADA-F53C-420E-AADD-E5AFAAB6F8E4}" name="Column14127" dataCellStyle="Normal 2"/>
    <tableColumn id="14143" xr3:uid="{4464DCBF-B269-404B-BEBB-70BC9824B7D3}" name="Column14128" dataCellStyle="Normal 2"/>
    <tableColumn id="14144" xr3:uid="{D13A86F5-12CF-409B-837E-0B27FE1C8ED9}" name="Column14129" dataCellStyle="Normal 2"/>
    <tableColumn id="14145" xr3:uid="{233724AB-40ED-4556-8805-E49AEBE81808}" name="Column14130" dataCellStyle="Normal 2"/>
    <tableColumn id="14146" xr3:uid="{F9ABA720-1770-4E60-A346-13D1079B0C71}" name="Column14131" dataCellStyle="Normal 2"/>
    <tableColumn id="14147" xr3:uid="{294EBBD3-BE05-401A-B927-A18C96510520}" name="Column14132" dataCellStyle="Normal 2"/>
    <tableColumn id="14148" xr3:uid="{BCD0D0D4-F623-45D7-A15B-B3CE58319CFC}" name="Column14133" dataCellStyle="Normal 2"/>
    <tableColumn id="14149" xr3:uid="{11ECA888-7EF6-4466-B989-1333EAA8E5EC}" name="Column14134" dataCellStyle="Normal 2"/>
    <tableColumn id="14150" xr3:uid="{3FC9B5A6-C5D6-456B-8665-D2F86F2ABEE3}" name="Column14135" dataCellStyle="Normal 2"/>
    <tableColumn id="14151" xr3:uid="{02575072-4739-47A2-99F1-3B0C5934A703}" name="Column14136" dataCellStyle="Normal 2"/>
    <tableColumn id="14152" xr3:uid="{594A953D-34D1-4B2F-BEF1-7B534D8E7DA9}" name="Column14137" dataCellStyle="Normal 2"/>
    <tableColumn id="14153" xr3:uid="{A4782E2F-500C-4E5B-813E-A9D977D9CEF7}" name="Column14138" dataCellStyle="Normal 2"/>
    <tableColumn id="14154" xr3:uid="{0C5CA566-4994-44F0-B78E-CDEC1A3A4C9B}" name="Column14139" dataCellStyle="Normal 2"/>
    <tableColumn id="14155" xr3:uid="{8FD48332-4770-4994-B1C3-6BD278C5D934}" name="Column14140" dataCellStyle="Normal 2"/>
    <tableColumn id="14156" xr3:uid="{1CF90D05-FE88-4887-BBED-232A3682177E}" name="Column14141" dataCellStyle="Normal 2"/>
    <tableColumn id="14157" xr3:uid="{FF18C378-25F6-4312-8BCB-E959349962D4}" name="Column14142" dataCellStyle="Normal 2"/>
    <tableColumn id="14158" xr3:uid="{37A3E47F-BBCB-4F93-B197-D9DC8A2DBAFD}" name="Column14143" dataCellStyle="Normal 2"/>
    <tableColumn id="14159" xr3:uid="{F36811DF-E11D-41C3-9E3F-95B3A41FF835}" name="Column14144" dataCellStyle="Normal 2"/>
    <tableColumn id="14160" xr3:uid="{0EF1A20E-4112-4264-96B3-8CE723814669}" name="Column14145" dataCellStyle="Normal 2"/>
    <tableColumn id="14161" xr3:uid="{CE560AEC-7BD2-4245-9ED8-CA30DDF660D5}" name="Column14146" dataCellStyle="Normal 2"/>
    <tableColumn id="14162" xr3:uid="{AA02A155-69FA-4674-87D0-2793E41E0DC8}" name="Column14147" dataCellStyle="Normal 2"/>
    <tableColumn id="14163" xr3:uid="{C67DB267-568D-48A0-BDC9-5C9573135C99}" name="Column14148" dataCellStyle="Normal 2"/>
    <tableColumn id="14164" xr3:uid="{9A177D2A-6FBE-4A1A-89F2-10E082D5117B}" name="Column14149" dataCellStyle="Normal 2"/>
    <tableColumn id="14165" xr3:uid="{4E3963FB-42FA-4450-A609-10BC4F23D8E7}" name="Column14150" dataCellStyle="Normal 2"/>
    <tableColumn id="14166" xr3:uid="{D8FCDE8F-D457-495F-A1D3-1210ABF40C2E}" name="Column14151" dataCellStyle="Normal 2"/>
    <tableColumn id="14167" xr3:uid="{062C6B16-54F3-4716-8838-47873AF5E095}" name="Column14152" dataCellStyle="Normal 2"/>
    <tableColumn id="14168" xr3:uid="{25DFA0EE-198A-4389-85D0-93EE758FB757}" name="Column14153" dataCellStyle="Normal 2"/>
    <tableColumn id="14169" xr3:uid="{8C3E8543-702D-4EEE-9BBC-EDFD860DB6F2}" name="Column14154" dataCellStyle="Normal 2"/>
    <tableColumn id="14170" xr3:uid="{A5157E8D-77B1-4918-9CE0-F55A3198FE99}" name="Column14155" dataCellStyle="Normal 2"/>
    <tableColumn id="14171" xr3:uid="{EDC2B53C-A393-47D7-A2F5-F33C500B21CC}" name="Column14156" dataCellStyle="Normal 2"/>
    <tableColumn id="14172" xr3:uid="{159C6F4B-08B4-495B-8E92-8E573CD6EA87}" name="Column14157" dataCellStyle="Normal 2"/>
    <tableColumn id="14173" xr3:uid="{B2FD5C0F-040F-4AA1-B2B8-F5A36A3B2328}" name="Column14158" dataCellStyle="Normal 2"/>
    <tableColumn id="14174" xr3:uid="{E4D681D0-DBA2-442C-A270-90515BC1146B}" name="Column14159" dataCellStyle="Normal 2"/>
    <tableColumn id="14175" xr3:uid="{80065E14-4F82-4651-AC6B-5E7CD9D191DC}" name="Column14160" dataCellStyle="Normal 2"/>
    <tableColumn id="14176" xr3:uid="{4CDE0858-B7D6-4E6B-A775-E2AFD333C176}" name="Column14161" dataCellStyle="Normal 2"/>
    <tableColumn id="14177" xr3:uid="{E2959AAA-C792-40D7-A792-44262766B290}" name="Column14162" dataCellStyle="Normal 2"/>
    <tableColumn id="14178" xr3:uid="{E86EB212-7CD1-4BAE-9898-68BF6DDF3716}" name="Column14163" dataCellStyle="Normal 2"/>
    <tableColumn id="14179" xr3:uid="{C0F72393-0779-4502-85F9-B316D2675466}" name="Column14164" dataCellStyle="Normal 2"/>
    <tableColumn id="14180" xr3:uid="{CE4CF364-48A6-400F-BDC7-526C44E4BDA0}" name="Column14165" dataCellStyle="Normal 2"/>
    <tableColumn id="14181" xr3:uid="{D144C29C-D003-4610-8276-2746394A655E}" name="Column14166" dataCellStyle="Normal 2"/>
    <tableColumn id="14182" xr3:uid="{45DF208F-F5D3-4AAA-A3F2-182EAF7DDE26}" name="Column14167" dataCellStyle="Normal 2"/>
    <tableColumn id="14183" xr3:uid="{205A8E86-2FF5-40CF-9BB0-9D83F52556A8}" name="Column14168" dataCellStyle="Normal 2"/>
    <tableColumn id="14184" xr3:uid="{CE386350-2A4B-4E5C-BF75-6617220D7CBE}" name="Column14169" dataCellStyle="Normal 2"/>
    <tableColumn id="14185" xr3:uid="{82B5FD01-B110-4D64-BAB2-1CEB14D5D263}" name="Column14170" dataCellStyle="Normal 2"/>
    <tableColumn id="14186" xr3:uid="{BC97A2DF-2798-4AE4-8AFE-4980B49D552F}" name="Column14171" dataCellStyle="Normal 2"/>
    <tableColumn id="14187" xr3:uid="{9B76AAC5-EB89-4D3F-BE44-5E65BA70FD88}" name="Column14172" dataCellStyle="Normal 2"/>
    <tableColumn id="14188" xr3:uid="{F528A2A0-D7C7-47A5-8C47-737EA7CED7E1}" name="Column14173" dataCellStyle="Normal 2"/>
    <tableColumn id="14189" xr3:uid="{7C7470E7-49C5-4892-A4AB-39113B264249}" name="Column14174" dataCellStyle="Normal 2"/>
    <tableColumn id="14190" xr3:uid="{DC2497AB-EDE1-4C38-B4FB-7435234D84EA}" name="Column14175" dataCellStyle="Normal 2"/>
    <tableColumn id="14191" xr3:uid="{C5587AD7-3A73-4783-8A72-E7D0F49BE1FB}" name="Column14176" dataCellStyle="Normal 2"/>
    <tableColumn id="14192" xr3:uid="{04F96A6A-C687-4E5F-AF9A-2CCA638A10D1}" name="Column14177" dataCellStyle="Normal 2"/>
    <tableColumn id="14193" xr3:uid="{CACC69B0-E50E-4A74-B264-B5AACF756074}" name="Column14178" dataCellStyle="Normal 2"/>
    <tableColumn id="14194" xr3:uid="{79B74E4B-B100-41C1-9A07-FE8D4C6A0EA2}" name="Column14179" dataCellStyle="Normal 2"/>
    <tableColumn id="14195" xr3:uid="{34E8CAFB-6518-446F-8466-36E0E9B339FD}" name="Column14180" dataCellStyle="Normal 2"/>
    <tableColumn id="14196" xr3:uid="{C0285FFA-B9AF-4621-BE99-0AC230ACA51C}" name="Column14181" dataCellStyle="Normal 2"/>
    <tableColumn id="14197" xr3:uid="{79C4A322-45EF-459A-A3E6-EDD8688EBAF9}" name="Column14182" dataCellStyle="Normal 2"/>
    <tableColumn id="14198" xr3:uid="{E9FF813B-D07C-4830-849B-2B53799BF485}" name="Column14183" dataCellStyle="Normal 2"/>
    <tableColumn id="14199" xr3:uid="{72F68C10-5D3A-4EAB-B1BB-C70186D82CF6}" name="Column14184" dataCellStyle="Normal 2"/>
    <tableColumn id="14200" xr3:uid="{54526EE0-7D31-421E-A482-5440A008E2AD}" name="Column14185" dataCellStyle="Normal 2"/>
    <tableColumn id="14201" xr3:uid="{EA1E5C81-EC30-4EBF-813D-A0C25074C3AF}" name="Column14186" dataCellStyle="Normal 2"/>
    <tableColumn id="14202" xr3:uid="{A99EB7A6-EAA6-4B15-A3C2-56F5731D3F81}" name="Column14187" dataCellStyle="Normal 2"/>
    <tableColumn id="14203" xr3:uid="{3AD79905-806E-4022-9054-3A84E7EAA68E}" name="Column14188" dataCellStyle="Normal 2"/>
    <tableColumn id="14204" xr3:uid="{8311B500-C4FD-4F56-BFC8-6E6B624AF112}" name="Column14189" dataCellStyle="Normal 2"/>
    <tableColumn id="14205" xr3:uid="{3602E465-7D11-439E-8267-8CD0D9201197}" name="Column14190" dataCellStyle="Normal 2"/>
    <tableColumn id="14206" xr3:uid="{4763C28E-A3BF-45C8-AAD7-6A948AD5207B}" name="Column14191" dataCellStyle="Normal 2"/>
    <tableColumn id="14207" xr3:uid="{19693471-A3EF-4018-9722-D3D0DAB095F9}" name="Column14192" dataCellStyle="Normal 2"/>
    <tableColumn id="14208" xr3:uid="{F8F60D29-2988-45BF-B29D-25D66505929D}" name="Column14193" dataCellStyle="Normal 2"/>
    <tableColumn id="14209" xr3:uid="{24604E5C-8D6B-401F-A00E-5E09B19D30C4}" name="Column14194" dataCellStyle="Normal 2"/>
    <tableColumn id="14210" xr3:uid="{6DCB419B-B158-4CEC-88A9-064C84EFD144}" name="Column14195" dataCellStyle="Normal 2"/>
    <tableColumn id="14211" xr3:uid="{117E18B8-8EEC-49CA-9769-BD24DBF020CD}" name="Column14196" dataCellStyle="Normal 2"/>
    <tableColumn id="14212" xr3:uid="{68B9D5E4-CA24-42D2-B125-37EF2F31C0F5}" name="Column14197" dataCellStyle="Normal 2"/>
    <tableColumn id="14213" xr3:uid="{4EEC5500-3C55-4372-BA74-AF64DF70B050}" name="Column14198" dataCellStyle="Normal 2"/>
    <tableColumn id="14214" xr3:uid="{F90AD0BF-E67E-45C8-9518-33FE51BE7CB5}" name="Column14199" dataCellStyle="Normal 2"/>
    <tableColumn id="14215" xr3:uid="{CFEDBF90-1377-40A5-ADBC-0AD3E17EEB3A}" name="Column14200" dataCellStyle="Normal 2"/>
    <tableColumn id="14216" xr3:uid="{2D4BB091-C725-45D4-993A-82554E464D98}" name="Column14201" dataCellStyle="Normal 2"/>
    <tableColumn id="14217" xr3:uid="{C7B2E893-E065-4FEC-A0EC-459ECE2B015F}" name="Column14202" dataCellStyle="Normal 2"/>
    <tableColumn id="14218" xr3:uid="{58D29E92-35CA-4907-B091-567708A39490}" name="Column14203" dataCellStyle="Normal 2"/>
    <tableColumn id="14219" xr3:uid="{E8E1F8F9-3CC7-47A5-BE6C-E810C5BE8538}" name="Column14204" dataCellStyle="Normal 2"/>
    <tableColumn id="14220" xr3:uid="{478FD9E8-E81E-48C5-B8F4-32B853341D39}" name="Column14205" dataCellStyle="Normal 2"/>
    <tableColumn id="14221" xr3:uid="{D4357AD9-213F-4BE1-A6BC-4CF2A2F05922}" name="Column14206" dataCellStyle="Normal 2"/>
    <tableColumn id="14222" xr3:uid="{A248630C-E195-4F4F-B019-B7E537B2C294}" name="Column14207" dataCellStyle="Normal 2"/>
    <tableColumn id="14223" xr3:uid="{88FC680A-32BB-4163-B24C-433194EC5469}" name="Column14208" dataCellStyle="Normal 2"/>
    <tableColumn id="14224" xr3:uid="{784D35B7-3673-4B8C-AE0D-D3070C921DAF}" name="Column14209" dataCellStyle="Normal 2"/>
    <tableColumn id="14225" xr3:uid="{126524CB-BCF8-4C7C-AB30-337E3DAD599C}" name="Column14210" dataCellStyle="Normal 2"/>
    <tableColumn id="14226" xr3:uid="{4776CC01-D4E2-4900-A2EA-B629DB353B47}" name="Column14211" dataCellStyle="Normal 2"/>
    <tableColumn id="14227" xr3:uid="{4C4C8C8C-DB32-423B-A25D-5C606557955E}" name="Column14212" dataCellStyle="Normal 2"/>
    <tableColumn id="14228" xr3:uid="{809D8F76-B662-4930-A4A0-2AF9426835CE}" name="Column14213" dataCellStyle="Normal 2"/>
    <tableColumn id="14229" xr3:uid="{E537FB8B-788B-4E2B-A59E-8FC02476562C}" name="Column14214" dataCellStyle="Normal 2"/>
    <tableColumn id="14230" xr3:uid="{4A827DF7-6AD4-41FF-A4E3-AD867B5A504A}" name="Column14215" dataCellStyle="Normal 2"/>
    <tableColumn id="14231" xr3:uid="{2E7BFFBB-87CE-42BE-8E69-D22FD2708E7A}" name="Column14216" dataCellStyle="Normal 2"/>
    <tableColumn id="14232" xr3:uid="{996E1F93-0527-478D-A9FA-730326B2A056}" name="Column14217" dataCellStyle="Normal 2"/>
    <tableColumn id="14233" xr3:uid="{498AAE92-BDBA-4471-973B-32FE5A2235FE}" name="Column14218" dataCellStyle="Normal 2"/>
    <tableColumn id="14234" xr3:uid="{BA079E39-FDD0-45E2-9559-BA2E73AB9BDD}" name="Column14219" dataCellStyle="Normal 2"/>
    <tableColumn id="14235" xr3:uid="{62504E36-D0D5-451C-90ED-52CB924CE3A0}" name="Column14220" dataCellStyle="Normal 2"/>
    <tableColumn id="14236" xr3:uid="{6A672D65-5685-4FF0-8921-328D28BDA083}" name="Column14221" dataCellStyle="Normal 2"/>
    <tableColumn id="14237" xr3:uid="{4234D171-E026-4AA1-963E-0A78EF25DFFC}" name="Column14222" dataCellStyle="Normal 2"/>
    <tableColumn id="14238" xr3:uid="{02B946C0-A8C6-4AF2-AD5A-B14F0D5B0403}" name="Column14223" dataCellStyle="Normal 2"/>
    <tableColumn id="14239" xr3:uid="{E830687B-9D7F-49E4-BB27-EC257EE49DA7}" name="Column14224" dataCellStyle="Normal 2"/>
    <tableColumn id="14240" xr3:uid="{B6C3B0B0-8870-4187-B9E5-30A64FAAD9CE}" name="Column14225" dataCellStyle="Normal 2"/>
    <tableColumn id="14241" xr3:uid="{0AACE24A-8690-4AFD-A358-21E7ECFD45B8}" name="Column14226" dataCellStyle="Normal 2"/>
    <tableColumn id="14242" xr3:uid="{C87E10E1-E95F-4B76-9983-03334F8A8089}" name="Column14227" dataCellStyle="Normal 2"/>
    <tableColumn id="14243" xr3:uid="{F7E92BE1-601F-42D1-A43F-77A029B7E3E0}" name="Column14228" dataCellStyle="Normal 2"/>
    <tableColumn id="14244" xr3:uid="{3022697F-9AEC-4C94-994F-D7292B15C600}" name="Column14229" dataCellStyle="Normal 2"/>
    <tableColumn id="14245" xr3:uid="{10ED41BE-2F0A-48EC-8E36-193B37FA79F0}" name="Column14230" dataCellStyle="Normal 2"/>
    <tableColumn id="14246" xr3:uid="{59D5CE93-8F93-4AD5-9393-217DE1BE704E}" name="Column14231" dataCellStyle="Normal 2"/>
    <tableColumn id="14247" xr3:uid="{90E14A82-D049-4B5B-AB81-059044EFE999}" name="Column14232" dataCellStyle="Normal 2"/>
    <tableColumn id="14248" xr3:uid="{E3C9B346-9895-4727-AA11-58F1B3427992}" name="Column14233" dataCellStyle="Normal 2"/>
    <tableColumn id="14249" xr3:uid="{0A0809AD-ABA5-4737-A867-8AF11C290D7A}" name="Column14234" dataCellStyle="Normal 2"/>
    <tableColumn id="14250" xr3:uid="{98C6AD12-696C-4DC2-9CDB-81E396204942}" name="Column14235" dataCellStyle="Normal 2"/>
    <tableColumn id="14251" xr3:uid="{5317C472-68ED-48A2-B0E8-EC26110A9E57}" name="Column14236" dataCellStyle="Normal 2"/>
    <tableColumn id="14252" xr3:uid="{304074FC-5078-479F-8522-931A64527EB7}" name="Column14237" dataCellStyle="Normal 2"/>
    <tableColumn id="14253" xr3:uid="{1CADB745-2BE9-41B9-8066-03A19102DBF6}" name="Column14238" dataCellStyle="Normal 2"/>
    <tableColumn id="14254" xr3:uid="{50CADC61-2D54-4A98-92E8-343D74563902}" name="Column14239" dataCellStyle="Normal 2"/>
    <tableColumn id="14255" xr3:uid="{22A81B60-81BC-4957-B7EE-F254E11CB396}" name="Column14240" dataCellStyle="Normal 2"/>
    <tableColumn id="14256" xr3:uid="{D3CEEE53-CDAA-42EA-846B-92029089CCB7}" name="Column14241" dataCellStyle="Normal 2"/>
    <tableColumn id="14257" xr3:uid="{18BB5535-1EC8-462C-86A2-7B00DFB65712}" name="Column14242" dataCellStyle="Normal 2"/>
    <tableColumn id="14258" xr3:uid="{1B5CF192-CA6A-4F0F-9907-675A4273EECD}" name="Column14243" dataCellStyle="Normal 2"/>
    <tableColumn id="14259" xr3:uid="{B2022C22-1A8A-41C6-8481-F171A8725C0B}" name="Column14244" dataCellStyle="Normal 2"/>
    <tableColumn id="14260" xr3:uid="{3BDAB7E4-BF12-47E5-B9C3-CE963F729FF8}" name="Column14245" dataCellStyle="Normal 2"/>
    <tableColumn id="14261" xr3:uid="{5428AF34-D33A-474E-9247-C37EA4ED9B5F}" name="Column14246" dataCellStyle="Normal 2"/>
    <tableColumn id="14262" xr3:uid="{214B6CB2-308E-4332-B708-D50FFB397AB8}" name="Column14247" dataCellStyle="Normal 2"/>
    <tableColumn id="14263" xr3:uid="{ECB2711A-1E75-45C0-A2E1-D8D43F8BDD92}" name="Column14248" dataCellStyle="Normal 2"/>
    <tableColumn id="14264" xr3:uid="{AF8D466D-F282-4049-8146-8E2912EA118B}" name="Column14249" dataCellStyle="Normal 2"/>
    <tableColumn id="14265" xr3:uid="{90A2A11C-2FD4-4E1D-B275-97C36B6F1CDA}" name="Column14250" dataCellStyle="Normal 2"/>
    <tableColumn id="14266" xr3:uid="{1CDED1D6-6893-4EBD-A96A-9A6BD090F67D}" name="Column14251" dataCellStyle="Normal 2"/>
    <tableColumn id="14267" xr3:uid="{4F1908E3-1A33-4B5D-B3DD-E4EEC3FF35EE}" name="Column14252" dataCellStyle="Normal 2"/>
    <tableColumn id="14268" xr3:uid="{34081CEA-D660-435E-984A-AF32E1F8C34C}" name="Column14253" dataCellStyle="Normal 2"/>
    <tableColumn id="14269" xr3:uid="{0627B402-15A1-47EA-A0D5-0C52A2A33CA5}" name="Column14254" dataCellStyle="Normal 2"/>
    <tableColumn id="14270" xr3:uid="{1D3CB0F7-742F-4241-A38C-D1C624873965}" name="Column14255" dataCellStyle="Normal 2"/>
    <tableColumn id="14271" xr3:uid="{0C16AFC0-4C54-4B98-AA12-B80184296362}" name="Column14256" dataCellStyle="Normal 2"/>
    <tableColumn id="14272" xr3:uid="{306F9F70-7258-4F6B-A0B8-A3C15CCD8038}" name="Column14257" dataCellStyle="Normal 2"/>
    <tableColumn id="14273" xr3:uid="{D993C5A1-7F7F-495F-87FA-C0A4F8FB7CE4}" name="Column14258" dataCellStyle="Normal 2"/>
    <tableColumn id="14274" xr3:uid="{D1DCCFC5-DEF6-41DB-B696-6DB61DE65275}" name="Column14259" dataCellStyle="Normal 2"/>
    <tableColumn id="14275" xr3:uid="{6C7B3E0B-2698-48EB-A1F8-9CEBDEE24FB7}" name="Column14260" dataCellStyle="Normal 2"/>
    <tableColumn id="14276" xr3:uid="{78B7EA6A-4A87-439B-B04D-78A2DE9AB0CF}" name="Column14261" dataCellStyle="Normal 2"/>
    <tableColumn id="14277" xr3:uid="{2B244DA6-4B9B-441C-862F-9E41BC6E58CD}" name="Column14262" dataCellStyle="Normal 2"/>
    <tableColumn id="14278" xr3:uid="{D724FCC0-1C53-4DAA-8D9E-ABA1EE9A5B7B}" name="Column14263" dataCellStyle="Normal 2"/>
    <tableColumn id="14279" xr3:uid="{E10B97B4-FB1E-49E4-9D98-C68E1F5B1304}" name="Column14264" dataCellStyle="Normal 2"/>
    <tableColumn id="14280" xr3:uid="{BA4172E4-732C-4825-8F43-367A526E3ACD}" name="Column14265" dataCellStyle="Normal 2"/>
    <tableColumn id="14281" xr3:uid="{85AB77B8-380F-4A53-9EBB-913A65BDEDAB}" name="Column14266" dataCellStyle="Normal 2"/>
    <tableColumn id="14282" xr3:uid="{56F3FDAF-B4BF-4D43-8629-1C560D93BCEF}" name="Column14267" dataCellStyle="Normal 2"/>
    <tableColumn id="14283" xr3:uid="{C16C20B7-EA6A-4069-9304-AD3EAAADB8CC}" name="Column14268" dataCellStyle="Normal 2"/>
    <tableColumn id="14284" xr3:uid="{A4C9882B-D46B-415E-93B6-AAEDDDEC3AB2}" name="Column14269" dataCellStyle="Normal 2"/>
    <tableColumn id="14285" xr3:uid="{59B12ACC-4F55-4E71-82E5-B801B1FF2C80}" name="Column14270" dataCellStyle="Normal 2"/>
    <tableColumn id="14286" xr3:uid="{2671FD96-8E9E-4BAC-9BA1-43438AC7108E}" name="Column14271" dataCellStyle="Normal 2"/>
    <tableColumn id="14287" xr3:uid="{E6C33845-7A9D-4B38-835E-8F79E3139EBC}" name="Column14272" dataCellStyle="Normal 2"/>
    <tableColumn id="14288" xr3:uid="{BCE8C9EC-2E52-47AB-9C21-1868704DCC42}" name="Column14273" dataCellStyle="Normal 2"/>
    <tableColumn id="14289" xr3:uid="{454ADEFF-FDD0-47B9-B78D-C8D233FE8ED9}" name="Column14274" dataCellStyle="Normal 2"/>
    <tableColumn id="14290" xr3:uid="{B98B4759-9F8F-4473-B073-3BDD2E2861C2}" name="Column14275" dataCellStyle="Normal 2"/>
    <tableColumn id="14291" xr3:uid="{5C2203F3-4B01-4A18-9307-70D0E16260EB}" name="Column14276" dataCellStyle="Normal 2"/>
    <tableColumn id="14292" xr3:uid="{EB3FAB7E-A097-436C-9ED8-C6733B02C9EF}" name="Column14277" dataCellStyle="Normal 2"/>
    <tableColumn id="14293" xr3:uid="{FFE212E8-B5B2-477C-A4F2-B61AB0E4D855}" name="Column14278" dataCellStyle="Normal 2"/>
    <tableColumn id="14294" xr3:uid="{59EC3B9A-FE38-4F60-9FE2-9057F01552CA}" name="Column14279" dataCellStyle="Normal 2"/>
    <tableColumn id="14295" xr3:uid="{7EEC7CD5-63A9-4C5F-A8F7-5EDD6093165F}" name="Column14280" dataCellStyle="Normal 2"/>
    <tableColumn id="14296" xr3:uid="{8D1E2DC1-8E6C-4259-AC61-984A5E7FCDD9}" name="Column14281" dataCellStyle="Normal 2"/>
    <tableColumn id="14297" xr3:uid="{435C9406-AFA9-4620-8DAC-8BC88B60F13E}" name="Column14282" dataCellStyle="Normal 2"/>
    <tableColumn id="14298" xr3:uid="{E06B0613-9B10-42E3-80AB-CC72A7673FA5}" name="Column14283" dataCellStyle="Normal 2"/>
    <tableColumn id="14299" xr3:uid="{A50F6DCA-360A-4856-8676-81B1E1C678E8}" name="Column14284" dataCellStyle="Normal 2"/>
    <tableColumn id="14300" xr3:uid="{CD0B88E7-03BD-419E-B874-840F17BCE536}" name="Column14285" dataCellStyle="Normal 2"/>
    <tableColumn id="14301" xr3:uid="{462731A9-7AB2-47A3-9707-38B2EE3814C0}" name="Column14286" dataCellStyle="Normal 2"/>
    <tableColumn id="14302" xr3:uid="{5DE17F53-1289-4122-B127-D8FDC3986CEE}" name="Column14287" dataCellStyle="Normal 2"/>
    <tableColumn id="14303" xr3:uid="{8175390A-1E1A-4D0F-BF92-D46A53FA9D21}" name="Column14288" dataCellStyle="Normal 2"/>
    <tableColumn id="14304" xr3:uid="{C4BF51DA-0D7E-4C51-A262-339D9F1D254B}" name="Column14289" dataCellStyle="Normal 2"/>
    <tableColumn id="14305" xr3:uid="{11134A83-3F8A-4D1B-8BE6-88A5869CB9AF}" name="Column14290" dataCellStyle="Normal 2"/>
    <tableColumn id="14306" xr3:uid="{2F039AA1-BD48-4803-8ACA-812D423A6018}" name="Column14291" dataCellStyle="Normal 2"/>
    <tableColumn id="14307" xr3:uid="{EE03A022-1AB1-4D39-B8C4-1C3600485632}" name="Column14292" dataCellStyle="Normal 2"/>
    <tableColumn id="14308" xr3:uid="{62BAE590-C20C-48B8-B377-0E4650E7A9F2}" name="Column14293" dataCellStyle="Normal 2"/>
    <tableColumn id="14309" xr3:uid="{C89FF2C0-6D54-4B58-B806-76B1AD160EF6}" name="Column14294" dataCellStyle="Normal 2"/>
    <tableColumn id="14310" xr3:uid="{ADB0D5CF-E367-42E4-9686-A427B9BDB4F5}" name="Column14295" dataCellStyle="Normal 2"/>
    <tableColumn id="14311" xr3:uid="{6F58BB67-7127-4C9E-BE88-0F3436701156}" name="Column14296" dataCellStyle="Normal 2"/>
    <tableColumn id="14312" xr3:uid="{2BD9DC9A-0032-4D9F-A78D-07213B611DDB}" name="Column14297" dataCellStyle="Normal 2"/>
    <tableColumn id="14313" xr3:uid="{1E6528D6-EDED-45C4-81F9-DFB98EC63DE7}" name="Column14298" dataCellStyle="Normal 2"/>
    <tableColumn id="14314" xr3:uid="{A5F41444-DE39-4E02-9B3E-F63CD85DB51E}" name="Column14299" dataCellStyle="Normal 2"/>
    <tableColumn id="14315" xr3:uid="{3A43F171-F5F1-4B76-8804-D662C2EF3C5B}" name="Column14300" dataCellStyle="Normal 2"/>
    <tableColumn id="14316" xr3:uid="{7758FCC3-0F1E-47F0-8669-2856CAFFC4B5}" name="Column14301" dataCellStyle="Normal 2"/>
    <tableColumn id="14317" xr3:uid="{E30CFCD1-D24D-4E84-8AE3-2779BA5B56FA}" name="Column14302" dataCellStyle="Normal 2"/>
    <tableColumn id="14318" xr3:uid="{5251CB5E-F735-4915-91A6-0EC422DB63CD}" name="Column14303" dataCellStyle="Normal 2"/>
    <tableColumn id="14319" xr3:uid="{BDCE125D-F055-4C32-9119-7A5D900BF0B5}" name="Column14304" dataCellStyle="Normal 2"/>
    <tableColumn id="14320" xr3:uid="{C8F74B9A-4AC0-4E42-B68D-22000CA0D3F0}" name="Column14305" dataCellStyle="Normal 2"/>
    <tableColumn id="14321" xr3:uid="{7E3D475F-6D09-4B4B-BB4C-4F73B5D84F86}" name="Column14306" dataCellStyle="Normal 2"/>
    <tableColumn id="14322" xr3:uid="{9BC9E858-F922-4B51-9ECC-397C459644FA}" name="Column14307" dataCellStyle="Normal 2"/>
    <tableColumn id="14323" xr3:uid="{5DB62FEA-17D9-4979-A8E9-F6176F3C6189}" name="Column14308" dataCellStyle="Normal 2"/>
    <tableColumn id="14324" xr3:uid="{EB588E8D-D3A2-484E-A933-F5B1C39F3720}" name="Column14309" dataCellStyle="Normal 2"/>
    <tableColumn id="14325" xr3:uid="{1AE6C69A-9360-4F3B-9925-02CF6E9EE72D}" name="Column14310" dataCellStyle="Normal 2"/>
    <tableColumn id="14326" xr3:uid="{519DEA82-D4D7-46AE-8CDA-F72B0E7C52E4}" name="Column14311" dataCellStyle="Normal 2"/>
    <tableColumn id="14327" xr3:uid="{B23B8211-0A5D-4D53-BCF4-657E4C5AEBD0}" name="Column14312" dataCellStyle="Normal 2"/>
    <tableColumn id="14328" xr3:uid="{656CF557-3619-4442-96DD-DB1D995E9584}" name="Column14313" dataCellStyle="Normal 2"/>
    <tableColumn id="14329" xr3:uid="{A14FCD5B-E3FC-4903-93A5-972D7A7CC691}" name="Column14314" dataCellStyle="Normal 2"/>
    <tableColumn id="14330" xr3:uid="{B5F22C2D-EF6F-4E99-AFD2-6DEDA066A4AE}" name="Column14315" dataCellStyle="Normal 2"/>
    <tableColumn id="14331" xr3:uid="{E6AB2F2E-A58A-443C-8B9B-EE7DBA1404A3}" name="Column14316" dataCellStyle="Normal 2"/>
    <tableColumn id="14332" xr3:uid="{DD28F00C-670E-4937-A259-65D30D266C0C}" name="Column14317" dataCellStyle="Normal 2"/>
    <tableColumn id="14333" xr3:uid="{332B94A7-7F9E-4A45-90F8-3C11AE160893}" name="Column14318" dataCellStyle="Normal 2"/>
    <tableColumn id="14334" xr3:uid="{1DF89256-ADEF-44F4-A6CA-698EB1D6D44F}" name="Column14319" dataCellStyle="Normal 2"/>
    <tableColumn id="14335" xr3:uid="{DB4BEE46-7C4F-4BC8-8D5F-1F776461C937}" name="Column14320" dataCellStyle="Normal 2"/>
    <tableColumn id="14336" xr3:uid="{98265B9B-1AFD-4DC3-BD2B-5C0CD90D9150}" name="Column14321" dataCellStyle="Normal 2"/>
    <tableColumn id="14337" xr3:uid="{D51ECB17-7FEA-4142-84FF-29F346F12770}" name="Column14322" dataCellStyle="Normal 2"/>
    <tableColumn id="14338" xr3:uid="{E7767CAE-72DC-469F-90B4-F0A64E605359}" name="Column14323" dataCellStyle="Normal 2"/>
    <tableColumn id="14339" xr3:uid="{CB16ACBD-A8E3-44D6-B1DB-DF1520BE69E2}" name="Column14324" dataCellStyle="Normal 2"/>
    <tableColumn id="14340" xr3:uid="{22FB431B-8907-4559-A24F-9079C9236751}" name="Column14325" dataCellStyle="Normal 2"/>
    <tableColumn id="14341" xr3:uid="{D51FACE0-6633-4A4C-979A-854D02D9F3AA}" name="Column14326" dataCellStyle="Normal 2"/>
    <tableColumn id="14342" xr3:uid="{A7F96165-4719-4A06-875B-2CBB83C78AFE}" name="Column14327" dataCellStyle="Normal 2"/>
    <tableColumn id="14343" xr3:uid="{220A3A6C-B43C-4A62-84F7-74E8DB8795F2}" name="Column14328" dataCellStyle="Normal 2"/>
    <tableColumn id="14344" xr3:uid="{E0CDBDBF-EA2A-4654-8C1C-7E467F6FDF14}" name="Column14329" dataCellStyle="Normal 2"/>
    <tableColumn id="14345" xr3:uid="{102C54A1-69DC-4D5E-9990-F42DD812CFAD}" name="Column14330" dataCellStyle="Normal 2"/>
    <tableColumn id="14346" xr3:uid="{86742E99-16BB-40CC-8E82-F6B99B6F5AD7}" name="Column14331" dataCellStyle="Normal 2"/>
    <tableColumn id="14347" xr3:uid="{2780CB5C-F2C2-48DF-81CF-9AF365D199F5}" name="Column14332" dataCellStyle="Normal 2"/>
    <tableColumn id="14348" xr3:uid="{5E004518-007D-497E-9A0E-A111E0344F01}" name="Column14333" dataCellStyle="Normal 2"/>
    <tableColumn id="14349" xr3:uid="{C6ACA889-3121-4686-9FEC-CF2574B6BC38}" name="Column14334" dataCellStyle="Normal 2"/>
    <tableColumn id="14350" xr3:uid="{34E722C5-E591-47F6-9D57-5BC56F5497DD}" name="Column14335" dataCellStyle="Normal 2"/>
    <tableColumn id="14351" xr3:uid="{A459B207-8E0B-4CB8-A7AB-24440FC3030A}" name="Column14336" dataCellStyle="Normal 2"/>
    <tableColumn id="14352" xr3:uid="{0DC16BEB-ACA9-45AE-AE9A-2BA8B6402AA6}" name="Column14337" dataCellStyle="Normal 2"/>
    <tableColumn id="14353" xr3:uid="{F18CA9B6-88AF-47A4-A696-A02F9FA0564F}" name="Column14338" dataCellStyle="Normal 2"/>
    <tableColumn id="14354" xr3:uid="{9A20458E-0059-4180-8945-EB66AF6D129E}" name="Column14339" dataCellStyle="Normal 2"/>
    <tableColumn id="14355" xr3:uid="{3FDBA6AD-051C-4208-A18D-A7D8AC8C901C}" name="Column14340" dataCellStyle="Normal 2"/>
    <tableColumn id="14356" xr3:uid="{5E841EA7-3FC1-428E-8593-DC8E6A76E790}" name="Column14341" dataCellStyle="Normal 2"/>
    <tableColumn id="14357" xr3:uid="{3CBCFC55-9549-410F-B1A1-144EF6123895}" name="Column14342" dataCellStyle="Normal 2"/>
    <tableColumn id="14358" xr3:uid="{1CE70CAC-CA61-481C-A291-B1A992382ABB}" name="Column14343" dataCellStyle="Normal 2"/>
    <tableColumn id="14359" xr3:uid="{D93254C2-947E-4E0C-A673-65DC9BDE12D5}" name="Column14344" dataCellStyle="Normal 2"/>
    <tableColumn id="14360" xr3:uid="{5389B364-E980-437E-9A95-CF612A1964AE}" name="Column14345" dataCellStyle="Normal 2"/>
    <tableColumn id="14361" xr3:uid="{D54C6988-81DE-49B2-9556-9B5DC2288F95}" name="Column14346" dataCellStyle="Normal 2"/>
    <tableColumn id="14362" xr3:uid="{BD9CA910-E3B4-4E89-A5C9-C508F3C7D790}" name="Column14347" dataCellStyle="Normal 2"/>
    <tableColumn id="14363" xr3:uid="{D161BC8B-993C-4BE1-83B4-0DE0285DA371}" name="Column14348" dataCellStyle="Normal 2"/>
    <tableColumn id="14364" xr3:uid="{3C7B0D6F-9070-42EA-8457-A2E834640440}" name="Column14349" dataCellStyle="Normal 2"/>
    <tableColumn id="14365" xr3:uid="{EBFACC53-3142-4181-95EC-D502FB20C441}" name="Column14350" dataCellStyle="Normal 2"/>
    <tableColumn id="14366" xr3:uid="{91252276-4212-4332-993F-163AC148A3FA}" name="Column14351" dataCellStyle="Normal 2"/>
    <tableColumn id="14367" xr3:uid="{DD3D7A80-2DE8-4911-A603-54D5D696FB9A}" name="Column14352" dataCellStyle="Normal 2"/>
    <tableColumn id="14368" xr3:uid="{2D5F8917-F226-410C-B58B-444618AE5B8C}" name="Column14353" dataCellStyle="Normal 2"/>
    <tableColumn id="14369" xr3:uid="{6BE54231-B3A6-4490-8701-2FF020F0A6DD}" name="Column14354" dataCellStyle="Normal 2"/>
    <tableColumn id="14370" xr3:uid="{151A27AC-B07D-4C8E-9261-5274E7E49B0C}" name="Column14355" dataCellStyle="Normal 2"/>
    <tableColumn id="14371" xr3:uid="{F237B2E9-0931-4AAB-8F6E-F3C8B1335788}" name="Column14356" dataCellStyle="Normal 2"/>
    <tableColumn id="14372" xr3:uid="{0474031A-ACE9-469D-8B49-42867B0A2AD6}" name="Column14357" dataCellStyle="Normal 2"/>
    <tableColumn id="14373" xr3:uid="{04560AE3-BFBA-4150-A094-B8B8055BEE8E}" name="Column14358" dataCellStyle="Normal 2"/>
    <tableColumn id="14374" xr3:uid="{34FE68B5-0292-435B-90C7-0C4425C7D435}" name="Column14359" dataCellStyle="Normal 2"/>
    <tableColumn id="14375" xr3:uid="{30FE2B24-6AFB-406C-A997-47AE0CF1F9AA}" name="Column14360" dataCellStyle="Normal 2"/>
    <tableColumn id="14376" xr3:uid="{28663B9B-7B89-4200-984B-81C2DBDC4E8E}" name="Column14361" dataCellStyle="Normal 2"/>
    <tableColumn id="14377" xr3:uid="{0F88BFDC-09DB-411D-B5C7-BB37EA030AC8}" name="Column14362" dataCellStyle="Normal 2"/>
    <tableColumn id="14378" xr3:uid="{A26E704D-2973-4292-A6AB-A1C19AE42451}" name="Column14363" dataCellStyle="Normal 2"/>
    <tableColumn id="14379" xr3:uid="{A8B6C1A2-746B-4334-AFA9-A4BAEAE54066}" name="Column14364" dataCellStyle="Normal 2"/>
    <tableColumn id="14380" xr3:uid="{20C5D3A3-17E4-45BB-886E-AFFE21A53BFA}" name="Column14365" dataCellStyle="Normal 2"/>
    <tableColumn id="14381" xr3:uid="{0858E0D8-D158-4C14-BF87-03D5C546A5F2}" name="Column14366" dataCellStyle="Normal 2"/>
    <tableColumn id="14382" xr3:uid="{89FF3707-C51C-4450-B838-23858C4EEFF9}" name="Column14367" dataCellStyle="Normal 2"/>
    <tableColumn id="14383" xr3:uid="{4F3CE3AB-BECB-4A29-9B19-26BC60F86046}" name="Column14368" dataCellStyle="Normal 2"/>
    <tableColumn id="14384" xr3:uid="{EB237E81-F6D8-4E2C-8808-683D296A17F6}" name="Column14369" dataCellStyle="Normal 2"/>
    <tableColumn id="14385" xr3:uid="{6BF97AE0-8474-41E1-8DB0-1E923B965831}" name="Column14370" dataCellStyle="Normal 2"/>
    <tableColumn id="14386" xr3:uid="{07D509AD-2924-4D42-8B07-332A01D5C6C3}" name="Column14371" dataCellStyle="Normal 2"/>
    <tableColumn id="14387" xr3:uid="{EED40B28-86F8-4EFB-87DF-31E8566CB78B}" name="Column14372" dataCellStyle="Normal 2"/>
    <tableColumn id="14388" xr3:uid="{3C390803-D956-4580-92B9-9F93E358A82A}" name="Column14373" dataCellStyle="Normal 2"/>
    <tableColumn id="14389" xr3:uid="{A7BD5C75-1694-4F03-854C-381E2E7E8E3A}" name="Column14374" dataCellStyle="Normal 2"/>
    <tableColumn id="14390" xr3:uid="{95355E75-A6A5-4772-B173-95A651C4DF4F}" name="Column14375" dataCellStyle="Normal 2"/>
    <tableColumn id="14391" xr3:uid="{F878EB67-55B3-4848-A309-01D3C0DE158B}" name="Column14376" dataCellStyle="Normal 2"/>
    <tableColumn id="14392" xr3:uid="{0FC1F024-1669-4450-B55C-1685F575AFFB}" name="Column14377" dataCellStyle="Normal 2"/>
    <tableColumn id="14393" xr3:uid="{670F91AF-6DD9-46BC-AE45-0E5D6983E755}" name="Column14378" dataCellStyle="Normal 2"/>
    <tableColumn id="14394" xr3:uid="{8503D56A-EC09-4132-BC94-75E64A56292B}" name="Column14379" dataCellStyle="Normal 2"/>
    <tableColumn id="14395" xr3:uid="{A607D2C0-406D-46FC-A216-BF1F18F27A05}" name="Column14380" dataCellStyle="Normal 2"/>
    <tableColumn id="14396" xr3:uid="{8572A2D2-266D-4A9B-8A7F-AE1F79D2E3ED}" name="Column14381" dataCellStyle="Normal 2"/>
    <tableColumn id="14397" xr3:uid="{0505EEE9-ADD5-4077-BFAD-392D2E51CB6F}" name="Column14382" dataCellStyle="Normal 2"/>
    <tableColumn id="14398" xr3:uid="{20BAE757-B9A1-4495-BC1E-E7908658B252}" name="Column14383" dataCellStyle="Normal 2"/>
    <tableColumn id="14399" xr3:uid="{86153608-397F-45FC-843F-1F48B9F5EA3E}" name="Column14384" dataCellStyle="Normal 2"/>
    <tableColumn id="14400" xr3:uid="{B9A85B3F-C99D-4E4C-BCEE-D7B8A42FBA7A}" name="Column14385" dataCellStyle="Normal 2"/>
    <tableColumn id="14401" xr3:uid="{382C6B39-9D15-4CC2-9644-4D97F83B8E47}" name="Column14386" dataCellStyle="Normal 2"/>
    <tableColumn id="14402" xr3:uid="{1D840768-3F0D-4087-BD25-D73FAEF0DB33}" name="Column14387" dataCellStyle="Normal 2"/>
    <tableColumn id="14403" xr3:uid="{8FB88C3B-3E84-43FC-A750-DDD2EC4C02AC}" name="Column14388" dataCellStyle="Normal 2"/>
    <tableColumn id="14404" xr3:uid="{FA6647AE-5CDD-436B-BFA7-4BDF91F80874}" name="Column14389" dataCellStyle="Normal 2"/>
    <tableColumn id="14405" xr3:uid="{6BC34516-A8E7-43C8-9BEA-52FF28E0EA00}" name="Column14390" dataCellStyle="Normal 2"/>
    <tableColumn id="14406" xr3:uid="{B4A0DBA8-55A2-4769-BA47-3D82E336E7D4}" name="Column14391" dataCellStyle="Normal 2"/>
    <tableColumn id="14407" xr3:uid="{2EC6CEDE-D9E4-4789-80C5-6546DAB14007}" name="Column14392" dataCellStyle="Normal 2"/>
    <tableColumn id="14408" xr3:uid="{7C4FBB7C-041C-4975-A1B5-FE7DFCD9D006}" name="Column14393" dataCellStyle="Normal 2"/>
    <tableColumn id="14409" xr3:uid="{3F7C5350-0792-46C5-B12D-0FE7F9F96D51}" name="Column14394" dataCellStyle="Normal 2"/>
    <tableColumn id="14410" xr3:uid="{EF182AB6-F12C-477D-A6B8-25F1EEACA701}" name="Column14395" dataCellStyle="Normal 2"/>
    <tableColumn id="14411" xr3:uid="{5555FA4B-9B49-419B-8F08-7CCFEB8764AB}" name="Column14396" dataCellStyle="Normal 2"/>
    <tableColumn id="14412" xr3:uid="{188E9416-1333-4B5B-BD05-2399587847C6}" name="Column14397" dataCellStyle="Normal 2"/>
    <tableColumn id="14413" xr3:uid="{335753E8-15B5-46BA-9671-E6844B006FA5}" name="Column14398" dataCellStyle="Normal 2"/>
    <tableColumn id="14414" xr3:uid="{83E0C070-3516-4B6D-9C45-6323B3ACC901}" name="Column14399" dataCellStyle="Normal 2"/>
    <tableColumn id="14415" xr3:uid="{9C515858-2470-4153-9344-215A3A8C48D1}" name="Column14400" dataCellStyle="Normal 2"/>
    <tableColumn id="14416" xr3:uid="{5BA718A4-9025-4479-B338-5E39977A5561}" name="Column14401" dataCellStyle="Normal 2"/>
    <tableColumn id="14417" xr3:uid="{EF1B5057-2084-4761-9759-F8210AE23FA8}" name="Column14402" dataCellStyle="Normal 2"/>
    <tableColumn id="14418" xr3:uid="{13200C8D-C0A5-4663-9BE4-DE1072E5D467}" name="Column14403" dataCellStyle="Normal 2"/>
    <tableColumn id="14419" xr3:uid="{61D4C91A-CB6A-4D38-8046-AE66D6F99EB2}" name="Column14404" dataCellStyle="Normal 2"/>
    <tableColumn id="14420" xr3:uid="{574DB663-A0DF-42FF-83FC-A0D65BD814D9}" name="Column14405" dataCellStyle="Normal 2"/>
    <tableColumn id="14421" xr3:uid="{4E9D841D-BF64-4BF4-9FFC-0A57DF33C2C9}" name="Column14406" dataCellStyle="Normal 2"/>
    <tableColumn id="14422" xr3:uid="{4582CFB3-2618-45B4-83E2-5C669FFAE148}" name="Column14407" dataCellStyle="Normal 2"/>
    <tableColumn id="14423" xr3:uid="{FC72E040-0795-43B9-ABCA-7126AF7C7A4F}" name="Column14408" dataCellStyle="Normal 2"/>
    <tableColumn id="14424" xr3:uid="{592F7560-77EC-4136-8081-E5F77B0C898F}" name="Column14409" dataCellStyle="Normal 2"/>
    <tableColumn id="14425" xr3:uid="{73FD653A-701C-4CFC-8A47-E8B56A4468E0}" name="Column14410" dataCellStyle="Normal 2"/>
    <tableColumn id="14426" xr3:uid="{FAE54B01-D641-4305-905E-F6E9B311C1EA}" name="Column14411" dataCellStyle="Normal 2"/>
    <tableColumn id="14427" xr3:uid="{D3519344-373D-4B06-BFE9-AA66E72512BA}" name="Column14412" dataCellStyle="Normal 2"/>
    <tableColumn id="14428" xr3:uid="{68669B68-F07A-43D2-A8C8-34BB216B9462}" name="Column14413" dataCellStyle="Normal 2"/>
    <tableColumn id="14429" xr3:uid="{17FC57B5-45EF-4FE4-A07F-3FE897679CE3}" name="Column14414" dataCellStyle="Normal 2"/>
    <tableColumn id="14430" xr3:uid="{BED8965E-33CA-49B6-9284-98229B3566DE}" name="Column14415" dataCellStyle="Normal 2"/>
    <tableColumn id="14431" xr3:uid="{DCA759FD-3ADA-492B-A15C-83B209F14C76}" name="Column14416" dataCellStyle="Normal 2"/>
    <tableColumn id="14432" xr3:uid="{2E4DB88A-4DC0-4216-A6C5-E3399F21E21F}" name="Column14417" dataCellStyle="Normal 2"/>
    <tableColumn id="14433" xr3:uid="{9B646A56-0C49-46CE-A6BB-BC1BF5487A22}" name="Column14418" dataCellStyle="Normal 2"/>
    <tableColumn id="14434" xr3:uid="{AEAB98C5-452F-4160-9E44-97FC332FAA6A}" name="Column14419" dataCellStyle="Normal 2"/>
    <tableColumn id="14435" xr3:uid="{A1FC244F-889E-429E-AD92-89C14C58BDE2}" name="Column14420" dataCellStyle="Normal 2"/>
    <tableColumn id="14436" xr3:uid="{92B97630-CCD1-4A81-B67B-4B7BC414A820}" name="Column14421" dataCellStyle="Normal 2"/>
    <tableColumn id="14437" xr3:uid="{B8F74364-291D-4219-A883-42FBE753D2C4}" name="Column14422" dataCellStyle="Normal 2"/>
    <tableColumn id="14438" xr3:uid="{C59F136F-684B-4635-B1F3-AC200B87D2EA}" name="Column14423" dataCellStyle="Normal 2"/>
    <tableColumn id="14439" xr3:uid="{AF3AD010-23B0-4C19-A7F2-B4056E39EAE7}" name="Column14424" dataCellStyle="Normal 2"/>
    <tableColumn id="14440" xr3:uid="{3A8B76A5-9AD9-4E94-B728-ED62C2230887}" name="Column14425" dataCellStyle="Normal 2"/>
    <tableColumn id="14441" xr3:uid="{565D0211-C5CC-43B0-AC94-AADC50131D55}" name="Column14426" dataCellStyle="Normal 2"/>
    <tableColumn id="14442" xr3:uid="{5F21E64C-E415-44CA-9E30-562B1142BCE3}" name="Column14427" dataCellStyle="Normal 2"/>
    <tableColumn id="14443" xr3:uid="{BE1F727A-B09B-4712-812C-ACCC0A6DA6C7}" name="Column14428" dataCellStyle="Normal 2"/>
    <tableColumn id="14444" xr3:uid="{96D18895-C96A-4665-A743-A275FF72DDDB}" name="Column14429" dataCellStyle="Normal 2"/>
    <tableColumn id="14445" xr3:uid="{D5A1928E-B405-456E-A776-78EDA7206135}" name="Column14430" dataCellStyle="Normal 2"/>
    <tableColumn id="14446" xr3:uid="{B2863099-F9B8-4391-A7EC-AD224C0C16F9}" name="Column14431" dataCellStyle="Normal 2"/>
    <tableColumn id="14447" xr3:uid="{F27EFD73-5609-4E39-9390-BEE136372EF4}" name="Column14432" dataCellStyle="Normal 2"/>
    <tableColumn id="14448" xr3:uid="{49B4CDF5-14FE-462A-8FDD-371DF08B167B}" name="Column14433" dataCellStyle="Normal 2"/>
    <tableColumn id="14449" xr3:uid="{3A13C26D-047A-465F-B7DC-65E6CEACAF23}" name="Column14434" dataCellStyle="Normal 2"/>
    <tableColumn id="14450" xr3:uid="{D6AB6104-DDA0-4EDB-B4E1-7F68F7342094}" name="Column14435" dataCellStyle="Normal 2"/>
    <tableColumn id="14451" xr3:uid="{C92F39B6-CCE6-4878-963F-C9D8C3135271}" name="Column14436" dataCellStyle="Normal 2"/>
    <tableColumn id="14452" xr3:uid="{051E897F-DEA3-4DA5-A217-EB26D07765AF}" name="Column14437" dataCellStyle="Normal 2"/>
    <tableColumn id="14453" xr3:uid="{0ABD98CF-1268-4526-947B-6A2334C20195}" name="Column14438" dataCellStyle="Normal 2"/>
    <tableColumn id="14454" xr3:uid="{D96610DD-7196-4FEC-98A3-D480A89166E2}" name="Column14439" dataCellStyle="Normal 2"/>
    <tableColumn id="14455" xr3:uid="{D6064F27-F8E1-4782-BB24-88BB43D5111D}" name="Column14440" dataCellStyle="Normal 2"/>
    <tableColumn id="14456" xr3:uid="{1EECC4F3-CA73-4BD0-AD0F-C45763AD4BC3}" name="Column14441" dataCellStyle="Normal 2"/>
    <tableColumn id="14457" xr3:uid="{596964BB-9D00-479B-8AD7-8E82CD6B17A0}" name="Column14442" dataCellStyle="Normal 2"/>
    <tableColumn id="14458" xr3:uid="{E5035AA4-3832-4E0B-ACB1-60F08B06B1E7}" name="Column14443" dataCellStyle="Normal 2"/>
    <tableColumn id="14459" xr3:uid="{7EE28325-95C2-4019-A075-68AEC0A2112D}" name="Column14444" dataCellStyle="Normal 2"/>
    <tableColumn id="14460" xr3:uid="{677E22AF-9C17-4E21-AF7A-DCA23202D754}" name="Column14445" dataCellStyle="Normal 2"/>
    <tableColumn id="14461" xr3:uid="{DC409DD1-EE5B-4365-9BBC-62325645C80D}" name="Column14446" dataCellStyle="Normal 2"/>
    <tableColumn id="14462" xr3:uid="{55D8C62B-16CB-47A1-8736-B61853534640}" name="Column14447" dataCellStyle="Normal 2"/>
    <tableColumn id="14463" xr3:uid="{39DDCEA7-8154-4F56-84A7-60E31F3E0F41}" name="Column14448" dataCellStyle="Normal 2"/>
    <tableColumn id="14464" xr3:uid="{6092EC5C-ADE7-4DA3-B8CA-6F5962E8A735}" name="Column14449" dataCellStyle="Normal 2"/>
    <tableColumn id="14465" xr3:uid="{8AE49873-FE37-459E-B5BC-5D3E68788482}" name="Column14450" dataCellStyle="Normal 2"/>
    <tableColumn id="14466" xr3:uid="{98D771D9-21F5-4468-862D-4D900D068873}" name="Column14451" dataCellStyle="Normal 2"/>
    <tableColumn id="14467" xr3:uid="{FABA702E-62B2-4C8A-9A11-14EC98BF19A4}" name="Column14452" dataCellStyle="Normal 2"/>
    <tableColumn id="14468" xr3:uid="{6ACCB26D-C36B-4D4D-A3DB-BA70D3BD04FF}" name="Column14453" dataCellStyle="Normal 2"/>
    <tableColumn id="14469" xr3:uid="{9E98B06A-ABEF-44E5-AE48-D9C1E09E126A}" name="Column14454" dataCellStyle="Normal 2"/>
    <tableColumn id="14470" xr3:uid="{F3922381-461E-40EB-99CA-1B01C54A8B60}" name="Column14455" dataCellStyle="Normal 2"/>
    <tableColumn id="14471" xr3:uid="{66D153AC-5AA5-4F2A-BF0B-2C5EE468049C}" name="Column14456" dataCellStyle="Normal 2"/>
    <tableColumn id="14472" xr3:uid="{DA9AD8B1-0CB7-4BD8-97FF-F844B20987F6}" name="Column14457" dataCellStyle="Normal 2"/>
    <tableColumn id="14473" xr3:uid="{FE005C89-4050-4BF8-8E29-5BD08B7B4C75}" name="Column14458" dataCellStyle="Normal 2"/>
    <tableColumn id="14474" xr3:uid="{9A5F9B51-FA55-4DFF-A0BB-FE13DFBE43E2}" name="Column14459" dataCellStyle="Normal 2"/>
    <tableColumn id="14475" xr3:uid="{66DB0E23-9822-493A-98D2-A50FAD8A9C66}" name="Column14460" dataCellStyle="Normal 2"/>
    <tableColumn id="14476" xr3:uid="{07E24137-7AEA-48A9-9767-2F48340C3CD3}" name="Column14461" dataCellStyle="Normal 2"/>
    <tableColumn id="14477" xr3:uid="{31B1A6EC-BDCE-4494-99D8-CED1B1CF4285}" name="Column14462" dataCellStyle="Normal 2"/>
    <tableColumn id="14478" xr3:uid="{E9FAC199-B709-43F2-B77B-CDA851E53842}" name="Column14463" dataCellStyle="Normal 2"/>
    <tableColumn id="14479" xr3:uid="{29686495-099A-4B6E-8186-1D9F824A7545}" name="Column14464" dataCellStyle="Normal 2"/>
    <tableColumn id="14480" xr3:uid="{1436727B-DF9D-451E-8008-D9C8C1E92422}" name="Column14465" dataCellStyle="Normal 2"/>
    <tableColumn id="14481" xr3:uid="{EFC23AF6-D290-48A8-A5DB-93DA73679707}" name="Column14466" dataCellStyle="Normal 2"/>
    <tableColumn id="14482" xr3:uid="{494DFB30-7DC5-4086-91DA-0FEABFF254BA}" name="Column14467" dataCellStyle="Normal 2"/>
    <tableColumn id="14483" xr3:uid="{8D09F714-5EB0-4FD9-82BC-BF52C1EE00AC}" name="Column14468" dataCellStyle="Normal 2"/>
    <tableColumn id="14484" xr3:uid="{42F6152C-A0F6-431B-B8FB-9F1F4EC6DAFF}" name="Column14469" dataCellStyle="Normal 2"/>
    <tableColumn id="14485" xr3:uid="{69ACE38D-F132-47B3-B119-57107B6BB53B}" name="Column14470" dataCellStyle="Normal 2"/>
    <tableColumn id="14486" xr3:uid="{9C6231D0-D885-4B77-80E8-D8852F505168}" name="Column14471" dataCellStyle="Normal 2"/>
    <tableColumn id="14487" xr3:uid="{C7880C9F-2644-4BAB-BD1C-B1B24C5B146F}" name="Column14472" dataCellStyle="Normal 2"/>
    <tableColumn id="14488" xr3:uid="{AF595085-C49B-4FFD-9DD4-463AC673056C}" name="Column14473" dataCellStyle="Normal 2"/>
    <tableColumn id="14489" xr3:uid="{E07494AA-B72A-4322-B657-6F7DF8184A26}" name="Column14474" dataCellStyle="Normal 2"/>
    <tableColumn id="14490" xr3:uid="{E9079C75-CCC1-49AF-B130-A10101ECCB41}" name="Column14475" dataCellStyle="Normal 2"/>
    <tableColumn id="14491" xr3:uid="{C48F5DFE-A410-4344-8E43-7C52ED645F1D}" name="Column14476" dataCellStyle="Normal 2"/>
    <tableColumn id="14492" xr3:uid="{A49712E1-A9A6-40C3-BA57-D265CAD40F28}" name="Column14477" dataCellStyle="Normal 2"/>
    <tableColumn id="14493" xr3:uid="{BB82D655-AC97-47E7-852F-B734393BF011}" name="Column14478" dataCellStyle="Normal 2"/>
    <tableColumn id="14494" xr3:uid="{203BBB5D-15E9-42A5-8C2D-51B0F9DE176A}" name="Column14479" dataCellStyle="Normal 2"/>
    <tableColumn id="14495" xr3:uid="{1D3416D7-0D7A-45BA-9444-6BA164312AA6}" name="Column14480" dataCellStyle="Normal 2"/>
    <tableColumn id="14496" xr3:uid="{E1992A42-E86D-4648-A9F9-0B0BF73CE3BC}" name="Column14481" dataCellStyle="Normal 2"/>
    <tableColumn id="14497" xr3:uid="{4C871BED-25EB-48CE-AC1A-98EBE1AFFE65}" name="Column14482" dataCellStyle="Normal 2"/>
    <tableColumn id="14498" xr3:uid="{BA4DC2D2-2EE7-4137-8938-81DC7E12B0AC}" name="Column14483" dataCellStyle="Normal 2"/>
    <tableColumn id="14499" xr3:uid="{20D57419-C796-420C-9E90-4CF027FE3D0A}" name="Column14484" dataCellStyle="Normal 2"/>
    <tableColumn id="14500" xr3:uid="{E07BD161-BA7B-46C7-80E2-2B1A8393C5CE}" name="Column14485" dataCellStyle="Normal 2"/>
    <tableColumn id="14501" xr3:uid="{0DA3BEE2-76CB-4C23-93F4-681A47E95648}" name="Column14486" dataCellStyle="Normal 2"/>
    <tableColumn id="14502" xr3:uid="{DC6FEE30-F9C1-4630-8F73-ACDA592802DA}" name="Column14487" dataCellStyle="Normal 2"/>
    <tableColumn id="14503" xr3:uid="{BC1C5A1C-59CC-4175-B11C-17E11F4C7E9F}" name="Column14488" dataCellStyle="Normal 2"/>
    <tableColumn id="14504" xr3:uid="{2C041188-2996-4C17-8120-CA8D03488A87}" name="Column14489" dataCellStyle="Normal 2"/>
    <tableColumn id="14505" xr3:uid="{5CEC1CEE-42B3-44CA-BD94-B5867C360FD1}" name="Column14490" dataCellStyle="Normal 2"/>
    <tableColumn id="14506" xr3:uid="{2C6A29AF-3F17-49D0-A995-45808A78304E}" name="Column14491" dataCellStyle="Normal 2"/>
    <tableColumn id="14507" xr3:uid="{036E0505-E0C9-4AD4-86C4-6904317661E6}" name="Column14492" dataCellStyle="Normal 2"/>
    <tableColumn id="14508" xr3:uid="{4FB30DAB-0079-4545-8F51-3FC66057C899}" name="Column14493" dataCellStyle="Normal 2"/>
    <tableColumn id="14509" xr3:uid="{8513F98A-9B0A-4170-B3C0-BCB41363CBB2}" name="Column14494" dataCellStyle="Normal 2"/>
    <tableColumn id="14510" xr3:uid="{33AE6B40-C7E5-4D54-8A36-8E03B9D4ACA4}" name="Column14495" dataCellStyle="Normal 2"/>
    <tableColumn id="14511" xr3:uid="{9546345B-2377-451A-9947-B8E44A67BC48}" name="Column14496" dataCellStyle="Normal 2"/>
    <tableColumn id="14512" xr3:uid="{B3E46F7B-EE2D-479C-B6B7-21A6CAD3B199}" name="Column14497" dataCellStyle="Normal 2"/>
    <tableColumn id="14513" xr3:uid="{55F8C63E-57F5-4AF7-BFAC-D1297A61B052}" name="Column14498" dataCellStyle="Normal 2"/>
    <tableColumn id="14514" xr3:uid="{6A12FEE6-478A-4EB0-8266-85C9EE712986}" name="Column14499" dataCellStyle="Normal 2"/>
    <tableColumn id="14515" xr3:uid="{C45A3A0F-09E6-42EA-9230-76478FB8F0A4}" name="Column14500" dataCellStyle="Normal 2"/>
    <tableColumn id="14516" xr3:uid="{F5E91DC7-856F-421B-84D4-C17C18F05565}" name="Column14501" dataCellStyle="Normal 2"/>
    <tableColumn id="14517" xr3:uid="{7A608C07-3580-4F15-9036-CB17E8236879}" name="Column14502" dataCellStyle="Normal 2"/>
    <tableColumn id="14518" xr3:uid="{D137474A-38D0-480B-9576-9078173DDF8E}" name="Column14503" dataCellStyle="Normal 2"/>
    <tableColumn id="14519" xr3:uid="{B8C40FC2-96AD-4D26-9B51-50BCED0CD148}" name="Column14504" dataCellStyle="Normal 2"/>
    <tableColumn id="14520" xr3:uid="{C15821E4-1722-4FE5-A798-38F74375D01C}" name="Column14505" dataCellStyle="Normal 2"/>
    <tableColumn id="14521" xr3:uid="{3ADCA08E-D2D5-4F96-B9A0-A50857E433C4}" name="Column14506" dataCellStyle="Normal 2"/>
    <tableColumn id="14522" xr3:uid="{A1671081-6964-44D5-9968-003AD1D002E1}" name="Column14507" dataCellStyle="Normal 2"/>
    <tableColumn id="14523" xr3:uid="{CB1DA4A3-81D3-4923-8D33-C3BCC710D352}" name="Column14508" dataCellStyle="Normal 2"/>
    <tableColumn id="14524" xr3:uid="{2B12D53C-0247-4B56-9355-3D708961C77C}" name="Column14509" dataCellStyle="Normal 2"/>
    <tableColumn id="14525" xr3:uid="{0DAED1A7-A67F-4C59-B42C-E5BE08A77157}" name="Column14510" dataCellStyle="Normal 2"/>
    <tableColumn id="14526" xr3:uid="{FB40ACEB-57CF-4A9C-93EB-ED331243FC43}" name="Column14511" dataCellStyle="Normal 2"/>
    <tableColumn id="14527" xr3:uid="{BF98BCDD-0EA7-4FEB-BE36-EACB755176FA}" name="Column14512" dataCellStyle="Normal 2"/>
    <tableColumn id="14528" xr3:uid="{93604A0E-703D-483B-A14D-5D3FBC5CC87D}" name="Column14513" dataCellStyle="Normal 2"/>
    <tableColumn id="14529" xr3:uid="{AFA74553-09E5-42A6-A92E-4C6896A70707}" name="Column14514" dataCellStyle="Normal 2"/>
    <tableColumn id="14530" xr3:uid="{74B4EE66-D001-41E0-AD84-1FF4FA326A9F}" name="Column14515" dataCellStyle="Normal 2"/>
    <tableColumn id="14531" xr3:uid="{4795E9D7-4030-4BE5-9013-38020C98AA53}" name="Column14516" dataCellStyle="Normal 2"/>
    <tableColumn id="14532" xr3:uid="{66A49D24-D88D-47AC-9EAD-658171510ACA}" name="Column14517" dataCellStyle="Normal 2"/>
    <tableColumn id="14533" xr3:uid="{81A76AA7-F53E-495E-91CF-AABBF99D690C}" name="Column14518" dataCellStyle="Normal 2"/>
    <tableColumn id="14534" xr3:uid="{D5C29DA2-8AF8-410E-8891-5F787B0C7CE5}" name="Column14519" dataCellStyle="Normal 2"/>
    <tableColumn id="14535" xr3:uid="{66378842-3BAC-4CEA-972A-011401E6D7D4}" name="Column14520" dataCellStyle="Normal 2"/>
    <tableColumn id="14536" xr3:uid="{D153AA6B-ACA2-488B-B198-C62D82B31FD7}" name="Column14521" dataCellStyle="Normal 2"/>
    <tableColumn id="14537" xr3:uid="{95F16967-75DD-4D94-A917-C32B75E5EDE5}" name="Column14522" dataCellStyle="Normal 2"/>
    <tableColumn id="14538" xr3:uid="{D2A67F90-2FE7-420F-9373-79351D1522A7}" name="Column14523" dataCellStyle="Normal 2"/>
    <tableColumn id="14539" xr3:uid="{999F19B9-9D85-44BD-8E6E-7B6A30BCCFD0}" name="Column14524" dataCellStyle="Normal 2"/>
    <tableColumn id="14540" xr3:uid="{D68626DC-9DDB-4A5C-93B5-D951C4CB5BAF}" name="Column14525" dataCellStyle="Normal 2"/>
    <tableColumn id="14541" xr3:uid="{87603189-D319-42A1-8511-48B42EEF3AFF}" name="Column14526" dataCellStyle="Normal 2"/>
    <tableColumn id="14542" xr3:uid="{74795969-24DD-44F0-BF83-409C5C4A287F}" name="Column14527" dataCellStyle="Normal 2"/>
    <tableColumn id="14543" xr3:uid="{D9ADB0B7-E68F-4AE1-BC7E-46C0133C9AE4}" name="Column14528" dataCellStyle="Normal 2"/>
    <tableColumn id="14544" xr3:uid="{AA1766F4-1FD3-4C47-B267-202E5987B3BB}" name="Column14529" dataCellStyle="Normal 2"/>
    <tableColumn id="14545" xr3:uid="{8C92DA59-811A-4D36-B2D7-C1E9E6D03847}" name="Column14530" dataCellStyle="Normal 2"/>
    <tableColumn id="14546" xr3:uid="{6E4269CF-2D55-4997-8F2C-A192AFC9EF25}" name="Column14531" dataCellStyle="Normal 2"/>
    <tableColumn id="14547" xr3:uid="{FAA2808E-D5C6-4039-9DE7-6385AF9477B7}" name="Column14532" dataCellStyle="Normal 2"/>
    <tableColumn id="14548" xr3:uid="{F5B09F59-56A0-427E-8E0B-09C226185803}" name="Column14533" dataCellStyle="Normal 2"/>
    <tableColumn id="14549" xr3:uid="{75C5AE49-AC95-4481-9A03-C1C6FE97FF93}" name="Column14534" dataCellStyle="Normal 2"/>
    <tableColumn id="14550" xr3:uid="{D02B1A10-1D7D-42C3-B980-7941A76158D4}" name="Column14535" dataCellStyle="Normal 2"/>
    <tableColumn id="14551" xr3:uid="{D6144846-A221-4410-B7B8-BFDB06573E5E}" name="Column14536" dataCellStyle="Normal 2"/>
    <tableColumn id="14552" xr3:uid="{26B3D0A6-A87E-4A9A-AF58-F7B70CBB7C3A}" name="Column14537" dataCellStyle="Normal 2"/>
    <tableColumn id="14553" xr3:uid="{A93EA1D5-3F68-48B9-ADB2-EE069B5DEAC8}" name="Column14538" dataCellStyle="Normal 2"/>
    <tableColumn id="14554" xr3:uid="{510C1103-77BA-4D7B-9795-5419465535CD}" name="Column14539" dataCellStyle="Normal 2"/>
    <tableColumn id="14555" xr3:uid="{58FA4DEC-006D-4D3C-A663-54A78D06C1B8}" name="Column14540" dataCellStyle="Normal 2"/>
    <tableColumn id="14556" xr3:uid="{9743F695-D52A-4B33-A61E-3F66A3660D04}" name="Column14541" dataCellStyle="Normal 2"/>
    <tableColumn id="14557" xr3:uid="{6BED962B-450F-40B6-9AB3-31382454A2DB}" name="Column14542" dataCellStyle="Normal 2"/>
    <tableColumn id="14558" xr3:uid="{2BAEBD8E-BB2C-4401-A46D-9DBFCE07512B}" name="Column14543" dataCellStyle="Normal 2"/>
    <tableColumn id="14559" xr3:uid="{52DCB40D-A6FC-4DF6-A335-57DBB454263B}" name="Column14544" dataCellStyle="Normal 2"/>
    <tableColumn id="14560" xr3:uid="{1F1C5688-8C66-4AB0-AF9E-64ED0066CA34}" name="Column14545" dataCellStyle="Normal 2"/>
    <tableColumn id="14561" xr3:uid="{E3C2A91D-E05F-4EAC-AB9C-15A8A6512B2D}" name="Column14546" dataCellStyle="Normal 2"/>
    <tableColumn id="14562" xr3:uid="{3699D463-F267-4163-8FE2-BB83CB264E25}" name="Column14547" dataCellStyle="Normal 2"/>
    <tableColumn id="14563" xr3:uid="{8519723D-CBF1-4D69-BE11-A4109FBB0DF2}" name="Column14548" dataCellStyle="Normal 2"/>
    <tableColumn id="14564" xr3:uid="{A9075834-7C5D-430A-BEB1-5ACF23B98B8E}" name="Column14549" dataCellStyle="Normal 2"/>
    <tableColumn id="14565" xr3:uid="{A779D310-F285-45DC-B537-B48E04254C28}" name="Column14550" dataCellStyle="Normal 2"/>
    <tableColumn id="14566" xr3:uid="{E61BD97C-0964-4651-9EEA-ED7AD486F2BC}" name="Column14551" dataCellStyle="Normal 2"/>
    <tableColumn id="14567" xr3:uid="{47C93308-B5CC-49E5-B2F5-66F5C5E2391C}" name="Column14552" dataCellStyle="Normal 2"/>
    <tableColumn id="14568" xr3:uid="{CDDBD853-818A-4728-9FD8-7E03D9959D87}" name="Column14553" dataCellStyle="Normal 2"/>
    <tableColumn id="14569" xr3:uid="{CE6E6F51-1DCE-49C6-BC1D-23D3EAEEC3A4}" name="Column14554" dataCellStyle="Normal 2"/>
    <tableColumn id="14570" xr3:uid="{231B9F17-ABEC-46D6-8C53-D93A78F9F3AA}" name="Column14555" dataCellStyle="Normal 2"/>
    <tableColumn id="14571" xr3:uid="{E29C40DD-500D-4E1A-8A26-92A0B68D3BA7}" name="Column14556" dataCellStyle="Normal 2"/>
    <tableColumn id="14572" xr3:uid="{943231FD-02B6-4451-9666-971088CC0F92}" name="Column14557" dataCellStyle="Normal 2"/>
    <tableColumn id="14573" xr3:uid="{5F63FC7A-19AB-49EA-B799-0DDA5EEAFF5C}" name="Column14558" dataCellStyle="Normal 2"/>
    <tableColumn id="14574" xr3:uid="{0F9D92AB-8827-4FB5-AB56-08AA66619169}" name="Column14559" dataCellStyle="Normal 2"/>
    <tableColumn id="14575" xr3:uid="{83BD0E8E-753E-4EF8-804A-3F8A6564F8DF}" name="Column14560" dataCellStyle="Normal 2"/>
    <tableColumn id="14576" xr3:uid="{77291CFD-B43C-4AC9-A1B7-34381C2B197C}" name="Column14561" dataCellStyle="Normal 2"/>
    <tableColumn id="14577" xr3:uid="{4214CCDE-7ABF-46EA-B2C6-B887714CA324}" name="Column14562" dataCellStyle="Normal 2"/>
    <tableColumn id="14578" xr3:uid="{BE9966EE-9296-43DB-99B7-374B621413C1}" name="Column14563" dataCellStyle="Normal 2"/>
    <tableColumn id="14579" xr3:uid="{32D67DFE-A01D-456C-B5A0-C3F23A787D26}" name="Column14564" dataCellStyle="Normal 2"/>
    <tableColumn id="14580" xr3:uid="{8E5F7CF3-9183-4108-9BE4-F683B68001A9}" name="Column14565" dataCellStyle="Normal 2"/>
    <tableColumn id="14581" xr3:uid="{272362C4-0DDC-43F4-8DEE-53505ECBBD57}" name="Column14566" dataCellStyle="Normal 2"/>
    <tableColumn id="14582" xr3:uid="{DBA1E89B-6E4A-43ED-8E13-64B7D76FA4A6}" name="Column14567" dataCellStyle="Normal 2"/>
    <tableColumn id="14583" xr3:uid="{6170B56D-82C5-4056-8F0A-21071038CAEC}" name="Column14568" dataCellStyle="Normal 2"/>
    <tableColumn id="14584" xr3:uid="{5E8FFBF0-BFC6-442F-8C83-0A5F4D3D2BB5}" name="Column14569" dataCellStyle="Normal 2"/>
    <tableColumn id="14585" xr3:uid="{00C77141-8445-47A4-9983-D05AF2AB5F3A}" name="Column14570" dataCellStyle="Normal 2"/>
    <tableColumn id="14586" xr3:uid="{BE4280FD-8E51-4A22-A21F-874C15CF777A}" name="Column14571" dataCellStyle="Normal 2"/>
    <tableColumn id="14587" xr3:uid="{AABAA9F7-C1AD-459B-B8B5-E97E4C669AD3}" name="Column14572" dataCellStyle="Normal 2"/>
    <tableColumn id="14588" xr3:uid="{EB42DB91-5D71-4686-99B8-7EFEF66A7A9E}" name="Column14573" dataCellStyle="Normal 2"/>
    <tableColumn id="14589" xr3:uid="{3A78A5BA-07DD-42D5-A121-75B1B9BDAFED}" name="Column14574" dataCellStyle="Normal 2"/>
    <tableColumn id="14590" xr3:uid="{B4D6BC0E-7A00-4454-A0D0-A93C23A3D5FE}" name="Column14575" dataCellStyle="Normal 2"/>
    <tableColumn id="14591" xr3:uid="{93A143CF-7A95-4756-AAA4-27A8D321BABE}" name="Column14576" dataCellStyle="Normal 2"/>
    <tableColumn id="14592" xr3:uid="{9C32B3E6-1EBD-428B-BE2D-BB28E3B96C3A}" name="Column14577" dataCellStyle="Normal 2"/>
    <tableColumn id="14593" xr3:uid="{2D4990CB-8646-4FC7-9059-D77E35143F0B}" name="Column14578" dataCellStyle="Normal 2"/>
    <tableColumn id="14594" xr3:uid="{E35A0DDD-26D9-47BA-8C7F-248D5B387948}" name="Column14579" dataCellStyle="Normal 2"/>
    <tableColumn id="14595" xr3:uid="{FF304ADC-5B83-4C82-B6B2-40F0E7BADF22}" name="Column14580" dataCellStyle="Normal 2"/>
    <tableColumn id="14596" xr3:uid="{AE27CD06-48C3-4151-A8B3-51E92A323CB1}" name="Column14581" dataCellStyle="Normal 2"/>
    <tableColumn id="14597" xr3:uid="{058D0EFD-B482-4868-836B-BC45AE818AC0}" name="Column14582" dataCellStyle="Normal 2"/>
    <tableColumn id="14598" xr3:uid="{4B6CE934-8A79-4075-9B92-DDE5194C1362}" name="Column14583" dataCellStyle="Normal 2"/>
    <tableColumn id="14599" xr3:uid="{B53DF35A-6AA5-434B-A86A-04943A6D21B3}" name="Column14584" dataCellStyle="Normal 2"/>
    <tableColumn id="14600" xr3:uid="{8F3FBF43-3689-44D5-B860-5EE83944E13A}" name="Column14585" dataCellStyle="Normal 2"/>
    <tableColumn id="14601" xr3:uid="{A7A0215A-83C2-4697-8F5F-DD5889A2483D}" name="Column14586" dataCellStyle="Normal 2"/>
    <tableColumn id="14602" xr3:uid="{835BFC2F-B274-493F-926A-6AF1E6A3E243}" name="Column14587" dataCellStyle="Normal 2"/>
    <tableColumn id="14603" xr3:uid="{8849B448-868F-409F-927D-D2DCD3663FA4}" name="Column14588" dataCellStyle="Normal 2"/>
    <tableColumn id="14604" xr3:uid="{C9FC2DBB-0F4D-48DA-9074-BC4220CC3425}" name="Column14589" dataCellStyle="Normal 2"/>
    <tableColumn id="14605" xr3:uid="{E4B778BE-EC67-4425-8D62-A1B8D141C0E7}" name="Column14590" dataCellStyle="Normal 2"/>
    <tableColumn id="14606" xr3:uid="{A25DB1EC-8B35-41AF-82AB-769BC438A67E}" name="Column14591" dataCellStyle="Normal 2"/>
    <tableColumn id="14607" xr3:uid="{97F6287E-2D31-42CE-B919-17FE1A693D13}" name="Column14592" dataCellStyle="Normal 2"/>
    <tableColumn id="14608" xr3:uid="{F983F119-9562-4103-812C-EE9CCFB7AA1B}" name="Column14593" dataCellStyle="Normal 2"/>
    <tableColumn id="14609" xr3:uid="{7E263FFB-AB05-4C2E-8C0A-4531F2A61213}" name="Column14594" dataCellStyle="Normal 2"/>
    <tableColumn id="14610" xr3:uid="{917FD917-F141-459B-9068-D10077A44128}" name="Column14595" dataCellStyle="Normal 2"/>
    <tableColumn id="14611" xr3:uid="{C9E556AB-DD1B-480E-9DF9-04C7F59718BD}" name="Column14596" dataCellStyle="Normal 2"/>
    <tableColumn id="14612" xr3:uid="{28927D95-1BC6-4B80-9581-A96DADF0DF7E}" name="Column14597" dataCellStyle="Normal 2"/>
    <tableColumn id="14613" xr3:uid="{C5CE6C0D-B4BB-4BBC-B5FA-DEFB8EA121F2}" name="Column14598" dataCellStyle="Normal 2"/>
    <tableColumn id="14614" xr3:uid="{F3ABE4B5-43F1-4199-9269-C2868FDE83BD}" name="Column14599" dataCellStyle="Normal 2"/>
    <tableColumn id="14615" xr3:uid="{288D969E-EB32-4F73-ADCB-FAB5154B5D40}" name="Column14600" dataCellStyle="Normal 2"/>
    <tableColumn id="14616" xr3:uid="{22D3B19D-0182-48CD-A9FB-D4C6911D4707}" name="Column14601" dataCellStyle="Normal 2"/>
    <tableColumn id="14617" xr3:uid="{7959313A-2FD5-4091-9743-7DAC0FDEBA1F}" name="Column14602" dataCellStyle="Normal 2"/>
    <tableColumn id="14618" xr3:uid="{2718115E-97A1-4F3B-9EC3-27FCA5F49E39}" name="Column14603" dataCellStyle="Normal 2"/>
    <tableColumn id="14619" xr3:uid="{7CD70C6D-A726-4B90-AB99-D55900C676F5}" name="Column14604" dataCellStyle="Normal 2"/>
    <tableColumn id="14620" xr3:uid="{AECD1BEF-054A-487B-A59B-8EFF0CA13C63}" name="Column14605" dataCellStyle="Normal 2"/>
    <tableColumn id="14621" xr3:uid="{3111C35C-31F3-462F-9C1D-E1802C3BA0DE}" name="Column14606" dataCellStyle="Normal 2"/>
    <tableColumn id="14622" xr3:uid="{81193CC9-EE4F-40AC-8467-2F1D10D6AA15}" name="Column14607" dataCellStyle="Normal 2"/>
    <tableColumn id="14623" xr3:uid="{34DB85D7-E30C-4356-B4E3-851D936AAFA8}" name="Column14608" dataCellStyle="Normal 2"/>
    <tableColumn id="14624" xr3:uid="{249DD134-E6C8-4C47-A61B-C59F9D3D1694}" name="Column14609" dataCellStyle="Normal 2"/>
    <tableColumn id="14625" xr3:uid="{48759A63-4414-45C3-B412-D99EE7D16F5C}" name="Column14610" dataCellStyle="Normal 2"/>
    <tableColumn id="14626" xr3:uid="{1A09AB29-90F1-49B2-9017-F62C18AEB1BE}" name="Column14611" dataCellStyle="Normal 2"/>
    <tableColumn id="14627" xr3:uid="{A57E6693-6775-4B2B-905E-12B86BA38089}" name="Column14612" dataCellStyle="Normal 2"/>
    <tableColumn id="14628" xr3:uid="{417C5BD4-1936-4B8B-9080-86F51B64BAE4}" name="Column14613" dataCellStyle="Normal 2"/>
    <tableColumn id="14629" xr3:uid="{07CB15D6-BAA2-4A9D-924E-1990EAC82677}" name="Column14614" dataCellStyle="Normal 2"/>
    <tableColumn id="14630" xr3:uid="{9AFEF7F8-1F6E-4A20-93B2-133328215803}" name="Column14615" dataCellStyle="Normal 2"/>
    <tableColumn id="14631" xr3:uid="{EF84356A-8B3C-4730-9F8C-37C71CA13E74}" name="Column14616" dataCellStyle="Normal 2"/>
    <tableColumn id="14632" xr3:uid="{D8CA11EC-15A7-40CE-ACD9-C0E3012E2257}" name="Column14617" dataCellStyle="Normal 2"/>
    <tableColumn id="14633" xr3:uid="{A938DD33-3895-430B-846E-A66010F78A00}" name="Column14618" dataCellStyle="Normal 2"/>
    <tableColumn id="14634" xr3:uid="{B1F625E2-08C4-4B31-8A8C-088ACBFF21BE}" name="Column14619" dataCellStyle="Normal 2"/>
    <tableColumn id="14635" xr3:uid="{5E6CA28F-5F38-4893-979A-03C63F914AA1}" name="Column14620" dataCellStyle="Normal 2"/>
    <tableColumn id="14636" xr3:uid="{5012C051-8645-456A-B869-9377326449B2}" name="Column14621" dataCellStyle="Normal 2"/>
    <tableColumn id="14637" xr3:uid="{87B875D1-80BA-46BB-9509-6374E226A2BB}" name="Column14622" dataCellStyle="Normal 2"/>
    <tableColumn id="14638" xr3:uid="{96DC306A-FF61-4730-BAA1-C1B6B97DD7E7}" name="Column14623" dataCellStyle="Normal 2"/>
    <tableColumn id="14639" xr3:uid="{041F23A3-FD2A-467A-A4A5-04471B39B6C0}" name="Column14624" dataCellStyle="Normal 2"/>
    <tableColumn id="14640" xr3:uid="{CF328083-40F1-499D-9F8F-E403D437C476}" name="Column14625" dataCellStyle="Normal 2"/>
    <tableColumn id="14641" xr3:uid="{A0F8E437-FBB4-4F44-A1C5-59572AEE96BB}" name="Column14626" dataCellStyle="Normal 2"/>
    <tableColumn id="14642" xr3:uid="{97B86529-0AA5-4B90-8DC0-14FFD27DE53C}" name="Column14627" dataCellStyle="Normal 2"/>
    <tableColumn id="14643" xr3:uid="{E9A78B94-7F56-4519-BC23-E24969F7F0AA}" name="Column14628" dataCellStyle="Normal 2"/>
    <tableColumn id="14644" xr3:uid="{35DB5B0F-462B-436A-A70F-E7352F52AACB}" name="Column14629" dataCellStyle="Normal 2"/>
    <tableColumn id="14645" xr3:uid="{1B8E347A-7594-427C-89EB-FBAE4554FB0A}" name="Column14630" dataCellStyle="Normal 2"/>
    <tableColumn id="14646" xr3:uid="{D3F5CEA3-EF2F-4C77-AA87-4C0F76AF15FB}" name="Column14631" dataCellStyle="Normal 2"/>
    <tableColumn id="14647" xr3:uid="{FB35A57F-9BB8-446C-8D50-7F8C427AF58F}" name="Column14632" dataCellStyle="Normal 2"/>
    <tableColumn id="14648" xr3:uid="{4C00FC52-3E59-4A32-8B36-BE770B2E0904}" name="Column14633" dataCellStyle="Normal 2"/>
    <tableColumn id="14649" xr3:uid="{FDD0397D-BE3C-46E0-8466-47E9BDFD0245}" name="Column14634" dataCellStyle="Normal 2"/>
    <tableColumn id="14650" xr3:uid="{8C8B5756-A905-4C16-8A4E-281D4908C357}" name="Column14635" dataCellStyle="Normal 2"/>
    <tableColumn id="14651" xr3:uid="{18282864-A932-495F-AAEF-692D89E0CC94}" name="Column14636" dataCellStyle="Normal 2"/>
    <tableColumn id="14652" xr3:uid="{C4CDC3E4-93D3-4852-A6A7-DFDD878E92EC}" name="Column14637" dataCellStyle="Normal 2"/>
    <tableColumn id="14653" xr3:uid="{38E615F4-9D51-4CE6-AA92-0A4CCF444946}" name="Column14638" dataCellStyle="Normal 2"/>
    <tableColumn id="14654" xr3:uid="{51DB5EC4-DACF-41FE-ADF8-5970EF10F12A}" name="Column14639" dataCellStyle="Normal 2"/>
    <tableColumn id="14655" xr3:uid="{B5EB6A99-E94B-4170-BFE6-4640788D2674}" name="Column14640" dataCellStyle="Normal 2"/>
    <tableColumn id="14656" xr3:uid="{3178713A-D002-4611-8BBD-9338923F745C}" name="Column14641" dataCellStyle="Normal 2"/>
    <tableColumn id="14657" xr3:uid="{E57F547F-FB1E-4633-9D89-5AB2F9462814}" name="Column14642" dataCellStyle="Normal 2"/>
    <tableColumn id="14658" xr3:uid="{5352776B-B619-4F28-AF60-4F99D8BB0F51}" name="Column14643" dataCellStyle="Normal 2"/>
    <tableColumn id="14659" xr3:uid="{7A33CD2B-0F13-43B8-91C7-ABAC4A433E8C}" name="Column14644" dataCellStyle="Normal 2"/>
    <tableColumn id="14660" xr3:uid="{83212CDE-72F3-43B5-AF0C-BEDBF07B1437}" name="Column14645" dataCellStyle="Normal 2"/>
    <tableColumn id="14661" xr3:uid="{A1E72B6E-2852-4B77-95FD-77E037C93F2A}" name="Column14646" dataCellStyle="Normal 2"/>
    <tableColumn id="14662" xr3:uid="{128BF263-FA02-42D7-A0D9-43653D014E67}" name="Column14647" dataCellStyle="Normal 2"/>
    <tableColumn id="14663" xr3:uid="{29A64DBC-3912-4356-A609-4DBF920B7EC8}" name="Column14648" dataCellStyle="Normal 2"/>
    <tableColumn id="14664" xr3:uid="{57941A83-B38D-466A-9727-269A4C0653EE}" name="Column14649" dataCellStyle="Normal 2"/>
    <tableColumn id="14665" xr3:uid="{283222D1-C5FB-41C3-A455-AA159FD7F9F7}" name="Column14650" dataCellStyle="Normal 2"/>
    <tableColumn id="14666" xr3:uid="{4FEDE97B-AEA3-4619-B0C7-307EC848F23E}" name="Column14651" dataCellStyle="Normal 2"/>
    <tableColumn id="14667" xr3:uid="{87027B46-F17E-4A8E-BDE7-141E6F2D1C2F}" name="Column14652" dataCellStyle="Normal 2"/>
    <tableColumn id="14668" xr3:uid="{EDB83479-7CA6-4543-8465-706DDF7A3DB6}" name="Column14653" dataCellStyle="Normal 2"/>
    <tableColumn id="14669" xr3:uid="{5DCE6CD3-6C4F-401E-B2A4-97A91628E55D}" name="Column14654" dataCellStyle="Normal 2"/>
    <tableColumn id="14670" xr3:uid="{8DD46C3F-22D6-4644-AA95-24895E611080}" name="Column14655" dataCellStyle="Normal 2"/>
    <tableColumn id="14671" xr3:uid="{FE6AEAB9-B336-44B9-B657-15D42041F526}" name="Column14656" dataCellStyle="Normal 2"/>
    <tableColumn id="14672" xr3:uid="{A4FFF086-F94F-43EB-9D4F-268F8BE49A52}" name="Column14657" dataCellStyle="Normal 2"/>
    <tableColumn id="14673" xr3:uid="{78DEBD6C-6916-4B2A-93A1-FF740423305D}" name="Column14658" dataCellStyle="Normal 2"/>
    <tableColumn id="14674" xr3:uid="{18536F00-BB8B-45F0-A8A9-065AA90D6A9E}" name="Column14659" dataCellStyle="Normal 2"/>
    <tableColumn id="14675" xr3:uid="{8CA7DC70-5DB0-46D8-9E2D-7915F7E07ADD}" name="Column14660" dataCellStyle="Normal 2"/>
    <tableColumn id="14676" xr3:uid="{E189A4BA-7BAF-4AA7-ADB6-84B2C38EA492}" name="Column14661" dataCellStyle="Normal 2"/>
    <tableColumn id="14677" xr3:uid="{808E080B-B0D4-4D65-B385-99476FECC99A}" name="Column14662" dataCellStyle="Normal 2"/>
    <tableColumn id="14678" xr3:uid="{2C8EC944-0017-427C-A7B7-63ABFB5BA4E4}" name="Column14663" dataCellStyle="Normal 2"/>
    <tableColumn id="14679" xr3:uid="{0239703D-90DA-4334-B5D7-05DC215EAD9C}" name="Column14664" dataCellStyle="Normal 2"/>
    <tableColumn id="14680" xr3:uid="{1E6972B0-674D-4AD2-868A-30641D2193FC}" name="Column14665" dataCellStyle="Normal 2"/>
    <tableColumn id="14681" xr3:uid="{27429828-E1EA-4C2A-8635-2ACF87F14EFF}" name="Column14666" dataCellStyle="Normal 2"/>
    <tableColumn id="14682" xr3:uid="{309E61D1-DDD5-4247-BEEC-7FFF48A7ED47}" name="Column14667" dataCellStyle="Normal 2"/>
    <tableColumn id="14683" xr3:uid="{08E0850B-9D58-4DBA-8B77-BCBB4E50485E}" name="Column14668" dataCellStyle="Normal 2"/>
    <tableColumn id="14684" xr3:uid="{7D74E5E9-B11F-44DA-98CE-8C611C591BB0}" name="Column14669" dataCellStyle="Normal 2"/>
    <tableColumn id="14685" xr3:uid="{0556860D-8142-4BA6-A61C-28B4DCBFBC8D}" name="Column14670" dataCellStyle="Normal 2"/>
    <tableColumn id="14686" xr3:uid="{70899960-A4E0-4475-8C3C-8800475D495D}" name="Column14671" dataCellStyle="Normal 2"/>
    <tableColumn id="14687" xr3:uid="{5DA6A2F6-09C6-4B6E-93C7-3ACDC5A4ACA8}" name="Column14672" dataCellStyle="Normal 2"/>
    <tableColumn id="14688" xr3:uid="{D44EA3A8-D101-4E55-A9B3-448681AC5B0A}" name="Column14673" dataCellStyle="Normal 2"/>
    <tableColumn id="14689" xr3:uid="{495F77F1-7697-4E88-B468-56B0727BCA31}" name="Column14674" dataCellStyle="Normal 2"/>
    <tableColumn id="14690" xr3:uid="{D0D0C8DA-EF11-48AD-9BC2-D59F13DD08F0}" name="Column14675" dataCellStyle="Normal 2"/>
    <tableColumn id="14691" xr3:uid="{A03B509F-91DC-477F-9B86-E44581FBD207}" name="Column14676" dataCellStyle="Normal 2"/>
    <tableColumn id="14692" xr3:uid="{EA4C49F0-29D9-4F2E-9F66-8FD45977C719}" name="Column14677" dataCellStyle="Normal 2"/>
    <tableColumn id="14693" xr3:uid="{7B914C7A-4711-41B4-98F9-C6403560EBF0}" name="Column14678" dataCellStyle="Normal 2"/>
    <tableColumn id="14694" xr3:uid="{BF44EE6F-23CD-423C-9B8C-C20E2FF35008}" name="Column14679" dataCellStyle="Normal 2"/>
    <tableColumn id="14695" xr3:uid="{0954CF69-A3AF-46D9-BD51-7D1F108FC692}" name="Column14680" dataCellStyle="Normal 2"/>
    <tableColumn id="14696" xr3:uid="{8F90AE45-FBD5-48D8-A32D-141AFB12D91C}" name="Column14681" dataCellStyle="Normal 2"/>
    <tableColumn id="14697" xr3:uid="{65644D29-2DD7-4F0A-8A70-E34B59221C53}" name="Column14682" dataCellStyle="Normal 2"/>
    <tableColumn id="14698" xr3:uid="{320AA348-E5D9-4F0A-A5C5-D31A59B3D204}" name="Column14683" dataCellStyle="Normal 2"/>
    <tableColumn id="14699" xr3:uid="{E244A205-E8B7-4DE1-8CD9-CD9A9EB4065D}" name="Column14684" dataCellStyle="Normal 2"/>
    <tableColumn id="14700" xr3:uid="{956303F0-CE7C-4C0B-9DC9-AFC455CE939B}" name="Column14685" dataCellStyle="Normal 2"/>
    <tableColumn id="14701" xr3:uid="{FBF7EE2E-2E80-496F-89DC-AA7FCCE7CF32}" name="Column14686" dataCellStyle="Normal 2"/>
    <tableColumn id="14702" xr3:uid="{03969001-7363-4521-A5AB-B5975FC7F750}" name="Column14687" dataCellStyle="Normal 2"/>
    <tableColumn id="14703" xr3:uid="{6692F4DA-53C5-4306-AA8F-C5A0F54E843C}" name="Column14688" dataCellStyle="Normal 2"/>
    <tableColumn id="14704" xr3:uid="{2BF22C1C-FBE1-435B-961E-C17FC52F7F64}" name="Column14689" dataCellStyle="Normal 2"/>
    <tableColumn id="14705" xr3:uid="{A651C489-8C04-4394-A90B-DECF850DB1F9}" name="Column14690" dataCellStyle="Normal 2"/>
    <tableColumn id="14706" xr3:uid="{9D60F187-FA32-47C7-8A5F-1A2BD29A599E}" name="Column14691" dataCellStyle="Normal 2"/>
    <tableColumn id="14707" xr3:uid="{B46BE25A-C584-47B7-9A44-3B7AEEF72E9B}" name="Column14692" dataCellStyle="Normal 2"/>
    <tableColumn id="14708" xr3:uid="{AFE55CFD-1EAA-4569-A775-918493E99788}" name="Column14693" dataCellStyle="Normal 2"/>
    <tableColumn id="14709" xr3:uid="{DEE82D79-887A-4EF2-A478-2161B94F4BBB}" name="Column14694" dataCellStyle="Normal 2"/>
    <tableColumn id="14710" xr3:uid="{B74D8F88-5EBF-4FFF-AF41-AAE481B32D20}" name="Column14695" dataCellStyle="Normal 2"/>
    <tableColumn id="14711" xr3:uid="{4397B358-0ABB-45A1-8674-8B7E052769F5}" name="Column14696" dataCellStyle="Normal 2"/>
    <tableColumn id="14712" xr3:uid="{6B847E3A-8754-43FE-8C0A-9D0F0B030EAE}" name="Column14697" dataCellStyle="Normal 2"/>
    <tableColumn id="14713" xr3:uid="{F4154C8D-63D1-4E0D-87F7-7A3C145C2942}" name="Column14698" dataCellStyle="Normal 2"/>
    <tableColumn id="14714" xr3:uid="{DB3ED6D0-5B41-4F96-A7F0-A5709A2CDFFD}" name="Column14699" dataCellStyle="Normal 2"/>
    <tableColumn id="14715" xr3:uid="{18B0E997-82BA-4909-A1D4-13F986C5174C}" name="Column14700" dataCellStyle="Normal 2"/>
    <tableColumn id="14716" xr3:uid="{891F33F2-CF1B-47A6-A1A4-7E67FDB183AF}" name="Column14701" dataCellStyle="Normal 2"/>
    <tableColumn id="14717" xr3:uid="{DB1B876C-A830-45E5-921C-9E1B1C4BD6BD}" name="Column14702" dataCellStyle="Normal 2"/>
    <tableColumn id="14718" xr3:uid="{1196FD85-51AD-4A64-B8B9-820B01C73A50}" name="Column14703" dataCellStyle="Normal 2"/>
    <tableColumn id="14719" xr3:uid="{F644469A-7611-4314-A009-FBE22FCF5887}" name="Column14704" dataCellStyle="Normal 2"/>
    <tableColumn id="14720" xr3:uid="{4606F948-6EDA-47BD-8B5A-690DF502B6A8}" name="Column14705" dataCellStyle="Normal 2"/>
    <tableColumn id="14721" xr3:uid="{E7A18655-ACFC-4EC4-981B-81A7E3A180A4}" name="Column14706" dataCellStyle="Normal 2"/>
    <tableColumn id="14722" xr3:uid="{57351B5C-2E19-4751-8BE2-96A4FA87DD56}" name="Column14707" dataCellStyle="Normal 2"/>
    <tableColumn id="14723" xr3:uid="{89E6C136-0AA8-4915-9A14-7B0310EB284F}" name="Column14708" dataCellStyle="Normal 2"/>
    <tableColumn id="14724" xr3:uid="{D2728B83-BFC8-432E-A3FB-53ECE104ABE9}" name="Column14709" dataCellStyle="Normal 2"/>
    <tableColumn id="14725" xr3:uid="{96E3C729-633D-4BDE-9C0C-5C7F22D8FCB2}" name="Column14710" dataCellStyle="Normal 2"/>
    <tableColumn id="14726" xr3:uid="{9640D15A-CCED-4FDA-B7D7-5AEAC0885651}" name="Column14711" dataCellStyle="Normal 2"/>
    <tableColumn id="14727" xr3:uid="{EB8F1FA8-0AEC-447D-B2FD-2A4E80A5A41E}" name="Column14712" dataCellStyle="Normal 2"/>
    <tableColumn id="14728" xr3:uid="{B9D83DF5-CA55-4ECC-B365-C31922B09F63}" name="Column14713" dataCellStyle="Normal 2"/>
    <tableColumn id="14729" xr3:uid="{128F57B5-5035-4B57-A8CD-C56157DDD689}" name="Column14714" dataCellStyle="Normal 2"/>
    <tableColumn id="14730" xr3:uid="{4DD8F724-4D48-4B78-B3E4-474358CE9702}" name="Column14715" dataCellStyle="Normal 2"/>
    <tableColumn id="14731" xr3:uid="{89FB3134-1D77-4498-B1FE-01CA52E26A23}" name="Column14716" dataCellStyle="Normal 2"/>
    <tableColumn id="14732" xr3:uid="{0DC4EF88-E40A-4944-B124-67E1BCDCDADC}" name="Column14717" dataCellStyle="Normal 2"/>
    <tableColumn id="14733" xr3:uid="{18C51015-4551-4F11-B93D-B04CD50726B5}" name="Column14718" dataCellStyle="Normal 2"/>
    <tableColumn id="14734" xr3:uid="{6782B001-E5BA-43F6-A4EE-52FCB83FF2D0}" name="Column14719" dataCellStyle="Normal 2"/>
    <tableColumn id="14735" xr3:uid="{1391E28E-9480-44A5-8C5F-F0DFC829BAA9}" name="Column14720" dataCellStyle="Normal 2"/>
    <tableColumn id="14736" xr3:uid="{E29C413A-D129-4C6E-BA85-A064FD92AAB8}" name="Column14721" dataCellStyle="Normal 2"/>
    <tableColumn id="14737" xr3:uid="{CE33EAE0-504D-40E2-8E9F-7B01AE54C356}" name="Column14722" dataCellStyle="Normal 2"/>
    <tableColumn id="14738" xr3:uid="{128C8C9A-6659-40F8-95C7-26BB347DD979}" name="Column14723" dataCellStyle="Normal 2"/>
    <tableColumn id="14739" xr3:uid="{92423E72-B1FA-437E-A0A8-1C0B007166F4}" name="Column14724" dataCellStyle="Normal 2"/>
    <tableColumn id="14740" xr3:uid="{26075382-866E-4FDB-BBAE-94E8F6930C06}" name="Column14725" dataCellStyle="Normal 2"/>
    <tableColumn id="14741" xr3:uid="{DB2C26ED-89B6-4D4E-9E50-7AA05D90A9B7}" name="Column14726" dataCellStyle="Normal 2"/>
    <tableColumn id="14742" xr3:uid="{95224807-B938-4D9F-BE29-B217CBC3429F}" name="Column14727" dataCellStyle="Normal 2"/>
    <tableColumn id="14743" xr3:uid="{4D5131F5-81FE-4998-91B8-4C69C9C56DAC}" name="Column14728" dataCellStyle="Normal 2"/>
    <tableColumn id="14744" xr3:uid="{180396BD-EDB4-46FA-AA48-8EC65C843C03}" name="Column14729" dataCellStyle="Normal 2"/>
    <tableColumn id="14745" xr3:uid="{2F2F194E-29FB-416A-9B66-7F2C19E0B3D2}" name="Column14730" dataCellStyle="Normal 2"/>
    <tableColumn id="14746" xr3:uid="{C229B108-0266-466F-B498-64CFA3F2F861}" name="Column14731" dataCellStyle="Normal 2"/>
    <tableColumn id="14747" xr3:uid="{A87E378A-2ED6-4BEB-B6FF-0839E19944AE}" name="Column14732" dataCellStyle="Normal 2"/>
    <tableColumn id="14748" xr3:uid="{1E179CA6-A959-413F-BD87-576E75229257}" name="Column14733" dataCellStyle="Normal 2"/>
    <tableColumn id="14749" xr3:uid="{A5A91C7E-D1D0-4B18-949C-7D6734AD90F5}" name="Column14734" dataCellStyle="Normal 2"/>
    <tableColumn id="14750" xr3:uid="{C921455A-C24F-4FB0-B313-54DB7911233B}" name="Column14735" dataCellStyle="Normal 2"/>
    <tableColumn id="14751" xr3:uid="{DDEAC58B-2EFB-49E7-9A0E-F4839F057D6F}" name="Column14736" dataCellStyle="Normal 2"/>
    <tableColumn id="14752" xr3:uid="{18740D38-0740-460D-BAEF-38255642D9E2}" name="Column14737" dataCellStyle="Normal 2"/>
    <tableColumn id="14753" xr3:uid="{82AE42BB-4042-491C-BA84-668C59B76826}" name="Column14738" dataCellStyle="Normal 2"/>
    <tableColumn id="14754" xr3:uid="{332E14EA-C578-4767-9B0C-6981DC096AB7}" name="Column14739" dataCellStyle="Normal 2"/>
    <tableColumn id="14755" xr3:uid="{E2F70A1E-1E4A-475E-A7A9-CE06CAD99AB8}" name="Column14740" dataCellStyle="Normal 2"/>
    <tableColumn id="14756" xr3:uid="{A445DC92-A704-407B-B920-DC6673E47425}" name="Column14741" dataCellStyle="Normal 2"/>
    <tableColumn id="14757" xr3:uid="{F1BA69B8-C1D6-489C-9217-BCB94461A310}" name="Column14742" dataCellStyle="Normal 2"/>
    <tableColumn id="14758" xr3:uid="{E27A8D7A-BF3B-4730-BCA1-46AA239F5624}" name="Column14743" dataCellStyle="Normal 2"/>
    <tableColumn id="14759" xr3:uid="{E2E42FD7-9ECD-49CD-B8E0-1864941CC914}" name="Column14744" dataCellStyle="Normal 2"/>
    <tableColumn id="14760" xr3:uid="{16D98EEE-4DB6-4F5F-8E37-34AC2ACD05AB}" name="Column14745" dataCellStyle="Normal 2"/>
    <tableColumn id="14761" xr3:uid="{45205F77-692C-480C-84ED-98B56B60BA1C}" name="Column14746" dataCellStyle="Normal 2"/>
    <tableColumn id="14762" xr3:uid="{309F5B0B-30CF-4C29-A94E-5DA449B70AAF}" name="Column14747" dataCellStyle="Normal 2"/>
    <tableColumn id="14763" xr3:uid="{0698A463-361C-4B97-8F5D-23ED5D99C8D0}" name="Column14748" dataCellStyle="Normal 2"/>
    <tableColumn id="14764" xr3:uid="{79DE04EA-D48E-4486-AECF-2B99DCF4FBAE}" name="Column14749" dataCellStyle="Normal 2"/>
    <tableColumn id="14765" xr3:uid="{4CADBE57-FCDF-4FDF-8941-973E0AE15177}" name="Column14750" dataCellStyle="Normal 2"/>
    <tableColumn id="14766" xr3:uid="{3CBD8BD4-E078-4A8B-9580-689DF51CE2BF}" name="Column14751" dataCellStyle="Normal 2"/>
    <tableColumn id="14767" xr3:uid="{8DCF54BF-2CA5-44F5-A6B8-13EFAF2FE01D}" name="Column14752" dataCellStyle="Normal 2"/>
    <tableColumn id="14768" xr3:uid="{D839B30D-E45A-4D06-AC23-883C22D2DEB4}" name="Column14753" dataCellStyle="Normal 2"/>
    <tableColumn id="14769" xr3:uid="{D15CF6AE-490C-4BD6-BD4D-4FD1B2A156E1}" name="Column14754" dataCellStyle="Normal 2"/>
    <tableColumn id="14770" xr3:uid="{08255C0D-854C-4691-AC4C-AC778075561C}" name="Column14755" dataCellStyle="Normal 2"/>
    <tableColumn id="14771" xr3:uid="{C045071F-4EC0-44B4-AA14-64B36610C450}" name="Column14756" dataCellStyle="Normal 2"/>
    <tableColumn id="14772" xr3:uid="{3B3879ED-CAE7-4A14-8414-532D4A494758}" name="Column14757" dataCellStyle="Normal 2"/>
    <tableColumn id="14773" xr3:uid="{2FDBD090-FDFB-43E8-88C2-0FF02819658B}" name="Column14758" dataCellStyle="Normal 2"/>
    <tableColumn id="14774" xr3:uid="{8E512304-A025-490F-A7A6-E43D672B1B83}" name="Column14759" dataCellStyle="Normal 2"/>
    <tableColumn id="14775" xr3:uid="{15757ADC-D454-4969-8033-804ABBF61C5D}" name="Column14760" dataCellStyle="Normal 2"/>
    <tableColumn id="14776" xr3:uid="{735BE335-D8E5-4193-AA4D-0B5BE811A327}" name="Column14761" dataCellStyle="Normal 2"/>
    <tableColumn id="14777" xr3:uid="{69310F69-588C-46F9-978E-21AB1841805B}" name="Column14762" dataCellStyle="Normal 2"/>
    <tableColumn id="14778" xr3:uid="{78BA6969-1CF6-440E-8FB3-552D6C89C8F8}" name="Column14763" dataCellStyle="Normal 2"/>
    <tableColumn id="14779" xr3:uid="{B2843073-FA9B-4DD5-85C7-61AF43D1DA01}" name="Column14764" dataCellStyle="Normal 2"/>
    <tableColumn id="14780" xr3:uid="{B19ECEC9-4EC3-4FD2-B6CF-2327792CD108}" name="Column14765" dataCellStyle="Normal 2"/>
    <tableColumn id="14781" xr3:uid="{2CDBAFCC-3C1A-4ABE-9FFD-B87BBDF4B8CA}" name="Column14766" dataCellStyle="Normal 2"/>
    <tableColumn id="14782" xr3:uid="{EAD8F218-30A7-4797-B1D3-AB140C1257AD}" name="Column14767" dataCellStyle="Normal 2"/>
    <tableColumn id="14783" xr3:uid="{00A6B621-A6AF-470D-9595-6CDEF52B5BD9}" name="Column14768" dataCellStyle="Normal 2"/>
    <tableColumn id="14784" xr3:uid="{1E4D8FF0-D565-4D53-8907-733272A581CE}" name="Column14769" dataCellStyle="Normal 2"/>
    <tableColumn id="14785" xr3:uid="{DDD1E676-F1C4-4797-B07D-5D3F17032845}" name="Column14770" dataCellStyle="Normal 2"/>
    <tableColumn id="14786" xr3:uid="{E630CE35-70A5-4C17-BE24-623751788CC2}" name="Column14771" dataCellStyle="Normal 2"/>
    <tableColumn id="14787" xr3:uid="{066E5B6F-EB29-417A-99CA-FB9A51899D88}" name="Column14772" dataCellStyle="Normal 2"/>
    <tableColumn id="14788" xr3:uid="{F2D82152-2C24-434F-892F-5D4C921A7D37}" name="Column14773" dataCellStyle="Normal 2"/>
    <tableColumn id="14789" xr3:uid="{63264B48-3285-4FF9-93AE-983B24C21A56}" name="Column14774" dataCellStyle="Normal 2"/>
    <tableColumn id="14790" xr3:uid="{724EA000-579D-449E-8223-9614882AC92F}" name="Column14775" dataCellStyle="Normal 2"/>
    <tableColumn id="14791" xr3:uid="{C6EF7D61-48CE-4B9E-B93A-D6EFB91E1CE2}" name="Column14776" dataCellStyle="Normal 2"/>
    <tableColumn id="14792" xr3:uid="{68D5992E-33E6-4964-B01C-FBE7F8CFDFF0}" name="Column14777" dataCellStyle="Normal 2"/>
    <tableColumn id="14793" xr3:uid="{E2F33C00-A6DF-43EE-989C-F5AD610B45DD}" name="Column14778" dataCellStyle="Normal 2"/>
    <tableColumn id="14794" xr3:uid="{DF8CF9B1-80AE-4AF9-87CA-C5081468FF1B}" name="Column14779" dataCellStyle="Normal 2"/>
    <tableColumn id="14795" xr3:uid="{78AF829B-0B7E-4161-8334-C31DD6E30F30}" name="Column14780" dataCellStyle="Normal 2"/>
    <tableColumn id="14796" xr3:uid="{C4D5145E-BCC7-479F-82FE-07FA579882E6}" name="Column14781" dataCellStyle="Normal 2"/>
    <tableColumn id="14797" xr3:uid="{322371B1-0F9C-42B9-891F-F55E500F1B8B}" name="Column14782" dataCellStyle="Normal 2"/>
    <tableColumn id="14798" xr3:uid="{D78BAFB5-B7C1-463D-84D4-205E424263EE}" name="Column14783" dataCellStyle="Normal 2"/>
    <tableColumn id="14799" xr3:uid="{6F4DE3B7-2D1E-4E8F-BB65-5C7399434311}" name="Column14784" dataCellStyle="Normal 2"/>
    <tableColumn id="14800" xr3:uid="{91AE968B-7D9C-4933-8F37-00AAB815FB3B}" name="Column14785" dataCellStyle="Normal 2"/>
    <tableColumn id="14801" xr3:uid="{AB0A2A77-6CA7-404A-AD47-F79F80E2B2B4}" name="Column14786" dataCellStyle="Normal 2"/>
    <tableColumn id="14802" xr3:uid="{772921A2-75E3-4230-B5AE-18CB69280D66}" name="Column14787" dataCellStyle="Normal 2"/>
    <tableColumn id="14803" xr3:uid="{066F66E9-D040-46D7-89C1-9DD433E93D2F}" name="Column14788" dataCellStyle="Normal 2"/>
    <tableColumn id="14804" xr3:uid="{BF2E838C-857D-413E-8DD3-B64E651F3F26}" name="Column14789" dataCellStyle="Normal 2"/>
    <tableColumn id="14805" xr3:uid="{C89B6CD7-BFAE-428E-9BB3-6419EE2AC3F8}" name="Column14790" dataCellStyle="Normal 2"/>
    <tableColumn id="14806" xr3:uid="{080E0498-9489-445B-ADEB-FE282C5F12E6}" name="Column14791" dataCellStyle="Normal 2"/>
    <tableColumn id="14807" xr3:uid="{3A6140ED-60FE-457A-ACBE-73A01964892D}" name="Column14792" dataCellStyle="Normal 2"/>
    <tableColumn id="14808" xr3:uid="{C0ECB2F0-7365-4FED-A541-177478EBD686}" name="Column14793" dataCellStyle="Normal 2"/>
    <tableColumn id="14809" xr3:uid="{20CF7B76-9E8D-49D0-84BF-21D7712425AD}" name="Column14794" dataCellStyle="Normal 2"/>
    <tableColumn id="14810" xr3:uid="{A19E8BB8-1662-484F-BA8D-3A9EAE0CB8D9}" name="Column14795" dataCellStyle="Normal 2"/>
    <tableColumn id="14811" xr3:uid="{91E36C36-7DCC-481B-A288-7FE971868A91}" name="Column14796" dataCellStyle="Normal 2"/>
    <tableColumn id="14812" xr3:uid="{770CA139-0EC0-410E-B719-ED347322E3B8}" name="Column14797" dataCellStyle="Normal 2"/>
    <tableColumn id="14813" xr3:uid="{3AD34BE7-39A8-4279-AA63-E57BFD4E9ABA}" name="Column14798" dataCellStyle="Normal 2"/>
    <tableColumn id="14814" xr3:uid="{70ACFBF3-EF01-43AB-85A5-5FEC14325202}" name="Column14799" dataCellStyle="Normal 2"/>
    <tableColumn id="14815" xr3:uid="{24DAE9EE-F6BA-499B-BEED-6E1FABA88F2D}" name="Column14800" dataCellStyle="Normal 2"/>
    <tableColumn id="14816" xr3:uid="{5825EE69-0EDF-4A7E-AB49-5C17C8D32AB5}" name="Column14801" dataCellStyle="Normal 2"/>
    <tableColumn id="14817" xr3:uid="{47D875FE-8255-4EC0-8AEF-CB75108E1DA4}" name="Column14802" dataCellStyle="Normal 2"/>
    <tableColumn id="14818" xr3:uid="{2FFD3EF8-6D3A-4AEB-81CE-2B3161A76326}" name="Column14803" dataCellStyle="Normal 2"/>
    <tableColumn id="14819" xr3:uid="{1016DC8A-12C9-49F5-9B10-F72E63D0156D}" name="Column14804" dataCellStyle="Normal 2"/>
    <tableColumn id="14820" xr3:uid="{06A9D9C5-361D-4619-A67D-9D1C1AE51E14}" name="Column14805" dataCellStyle="Normal 2"/>
    <tableColumn id="14821" xr3:uid="{30DBE1F8-AF2A-4839-9869-0AE5CF2550A5}" name="Column14806" dataCellStyle="Normal 2"/>
    <tableColumn id="14822" xr3:uid="{EDB7037E-AA01-4F6A-B42A-05BDAF3A466C}" name="Column14807" dataCellStyle="Normal 2"/>
    <tableColumn id="14823" xr3:uid="{E8330972-0971-4A54-8B4C-2320C4E9CEF9}" name="Column14808" dataCellStyle="Normal 2"/>
    <tableColumn id="14824" xr3:uid="{DF2C3E1E-5C27-4384-90B1-1F3DC16C7FE8}" name="Column14809" dataCellStyle="Normal 2"/>
    <tableColumn id="14825" xr3:uid="{88D233C5-4070-4282-9B76-CA8DF6472991}" name="Column14810" dataCellStyle="Normal 2"/>
    <tableColumn id="14826" xr3:uid="{04F8DE2C-FFDA-4459-B2BB-19E522B0A0E8}" name="Column14811" dataCellStyle="Normal 2"/>
    <tableColumn id="14827" xr3:uid="{2645591D-7FEA-4B78-86F6-3EA969FED752}" name="Column14812" dataCellStyle="Normal 2"/>
    <tableColumn id="14828" xr3:uid="{B388B503-7EA3-4A9B-ABC5-06D1F84CC725}" name="Column14813" dataCellStyle="Normal 2"/>
    <tableColumn id="14829" xr3:uid="{9FE70F5F-6637-42DD-BDE6-F67412323F28}" name="Column14814" dataCellStyle="Normal 2"/>
    <tableColumn id="14830" xr3:uid="{AAC65CE7-9EC4-41C8-BCF9-940D8493F010}" name="Column14815" dataCellStyle="Normal 2"/>
    <tableColumn id="14831" xr3:uid="{481AA906-E158-46E4-9661-336549EE8976}" name="Column14816" dataCellStyle="Normal 2"/>
    <tableColumn id="14832" xr3:uid="{36373589-CF40-4EAF-A457-8172245BC7A3}" name="Column14817" dataCellStyle="Normal 2"/>
    <tableColumn id="14833" xr3:uid="{33DFB0D4-D4C7-40F4-96B8-C65C7CFDF31E}" name="Column14818" dataCellStyle="Normal 2"/>
    <tableColumn id="14834" xr3:uid="{A92E5804-3B14-4F8D-9E86-59B446214B91}" name="Column14819" dataCellStyle="Normal 2"/>
    <tableColumn id="14835" xr3:uid="{096DF8B2-598F-4A52-9F34-18660CA9B926}" name="Column14820" dataCellStyle="Normal 2"/>
    <tableColumn id="14836" xr3:uid="{01B3A355-78A4-49F1-849A-28A575AA04E3}" name="Column14821" dataCellStyle="Normal 2"/>
    <tableColumn id="14837" xr3:uid="{7AA89194-1787-4D36-8A59-AC7A4A3A9521}" name="Column14822" dataCellStyle="Normal 2"/>
    <tableColumn id="14838" xr3:uid="{3817F7A2-8FD3-462B-A4EF-1ECFA07669EE}" name="Column14823" dataCellStyle="Normal 2"/>
    <tableColumn id="14839" xr3:uid="{2A927B92-5B73-46D9-897C-3D8776324344}" name="Column14824" dataCellStyle="Normal 2"/>
    <tableColumn id="14840" xr3:uid="{8C4CB8E2-C73A-4012-8CB8-DDBDEEFA25AE}" name="Column14825" dataCellStyle="Normal 2"/>
    <tableColumn id="14841" xr3:uid="{E7689C19-4802-402E-8044-52E9ADAC7B92}" name="Column14826" dataCellStyle="Normal 2"/>
    <tableColumn id="14842" xr3:uid="{63713599-4163-4374-87DB-D86FD0A14AB9}" name="Column14827" dataCellStyle="Normal 2"/>
    <tableColumn id="14843" xr3:uid="{4FBEDCA6-41EA-468B-A76E-785A776AC881}" name="Column14828" dataCellStyle="Normal 2"/>
    <tableColumn id="14844" xr3:uid="{F2F175B6-39DA-4CF3-8B28-57BEEADB30E8}" name="Column14829" dataCellStyle="Normal 2"/>
    <tableColumn id="14845" xr3:uid="{27065A83-E6BB-410C-BD11-71ABD618976A}" name="Column14830" dataCellStyle="Normal 2"/>
    <tableColumn id="14846" xr3:uid="{613A972D-0B29-4D07-A42B-EB2ED6C542E7}" name="Column14831" dataCellStyle="Normal 2"/>
    <tableColumn id="14847" xr3:uid="{84A95680-56EE-4B7E-967B-BCCC61595ACC}" name="Column14832" dataCellStyle="Normal 2"/>
    <tableColumn id="14848" xr3:uid="{69069C15-D6BA-45E9-8C41-86AFA7CE65F6}" name="Column14833" dataCellStyle="Normal 2"/>
    <tableColumn id="14849" xr3:uid="{1DF0EE46-B5D9-44EE-9FB0-F02B02B6327D}" name="Column14834" dataCellStyle="Normal 2"/>
    <tableColumn id="14850" xr3:uid="{9EFFA05D-EE4C-425F-93E8-05D638E23A21}" name="Column14835" dataCellStyle="Normal 2"/>
    <tableColumn id="14851" xr3:uid="{D0FC6668-97D4-4700-B37C-ED0C1D4A726A}" name="Column14836" dataCellStyle="Normal 2"/>
    <tableColumn id="14852" xr3:uid="{ADD903D2-4BC2-4ED0-9A8E-97C6E0CCFEF8}" name="Column14837" dataCellStyle="Normal 2"/>
    <tableColumn id="14853" xr3:uid="{E0E75E32-EFA8-4E63-92A1-3C5F67006CFF}" name="Column14838" dataCellStyle="Normal 2"/>
    <tableColumn id="14854" xr3:uid="{CAFC27A3-CEF3-4CC9-9743-793F8A1CC244}" name="Column14839" dataCellStyle="Normal 2"/>
    <tableColumn id="14855" xr3:uid="{131441D7-5A81-48BB-98CC-31642E91AA31}" name="Column14840" dataCellStyle="Normal 2"/>
    <tableColumn id="14856" xr3:uid="{19B85D29-9EDF-46DB-8F6B-75224D5944E0}" name="Column14841" dataCellStyle="Normal 2"/>
    <tableColumn id="14857" xr3:uid="{2B93587A-9A1E-4914-9C20-2D276F4A7E76}" name="Column14842" dataCellStyle="Normal 2"/>
    <tableColumn id="14858" xr3:uid="{919EF6F5-DD54-452E-931D-0319AC63B91A}" name="Column14843" dataCellStyle="Normal 2"/>
    <tableColumn id="14859" xr3:uid="{5EB82ED9-C8A1-4E50-A65A-94A7F000A131}" name="Column14844" dataCellStyle="Normal 2"/>
    <tableColumn id="14860" xr3:uid="{1212C5AE-5AD1-43C0-A125-7BC0FD88E1F6}" name="Column14845" dataCellStyle="Normal 2"/>
    <tableColumn id="14861" xr3:uid="{99562386-C00E-4ECB-BEC2-3D893CC3B706}" name="Column14846" dataCellStyle="Normal 2"/>
    <tableColumn id="14862" xr3:uid="{F9E7E38E-6590-4835-9E39-E9AA0B774428}" name="Column14847" dataCellStyle="Normal 2"/>
    <tableColumn id="14863" xr3:uid="{0DDD10FE-5E1F-4B98-9C0C-8206C53C20B2}" name="Column14848" dataCellStyle="Normal 2"/>
    <tableColumn id="14864" xr3:uid="{11A8D9BD-4C5F-4CA0-BED0-3B1B5085E783}" name="Column14849" dataCellStyle="Normal 2"/>
    <tableColumn id="14865" xr3:uid="{B9D0B7A9-184B-44D4-A34C-B54602C853FC}" name="Column14850" dataCellStyle="Normal 2"/>
    <tableColumn id="14866" xr3:uid="{015284D6-971B-4B23-B506-D37CB531A794}" name="Column14851" dataCellStyle="Normal 2"/>
    <tableColumn id="14867" xr3:uid="{9EDECB94-5450-4232-8236-656A9E44DAB0}" name="Column14852" dataCellStyle="Normal 2"/>
    <tableColumn id="14868" xr3:uid="{52012239-32FA-4380-B65B-C6325CD9340D}" name="Column14853" dataCellStyle="Normal 2"/>
    <tableColumn id="14869" xr3:uid="{0E284EEA-847E-4DBA-AAD3-6DFCD7C43300}" name="Column14854" dataCellStyle="Normal 2"/>
    <tableColumn id="14870" xr3:uid="{E73A2003-22CD-4DF8-9FD5-0C9F54964EFC}" name="Column14855" dataCellStyle="Normal 2"/>
    <tableColumn id="14871" xr3:uid="{1A151C0A-886E-471B-86F0-4B7AE1D3A294}" name="Column14856" dataCellStyle="Normal 2"/>
    <tableColumn id="14872" xr3:uid="{869CCB36-3C25-4317-AA64-B230839237CE}" name="Column14857" dataCellStyle="Normal 2"/>
    <tableColumn id="14873" xr3:uid="{DB94DED7-7458-4DA9-8673-F9F86732B02A}" name="Column14858" dataCellStyle="Normal 2"/>
    <tableColumn id="14874" xr3:uid="{C059C86D-B354-4067-9A3D-95C9C5DFD8B0}" name="Column14859" dataCellStyle="Normal 2"/>
    <tableColumn id="14875" xr3:uid="{EEBF7D2B-7519-4A64-B70F-13CD3FC9C79F}" name="Column14860" dataCellStyle="Normal 2"/>
    <tableColumn id="14876" xr3:uid="{C65DDF91-154B-40A2-AE16-5070C9114172}" name="Column14861" dataCellStyle="Normal 2"/>
    <tableColumn id="14877" xr3:uid="{A13B4B23-CCA4-4EA6-AE13-7CADBD51DC6A}" name="Column14862" dataCellStyle="Normal 2"/>
    <tableColumn id="14878" xr3:uid="{1C923326-50B0-4EEF-ABC2-04BC480E2BA3}" name="Column14863" dataCellStyle="Normal 2"/>
    <tableColumn id="14879" xr3:uid="{07E6AB00-5EBB-4D6F-8D05-B6F8622009CD}" name="Column14864" dataCellStyle="Normal 2"/>
    <tableColumn id="14880" xr3:uid="{C70835E1-FF5C-48B4-A1F4-A245EAB6D17C}" name="Column14865" dataCellStyle="Normal 2"/>
    <tableColumn id="14881" xr3:uid="{986C4271-D6FC-447A-82CF-BD3335D1A7FD}" name="Column14866" dataCellStyle="Normal 2"/>
    <tableColumn id="14882" xr3:uid="{98029739-9183-4DCF-8C70-DF42F8672DD4}" name="Column14867" dataCellStyle="Normal 2"/>
    <tableColumn id="14883" xr3:uid="{1E14D3E6-7615-41CE-A947-1AFBB7FEC929}" name="Column14868" dataCellStyle="Normal 2"/>
    <tableColumn id="14884" xr3:uid="{31C8A728-1D0F-4224-ABFA-8B28AC9C1493}" name="Column14869" dataCellStyle="Normal 2"/>
    <tableColumn id="14885" xr3:uid="{1847FC99-7BD7-4C78-859D-A5277A8E0373}" name="Column14870" dataCellStyle="Normal 2"/>
    <tableColumn id="14886" xr3:uid="{F2A4DAE0-9841-41DD-842F-A1CCD67BD62A}" name="Column14871" dataCellStyle="Normal 2"/>
    <tableColumn id="14887" xr3:uid="{EC53B75B-8A3D-4FAE-8CA2-931B13E9D905}" name="Column14872" dataCellStyle="Normal 2"/>
    <tableColumn id="14888" xr3:uid="{A87CD6F0-4567-49F6-811A-CAC78C973FA6}" name="Column14873" dataCellStyle="Normal 2"/>
    <tableColumn id="14889" xr3:uid="{C518ABF4-0CCB-416B-82B1-41AAB8684D7C}" name="Column14874" dataCellStyle="Normal 2"/>
    <tableColumn id="14890" xr3:uid="{A406A195-A942-49E3-A103-CD42AE8CAF21}" name="Column14875" dataCellStyle="Normal 2"/>
    <tableColumn id="14891" xr3:uid="{D023F376-2B6E-4F71-84F1-0801B06D52F9}" name="Column14876" dataCellStyle="Normal 2"/>
    <tableColumn id="14892" xr3:uid="{6A8DBCBE-2E20-43A8-B27A-892568C675F3}" name="Column14877" dataCellStyle="Normal 2"/>
    <tableColumn id="14893" xr3:uid="{88EFF19B-0275-4D1C-8051-C234AA18EECC}" name="Column14878" dataCellStyle="Normal 2"/>
    <tableColumn id="14894" xr3:uid="{05303DB8-9F6C-49AD-8873-AAF9DB75985A}" name="Column14879" dataCellStyle="Normal 2"/>
    <tableColumn id="14895" xr3:uid="{A2922A72-F2D7-43B0-A0FC-3919F336E72E}" name="Column14880" dataCellStyle="Normal 2"/>
    <tableColumn id="14896" xr3:uid="{C108A723-8F5C-4ADA-A1F4-59FD232B8EFD}" name="Column14881" dataCellStyle="Normal 2"/>
    <tableColumn id="14897" xr3:uid="{AE2FDBDD-F6AB-4E76-98B7-25B5F1C52B7E}" name="Column14882" dataCellStyle="Normal 2"/>
    <tableColumn id="14898" xr3:uid="{9FB4E2D5-330E-43E1-BF6A-4C44FC6D04CE}" name="Column14883" dataCellStyle="Normal 2"/>
    <tableColumn id="14899" xr3:uid="{1DD4D801-E843-4372-8123-5C3C286CB4F9}" name="Column14884" dataCellStyle="Normal 2"/>
    <tableColumn id="14900" xr3:uid="{688D6607-0FCE-4FEF-92A6-B40BDC15A496}" name="Column14885" dataCellStyle="Normal 2"/>
    <tableColumn id="14901" xr3:uid="{84FE88EC-8D79-428D-9E9A-5970BFB0C981}" name="Column14886" dataCellStyle="Normal 2"/>
    <tableColumn id="14902" xr3:uid="{9695BFC1-D090-482C-846F-B6B3906F9AF5}" name="Column14887" dataCellStyle="Normal 2"/>
    <tableColumn id="14903" xr3:uid="{EE69B94F-6921-4234-9783-832A57F87716}" name="Column14888" dataCellStyle="Normal 2"/>
    <tableColumn id="14904" xr3:uid="{94E5C15C-0BB5-4CF0-8750-811C81DB3544}" name="Column14889" dataCellStyle="Normal 2"/>
    <tableColumn id="14905" xr3:uid="{05076C88-3D3D-434B-902F-3DA2235F073C}" name="Column14890" dataCellStyle="Normal 2"/>
    <tableColumn id="14906" xr3:uid="{B56E5988-CE8D-4F00-B73C-4C61E62D23FF}" name="Column14891" dataCellStyle="Normal 2"/>
    <tableColumn id="14907" xr3:uid="{D03C3BBE-C0E0-408E-A615-FE137DDC0F97}" name="Column14892" dataCellStyle="Normal 2"/>
    <tableColumn id="14908" xr3:uid="{AF33B2C5-C07D-4ED5-8649-8ADBF65AE9D0}" name="Column14893" dataCellStyle="Normal 2"/>
    <tableColumn id="14909" xr3:uid="{48960C30-C890-49AF-A09A-3727FAB19330}" name="Column14894" dataCellStyle="Normal 2"/>
    <tableColumn id="14910" xr3:uid="{72C9D159-E1E9-4464-B8A4-7A0141CE8195}" name="Column14895" dataCellStyle="Normal 2"/>
    <tableColumn id="14911" xr3:uid="{BFA157FE-0DE8-491F-B009-72775E00451A}" name="Column14896" dataCellStyle="Normal 2"/>
    <tableColumn id="14912" xr3:uid="{F13525FE-8C83-476F-981A-487FA94D4FDA}" name="Column14897" dataCellStyle="Normal 2"/>
    <tableColumn id="14913" xr3:uid="{DE01C677-2323-4103-A044-0A295EB5DCD7}" name="Column14898" dataCellStyle="Normal 2"/>
    <tableColumn id="14914" xr3:uid="{4C3EDF8C-4B36-4391-81E8-AE4B47F6F41C}" name="Column14899" dataCellStyle="Normal 2"/>
    <tableColumn id="14915" xr3:uid="{96EEC605-8064-4C04-A2C4-1EAC5E7715F9}" name="Column14900" dataCellStyle="Normal 2"/>
    <tableColumn id="14916" xr3:uid="{B61E4617-318F-409B-9F7E-B23F21853F2F}" name="Column14901" dataCellStyle="Normal 2"/>
    <tableColumn id="14917" xr3:uid="{D96CAA21-052B-4774-8425-912E1D05DFB5}" name="Column14902" dataCellStyle="Normal 2"/>
    <tableColumn id="14918" xr3:uid="{3745C68F-DBF5-4AFF-8ECE-2F60D9960E37}" name="Column14903" dataCellStyle="Normal 2"/>
    <tableColumn id="14919" xr3:uid="{B47BFAB5-859B-42A3-9215-DF6FA2329B45}" name="Column14904" dataCellStyle="Normal 2"/>
    <tableColumn id="14920" xr3:uid="{5721336D-AE99-4798-810E-59E3220B00CA}" name="Column14905" dataCellStyle="Normal 2"/>
    <tableColumn id="14921" xr3:uid="{9E1C7143-A106-48E5-9421-BBF826C9A8C8}" name="Column14906" dataCellStyle="Normal 2"/>
    <tableColumn id="14922" xr3:uid="{FCA4349F-F98F-4D76-A749-0897F20648AB}" name="Column14907" dataCellStyle="Normal 2"/>
    <tableColumn id="14923" xr3:uid="{DD046ACC-F632-4A5E-95BF-7F8F1FFFB16D}" name="Column14908" dataCellStyle="Normal 2"/>
    <tableColumn id="14924" xr3:uid="{15264647-6D09-46A5-8CFF-D8DF5EF318B0}" name="Column14909" dataCellStyle="Normal 2"/>
    <tableColumn id="14925" xr3:uid="{35A809AC-5EC7-49E6-B99B-2DE338B8C0D6}" name="Column14910" dataCellStyle="Normal 2"/>
    <tableColumn id="14926" xr3:uid="{3D2995D7-C73F-419E-826A-E7B90E3C0C7C}" name="Column14911" dataCellStyle="Normal 2"/>
    <tableColumn id="14927" xr3:uid="{1CCE3053-5BD1-4856-B02E-A33EFD798F8C}" name="Column14912" dataCellStyle="Normal 2"/>
    <tableColumn id="14928" xr3:uid="{DA9FF3EE-2B7B-48BD-9917-753B47DB37BD}" name="Column14913" dataCellStyle="Normal 2"/>
    <tableColumn id="14929" xr3:uid="{B20C7577-85EE-480D-BA30-A9E288774DF0}" name="Column14914" dataCellStyle="Normal 2"/>
    <tableColumn id="14930" xr3:uid="{AA04F5F7-1330-4F58-88AD-9038B94534DF}" name="Column14915" dataCellStyle="Normal 2"/>
    <tableColumn id="14931" xr3:uid="{EC2B4258-9C12-4DFA-A348-A9B8E81B6967}" name="Column14916" dataCellStyle="Normal 2"/>
    <tableColumn id="14932" xr3:uid="{33940C04-1838-45D6-852B-2A3B462E5958}" name="Column14917" dataCellStyle="Normal 2"/>
    <tableColumn id="14933" xr3:uid="{990F6865-BD76-41DC-BF18-29FE476B2924}" name="Column14918" dataCellStyle="Normal 2"/>
    <tableColumn id="14934" xr3:uid="{2B88AABF-6851-4275-8558-DDCA837DEF5A}" name="Column14919" dataCellStyle="Normal 2"/>
    <tableColumn id="14935" xr3:uid="{B88AEDE2-6794-44B4-A617-3A839FAA6A79}" name="Column14920" dataCellStyle="Normal 2"/>
    <tableColumn id="14936" xr3:uid="{DFE074A3-494B-46EA-A157-5A31FEFCA825}" name="Column14921" dataCellStyle="Normal 2"/>
    <tableColumn id="14937" xr3:uid="{5D5AF0BD-D5F5-4A54-8BAC-45C5B73A702E}" name="Column14922" dataCellStyle="Normal 2"/>
    <tableColumn id="14938" xr3:uid="{1E27961A-AA35-46B5-B924-6FF243AA2FA9}" name="Column14923" dataCellStyle="Normal 2"/>
    <tableColumn id="14939" xr3:uid="{6D594534-959F-4842-99EF-AAB5F24C1ED2}" name="Column14924" dataCellStyle="Normal 2"/>
    <tableColumn id="14940" xr3:uid="{5244BE53-623C-4240-8DDC-EA384438A76E}" name="Column14925" dataCellStyle="Normal 2"/>
    <tableColumn id="14941" xr3:uid="{0418691A-E99A-48B6-B25B-762C28432935}" name="Column14926" dataCellStyle="Normal 2"/>
    <tableColumn id="14942" xr3:uid="{BA5110CB-C040-459E-8D81-E7739A740C02}" name="Column14927" dataCellStyle="Normal 2"/>
    <tableColumn id="14943" xr3:uid="{81E615C5-BECE-4FA5-B489-0973AA3D7726}" name="Column14928" dataCellStyle="Normal 2"/>
    <tableColumn id="14944" xr3:uid="{2149C907-78E6-4DB9-BBAF-26B0171DB6AD}" name="Column14929" dataCellStyle="Normal 2"/>
    <tableColumn id="14945" xr3:uid="{BA2DA418-7EFE-49A4-87CD-7B4A27269724}" name="Column14930" dataCellStyle="Normal 2"/>
    <tableColumn id="14946" xr3:uid="{807A95D4-F462-4779-90B0-6B47C0FD5A3E}" name="Column14931" dataCellStyle="Normal 2"/>
    <tableColumn id="14947" xr3:uid="{91F257AA-7D0F-4186-94E7-AC9C64707BCE}" name="Column14932" dataCellStyle="Normal 2"/>
    <tableColumn id="14948" xr3:uid="{A8981DF9-CF22-489F-81F3-4CCE55FE27A5}" name="Column14933" dataCellStyle="Normal 2"/>
    <tableColumn id="14949" xr3:uid="{A6788A29-5327-4F5D-8513-96A1AEF15683}" name="Column14934" dataCellStyle="Normal 2"/>
    <tableColumn id="14950" xr3:uid="{10571EA7-CCDF-4A92-8251-D5100253B6CA}" name="Column14935" dataCellStyle="Normal 2"/>
    <tableColumn id="14951" xr3:uid="{30A3C47F-5DAB-4DD0-B20E-5C6A402BE2C1}" name="Column14936" dataCellStyle="Normal 2"/>
    <tableColumn id="14952" xr3:uid="{FBDFD7A3-E43B-4E62-977D-5349C0DDECBC}" name="Column14937" dataCellStyle="Normal 2"/>
    <tableColumn id="14953" xr3:uid="{3171BF11-6B74-434B-83A7-68DE54A0AA01}" name="Column14938" dataCellStyle="Normal 2"/>
    <tableColumn id="14954" xr3:uid="{D74ABBF0-068D-487A-8652-2163B4C845B2}" name="Column14939" dataCellStyle="Normal 2"/>
    <tableColumn id="14955" xr3:uid="{BB675246-06E6-44B7-872A-5790F38FA78E}" name="Column14940" dataCellStyle="Normal 2"/>
    <tableColumn id="14956" xr3:uid="{1E3A0427-58DD-447E-9E76-58BAC90EC6A2}" name="Column14941" dataCellStyle="Normal 2"/>
    <tableColumn id="14957" xr3:uid="{9E0F16DD-1F55-4AB7-800B-BF485B804B1E}" name="Column14942" dataCellStyle="Normal 2"/>
    <tableColumn id="14958" xr3:uid="{F3FF938D-BFCF-43DA-BB99-95AD82A04EBC}" name="Column14943" dataCellStyle="Normal 2"/>
    <tableColumn id="14959" xr3:uid="{60B67CAE-05FD-43B1-B5C8-F3AC08946BBB}" name="Column14944" dataCellStyle="Normal 2"/>
    <tableColumn id="14960" xr3:uid="{000F46B7-168A-40AE-A02A-4FE67419DF90}" name="Column14945" dataCellStyle="Normal 2"/>
    <tableColumn id="14961" xr3:uid="{6DF650C7-6045-4891-85A3-7C9577857C59}" name="Column14946" dataCellStyle="Normal 2"/>
    <tableColumn id="14962" xr3:uid="{D1AADE9B-1ED0-49C3-A0B2-54369FB0E195}" name="Column14947" dataCellStyle="Normal 2"/>
    <tableColumn id="14963" xr3:uid="{3E076EF8-067C-445C-8DCE-E295189B241F}" name="Column14948" dataCellStyle="Normal 2"/>
    <tableColumn id="14964" xr3:uid="{E28570D2-51F0-41D0-8189-EC58A0C5473C}" name="Column14949" dataCellStyle="Normal 2"/>
    <tableColumn id="14965" xr3:uid="{41CFD42C-5196-4817-99FD-AAF094C681F5}" name="Column14950" dataCellStyle="Normal 2"/>
    <tableColumn id="14966" xr3:uid="{21E96236-A949-4EAD-AEF9-3D497CF8F271}" name="Column14951" dataCellStyle="Normal 2"/>
    <tableColumn id="14967" xr3:uid="{FB4072C6-F7A1-48B0-BF8D-774E7357884C}" name="Column14952" dataCellStyle="Normal 2"/>
    <tableColumn id="14968" xr3:uid="{FF5F52C0-7303-4C07-A732-A2DCC4C1B7E2}" name="Column14953" dataCellStyle="Normal 2"/>
    <tableColumn id="14969" xr3:uid="{DF66021D-BFED-4BE4-AE98-ED0EAA9B861D}" name="Column14954" dataCellStyle="Normal 2"/>
    <tableColumn id="14970" xr3:uid="{71011E88-3888-4AB5-A91A-0C67DB006FCD}" name="Column14955" dataCellStyle="Normal 2"/>
    <tableColumn id="14971" xr3:uid="{E9424610-69CA-4EA1-BA34-9876315BD0B3}" name="Column14956" dataCellStyle="Normal 2"/>
    <tableColumn id="14972" xr3:uid="{DFE7D3DA-2AFE-4C73-ACC7-6C8200111A2E}" name="Column14957" dataCellStyle="Normal 2"/>
    <tableColumn id="14973" xr3:uid="{86E226D3-B593-4C11-A51C-2F5BAD38C1EA}" name="Column14958" dataCellStyle="Normal 2"/>
    <tableColumn id="14974" xr3:uid="{261FD0C5-4C5D-4391-B328-D01BC86C3200}" name="Column14959" dataCellStyle="Normal 2"/>
    <tableColumn id="14975" xr3:uid="{1C2603E7-1F52-49C2-B483-BB1A6A114BBE}" name="Column14960" dataCellStyle="Normal 2"/>
    <tableColumn id="14976" xr3:uid="{F8D21B81-4BA3-4EF1-A0F0-3156A4452518}" name="Column14961" dataCellStyle="Normal 2"/>
    <tableColumn id="14977" xr3:uid="{C0AEA1F1-421C-4C78-B709-322793B0C094}" name="Column14962" dataCellStyle="Normal 2"/>
    <tableColumn id="14978" xr3:uid="{05E82966-EF77-4DFC-80D0-4727FD30334E}" name="Column14963" dataCellStyle="Normal 2"/>
    <tableColumn id="14979" xr3:uid="{7DBFA4E8-E067-427E-A54A-558E8CF28895}" name="Column14964" dataCellStyle="Normal 2"/>
    <tableColumn id="14980" xr3:uid="{2CF11926-DD9B-43B1-926B-BD0148DF4858}" name="Column14965" dataCellStyle="Normal 2"/>
    <tableColumn id="14981" xr3:uid="{EB1FEFFA-A48A-48A3-A32B-B7DD7FFCFB8E}" name="Column14966" dataCellStyle="Normal 2"/>
    <tableColumn id="14982" xr3:uid="{53823EEC-B0E4-4565-BDDF-CA473DAB02FB}" name="Column14967" dataCellStyle="Normal 2"/>
    <tableColumn id="14983" xr3:uid="{D79D970F-2B42-424B-B6CE-8222C84A2673}" name="Column14968" dataCellStyle="Normal 2"/>
    <tableColumn id="14984" xr3:uid="{A20A9913-5E0C-44C6-B544-A2D7DB58C304}" name="Column14969" dataCellStyle="Normal 2"/>
    <tableColumn id="14985" xr3:uid="{676C9D94-5DCB-4912-AEBF-3B87BB966F13}" name="Column14970" dataCellStyle="Normal 2"/>
    <tableColumn id="14986" xr3:uid="{40990519-8EA1-46A9-8037-D2F4BDFA7ACF}" name="Column14971" dataCellStyle="Normal 2"/>
    <tableColumn id="14987" xr3:uid="{8578F249-D745-4916-97AD-550D81F4D767}" name="Column14972" dataCellStyle="Normal 2"/>
    <tableColumn id="14988" xr3:uid="{97C8CE5F-A54F-47F0-BEED-B1FAA4289C47}" name="Column14973" dataCellStyle="Normal 2"/>
    <tableColumn id="14989" xr3:uid="{1AF8FE9F-43DE-431C-AB56-A79FF3057EBF}" name="Column14974" dataCellStyle="Normal 2"/>
    <tableColumn id="14990" xr3:uid="{DB8CA0A9-8844-4949-8609-06EF59F0B4B8}" name="Column14975" dataCellStyle="Normal 2"/>
    <tableColumn id="14991" xr3:uid="{B6856ABA-DED1-412D-9199-338E1EA0A89F}" name="Column14976" dataCellStyle="Normal 2"/>
    <tableColumn id="14992" xr3:uid="{5178F399-741E-4C50-93F2-3C05179016AC}" name="Column14977" dataCellStyle="Normal 2"/>
    <tableColumn id="14993" xr3:uid="{9BDEC5B6-F03F-4278-B86F-C3C68463356F}" name="Column14978" dataCellStyle="Normal 2"/>
    <tableColumn id="14994" xr3:uid="{996B04EF-6ED6-4A16-BEF4-9D3B809332F4}" name="Column14979" dataCellStyle="Normal 2"/>
    <tableColumn id="14995" xr3:uid="{967EE6C3-7936-4774-8899-037043074FCF}" name="Column14980" dataCellStyle="Normal 2"/>
    <tableColumn id="14996" xr3:uid="{F2EFAB63-2F0E-40A5-AE39-344F5E461424}" name="Column14981" dataCellStyle="Normal 2"/>
    <tableColumn id="14997" xr3:uid="{D85BC69D-264D-44D8-BE40-16BD4B7AD48B}" name="Column14982" dataCellStyle="Normal 2"/>
    <tableColumn id="14998" xr3:uid="{9EA253E4-BB16-44B5-8B07-2E3D2A6DF17E}" name="Column14983" dataCellStyle="Normal 2"/>
    <tableColumn id="14999" xr3:uid="{FCE36765-75F0-4021-9880-6B618691411F}" name="Column14984" dataCellStyle="Normal 2"/>
    <tableColumn id="15000" xr3:uid="{4F1B961A-561A-4CE6-8D04-781E68998A62}" name="Column14985" dataCellStyle="Normal 2"/>
    <tableColumn id="15001" xr3:uid="{732AC2C1-0AC3-43DF-924E-7199F5C1B5C2}" name="Column14986" dataCellStyle="Normal 2"/>
    <tableColumn id="15002" xr3:uid="{2FCDDA8D-E470-411A-A762-ACAEA5A2C7C0}" name="Column14987" dataCellStyle="Normal 2"/>
    <tableColumn id="15003" xr3:uid="{C1CFE704-C853-4867-98B4-FFA7D36FF6A7}" name="Column14988" dataCellStyle="Normal 2"/>
    <tableColumn id="15004" xr3:uid="{C7D6DC6E-520C-4B98-B8EC-2C6DECD1AA81}" name="Column14989" dataCellStyle="Normal 2"/>
    <tableColumn id="15005" xr3:uid="{A8769E99-7A3A-4D85-9E3E-A06D4FFF62A8}" name="Column14990" dataCellStyle="Normal 2"/>
    <tableColumn id="15006" xr3:uid="{EAD5911C-B7C5-4A09-AA5B-AFAB1D628B46}" name="Column14991" dataCellStyle="Normal 2"/>
    <tableColumn id="15007" xr3:uid="{E9C8FDAA-36D2-4493-A4EE-3E89D01514D5}" name="Column14992" dataCellStyle="Normal 2"/>
    <tableColumn id="15008" xr3:uid="{B827A0CD-CFF7-4762-A988-4F8701187C8C}" name="Column14993" dataCellStyle="Normal 2"/>
    <tableColumn id="15009" xr3:uid="{C3783277-C323-4A24-B0DC-438F00962AE6}" name="Column14994" dataCellStyle="Normal 2"/>
    <tableColumn id="15010" xr3:uid="{74FC76A5-8E81-4B9A-AB9B-C4150907306D}" name="Column14995" dataCellStyle="Normal 2"/>
    <tableColumn id="15011" xr3:uid="{732048DC-3CC3-48B7-94BC-2CBC620814BD}" name="Column14996" dataCellStyle="Normal 2"/>
    <tableColumn id="15012" xr3:uid="{59ED6A31-BEEE-4C97-8A86-9AC37E17C9FD}" name="Column14997" dataCellStyle="Normal 2"/>
    <tableColumn id="15013" xr3:uid="{C43E1490-258C-426C-8F24-DB04A6B7D90A}" name="Column14998" dataCellStyle="Normal 2"/>
    <tableColumn id="15014" xr3:uid="{E6C08D3B-359F-4FAA-8492-509A51C19A47}" name="Column14999" dataCellStyle="Normal 2"/>
    <tableColumn id="15015" xr3:uid="{E2A1A4D4-9329-4816-89B9-14DAA02B7482}" name="Column15000" dataCellStyle="Normal 2"/>
    <tableColumn id="15016" xr3:uid="{14C7ABD5-8E5E-4A32-9B5C-3FAFDE209881}" name="Column15001" dataCellStyle="Normal 2"/>
    <tableColumn id="15017" xr3:uid="{215EC9C5-7D8F-4845-9231-4B4151619824}" name="Column15002" dataCellStyle="Normal 2"/>
    <tableColumn id="15018" xr3:uid="{C5D2E01F-6D9A-4105-BDC7-2FAF723F09FD}" name="Column15003" dataCellStyle="Normal 2"/>
    <tableColumn id="15019" xr3:uid="{488BE6AF-DF05-44A5-AEC9-539F2B1D3CD2}" name="Column15004" dataCellStyle="Normal 2"/>
    <tableColumn id="15020" xr3:uid="{DAAACC65-8B00-4D21-8ED4-2639329BD977}" name="Column15005" dataCellStyle="Normal 2"/>
    <tableColumn id="15021" xr3:uid="{4084AE86-7A45-4DAA-8B55-D213B09D83B7}" name="Column15006" dataCellStyle="Normal 2"/>
    <tableColumn id="15022" xr3:uid="{EFFC8E36-42F7-473D-88E1-D6A58E97E06B}" name="Column15007" dataCellStyle="Normal 2"/>
    <tableColumn id="15023" xr3:uid="{A9C71BB8-E2CD-46E8-9F1D-09302F3C2AD4}" name="Column15008" dataCellStyle="Normal 2"/>
    <tableColumn id="15024" xr3:uid="{CD5F7D51-D737-40B8-97CD-8B5EBEDE094E}" name="Column15009" dataCellStyle="Normal 2"/>
    <tableColumn id="15025" xr3:uid="{7D13DF38-8E41-40B0-BD82-D14C82F10439}" name="Column15010" dataCellStyle="Normal 2"/>
    <tableColumn id="15026" xr3:uid="{C59193FF-0C0A-4465-BDDD-0D482785C663}" name="Column15011" dataCellStyle="Normal 2"/>
    <tableColumn id="15027" xr3:uid="{655B0A48-48A3-45E0-9813-E45AC01F1575}" name="Column15012" dataCellStyle="Normal 2"/>
    <tableColumn id="15028" xr3:uid="{532C61C6-33C5-48B2-8BF6-E3C3672C7FFA}" name="Column15013" dataCellStyle="Normal 2"/>
    <tableColumn id="15029" xr3:uid="{7C1D6E42-8992-468B-95F6-C947710F8E15}" name="Column15014" dataCellStyle="Normal 2"/>
    <tableColumn id="15030" xr3:uid="{433AE5CC-DE84-42E3-A387-DB5E7333933E}" name="Column15015" dataCellStyle="Normal 2"/>
    <tableColumn id="15031" xr3:uid="{58A2F296-A5CA-4358-9EFD-CE612EBCCA1F}" name="Column15016" dataCellStyle="Normal 2"/>
    <tableColumn id="15032" xr3:uid="{35D40DC0-9F41-4DD1-8A49-47FBFD740930}" name="Column15017" dataCellStyle="Normal 2"/>
    <tableColumn id="15033" xr3:uid="{651A9F52-7CE4-4971-A0FB-5D03432A132C}" name="Column15018" dataCellStyle="Normal 2"/>
    <tableColumn id="15034" xr3:uid="{3FD48C4F-3709-4F77-98D0-6E8587E27247}" name="Column15019" dataCellStyle="Normal 2"/>
    <tableColumn id="15035" xr3:uid="{F187F3C0-AAA4-4D6D-A297-3A42C9A6D14E}" name="Column15020" dataCellStyle="Normal 2"/>
    <tableColumn id="15036" xr3:uid="{5706FB41-D90C-4FC6-87F0-F874164D744C}" name="Column15021" dataCellStyle="Normal 2"/>
    <tableColumn id="15037" xr3:uid="{71D6D38F-D21F-4867-9EAA-15171628377A}" name="Column15022" dataCellStyle="Normal 2"/>
    <tableColumn id="15038" xr3:uid="{7C3CCDE1-E3F4-4476-88A5-2E9E055B3E23}" name="Column15023" dataCellStyle="Normal 2"/>
    <tableColumn id="15039" xr3:uid="{9E1EA331-C84F-4BA4-BA2A-ABE5247B830C}" name="Column15024" dataCellStyle="Normal 2"/>
    <tableColumn id="15040" xr3:uid="{60DBD6FF-BCA9-4EC0-8BF7-FF4D98782975}" name="Column15025" dataCellStyle="Normal 2"/>
    <tableColumn id="15041" xr3:uid="{51379FC9-7560-4154-98DA-CD167F187CE6}" name="Column15026" dataCellStyle="Normal 2"/>
    <tableColumn id="15042" xr3:uid="{D130F96E-178E-4D06-92A1-9E343D97675A}" name="Column15027" dataCellStyle="Normal 2"/>
    <tableColumn id="15043" xr3:uid="{D666C826-7CE7-4C2F-83CF-88638FFA7383}" name="Column15028" dataCellStyle="Normal 2"/>
    <tableColumn id="15044" xr3:uid="{480F92BC-67E5-45DA-B187-A21BC4B1B047}" name="Column15029" dataCellStyle="Normal 2"/>
    <tableColumn id="15045" xr3:uid="{30FA8DD2-E3E6-4A21-B763-1C9A2AFE4ED3}" name="Column15030" dataCellStyle="Normal 2"/>
    <tableColumn id="15046" xr3:uid="{94E821BF-01AA-4B05-B047-F4EFB13DA79D}" name="Column15031" dataCellStyle="Normal 2"/>
    <tableColumn id="15047" xr3:uid="{0CF4C234-D921-4B84-851A-512EC69E760A}" name="Column15032" dataCellStyle="Normal 2"/>
    <tableColumn id="15048" xr3:uid="{E281A71E-9518-4B1B-BDC0-DBA3C1A9F4DB}" name="Column15033" dataCellStyle="Normal 2"/>
    <tableColumn id="15049" xr3:uid="{A6A250E0-F2B0-45CE-9F82-63C8FBDD0CB4}" name="Column15034" dataCellStyle="Normal 2"/>
    <tableColumn id="15050" xr3:uid="{F9E4529C-F650-486E-BEBD-615DA46AC5B2}" name="Column15035" dataCellStyle="Normal 2"/>
    <tableColumn id="15051" xr3:uid="{614DB3F0-FD00-4AB4-A32D-DC975BE5CD03}" name="Column15036" dataCellStyle="Normal 2"/>
    <tableColumn id="15052" xr3:uid="{279F998B-8A8C-4592-8A0E-B8A7391DAD33}" name="Column15037" dataCellStyle="Normal 2"/>
    <tableColumn id="15053" xr3:uid="{F6742553-9340-419B-901D-7DAE91E6C1D9}" name="Column15038" dataCellStyle="Normal 2"/>
    <tableColumn id="15054" xr3:uid="{2C36880F-A298-4E0C-B0C1-5BEA83C51E81}" name="Column15039" dataCellStyle="Normal 2"/>
    <tableColumn id="15055" xr3:uid="{467ED86C-EDE8-4A5B-9850-3BA9C9E21A35}" name="Column15040" dataCellStyle="Normal 2"/>
    <tableColumn id="15056" xr3:uid="{F10E6099-EFF2-4550-A117-340A5A6781C8}" name="Column15041" dataCellStyle="Normal 2"/>
    <tableColumn id="15057" xr3:uid="{EF4862F8-B420-4172-A2DB-8BEF391BA74D}" name="Column15042" dataCellStyle="Normal 2"/>
    <tableColumn id="15058" xr3:uid="{1A91F3C6-3D3D-4ABF-B4C7-9A78CF2C74D5}" name="Column15043" dataCellStyle="Normal 2"/>
    <tableColumn id="15059" xr3:uid="{1DA42DC3-6EAE-4A30-8512-ECB8340347C7}" name="Column15044" dataCellStyle="Normal 2"/>
    <tableColumn id="15060" xr3:uid="{3A41787D-2DB9-4A5A-A964-1D287FDA14EB}" name="Column15045" dataCellStyle="Normal 2"/>
    <tableColumn id="15061" xr3:uid="{9ACC00FC-BABE-4591-AB24-C001EE192D50}" name="Column15046" dataCellStyle="Normal 2"/>
    <tableColumn id="15062" xr3:uid="{D8A38C15-F8AD-454D-9DAC-9DA4E2EDE184}" name="Column15047" dataCellStyle="Normal 2"/>
    <tableColumn id="15063" xr3:uid="{74B3BF7A-9C17-4C23-8B2C-33BDEAAF118F}" name="Column15048" dataCellStyle="Normal 2"/>
    <tableColumn id="15064" xr3:uid="{7157F295-1D7B-4CAA-BE60-2F613C9ED868}" name="Column15049" dataCellStyle="Normal 2"/>
    <tableColumn id="15065" xr3:uid="{70AA3A08-C390-49C2-B5D2-65A2FD0E67E2}" name="Column15050" dataCellStyle="Normal 2"/>
    <tableColumn id="15066" xr3:uid="{D2D214F6-1FFC-44BD-A480-8B827CC505A2}" name="Column15051" dataCellStyle="Normal 2"/>
    <tableColumn id="15067" xr3:uid="{CB0FB873-604E-4C9A-873E-4CC91A964B31}" name="Column15052" dataCellStyle="Normal 2"/>
    <tableColumn id="15068" xr3:uid="{EFB0D96E-A101-4305-818A-D7049F8950E4}" name="Column15053" dataCellStyle="Normal 2"/>
    <tableColumn id="15069" xr3:uid="{C13F2F36-6812-45B3-87B1-65F3C8DC70BB}" name="Column15054" dataCellStyle="Normal 2"/>
    <tableColumn id="15070" xr3:uid="{22D99B88-A8A5-4B9D-B4FC-8C7CEBE4FC9D}" name="Column15055" dataCellStyle="Normal 2"/>
    <tableColumn id="15071" xr3:uid="{FC190D42-A736-4DA4-B968-75BD947305ED}" name="Column15056" dataCellStyle="Normal 2"/>
    <tableColumn id="15072" xr3:uid="{2BD217F6-31A4-4A52-B204-35C758CC2568}" name="Column15057" dataCellStyle="Normal 2"/>
    <tableColumn id="15073" xr3:uid="{B17D16A2-3A38-414D-A0E6-343546A81BB9}" name="Column15058" dataCellStyle="Normal 2"/>
    <tableColumn id="15074" xr3:uid="{856D700D-DD35-485E-A69D-259491BD1153}" name="Column15059" dataCellStyle="Normal 2"/>
    <tableColumn id="15075" xr3:uid="{B9A183CF-7027-4AC6-B1C3-A717274B653C}" name="Column15060" dataCellStyle="Normal 2"/>
    <tableColumn id="15076" xr3:uid="{BFA0776E-1F17-4A90-99E1-9E4C27EEAC10}" name="Column15061" dataCellStyle="Normal 2"/>
    <tableColumn id="15077" xr3:uid="{A9B88B19-67BD-45BF-A2A8-0F0C73452691}" name="Column15062" dataCellStyle="Normal 2"/>
    <tableColumn id="15078" xr3:uid="{A01A5F93-EE93-443A-9117-75C8E0719518}" name="Column15063" dataCellStyle="Normal 2"/>
    <tableColumn id="15079" xr3:uid="{D3E34CC4-623F-4101-B241-D126CCDFCDE3}" name="Column15064" dataCellStyle="Normal 2"/>
    <tableColumn id="15080" xr3:uid="{2F11AA97-E972-4242-A4DD-2FA84D37B129}" name="Column15065" dataCellStyle="Normal 2"/>
    <tableColumn id="15081" xr3:uid="{7357CFCD-6BBA-4B21-B477-718878D77D20}" name="Column15066" dataCellStyle="Normal 2"/>
    <tableColumn id="15082" xr3:uid="{67C34EE8-5A43-4F08-8FD1-C76797AB3A0A}" name="Column15067" dataCellStyle="Normal 2"/>
    <tableColumn id="15083" xr3:uid="{E2511665-46B2-4BA8-8507-D70FC5874C58}" name="Column15068" dataCellStyle="Normal 2"/>
    <tableColumn id="15084" xr3:uid="{9760C256-487B-4B85-9924-E6755A3C3A95}" name="Column15069" dataCellStyle="Normal 2"/>
    <tableColumn id="15085" xr3:uid="{611150C6-EDE0-4C87-8F6F-E7A1FA7C0BBC}" name="Column15070" dataCellStyle="Normal 2"/>
    <tableColumn id="15086" xr3:uid="{BA54D3F3-E8F4-4AD3-BF89-60C1B7902ABF}" name="Column15071" dataCellStyle="Normal 2"/>
    <tableColumn id="15087" xr3:uid="{4466C11C-95CD-4ED2-8823-4D894D5115C6}" name="Column15072" dataCellStyle="Normal 2"/>
    <tableColumn id="15088" xr3:uid="{7E2BE9F3-6627-4208-8C45-9C6E2016C54D}" name="Column15073" dataCellStyle="Normal 2"/>
    <tableColumn id="15089" xr3:uid="{542C4619-AC64-46A3-958F-433DCBF59F2E}" name="Column15074" dataCellStyle="Normal 2"/>
    <tableColumn id="15090" xr3:uid="{508F9419-156A-45A4-B97A-59840F7562E3}" name="Column15075" dataCellStyle="Normal 2"/>
    <tableColumn id="15091" xr3:uid="{47A0BCBC-30C5-4AB2-9D07-A8BBE31BBCC2}" name="Column15076" dataCellStyle="Normal 2"/>
    <tableColumn id="15092" xr3:uid="{E125FD48-4FCD-4E7B-88EB-05A2C4FF8A70}" name="Column15077" dataCellStyle="Normal 2"/>
    <tableColumn id="15093" xr3:uid="{6C17ACBD-A738-4AB2-B3F5-53537FA02B78}" name="Column15078" dataCellStyle="Normal 2"/>
    <tableColumn id="15094" xr3:uid="{609CE0A8-01FF-4C8F-AEDA-24F50ED841B6}" name="Column15079" dataCellStyle="Normal 2"/>
    <tableColumn id="15095" xr3:uid="{E49BC2B1-82B4-4B23-A0A9-607B75D527BB}" name="Column15080" dataCellStyle="Normal 2"/>
    <tableColumn id="15096" xr3:uid="{3E305F3F-2D11-4EB1-A8B2-F40D80879903}" name="Column15081" dataCellStyle="Normal 2"/>
    <tableColumn id="15097" xr3:uid="{B61AADC4-BDB6-46EF-8ADE-EF17D36A356D}" name="Column15082" dataCellStyle="Normal 2"/>
    <tableColumn id="15098" xr3:uid="{67179116-B250-4C1C-A37A-60F42615C753}" name="Column15083" dataCellStyle="Normal 2"/>
    <tableColumn id="15099" xr3:uid="{B694BFFE-0C6C-41B8-9F94-980E790C9C2D}" name="Column15084" dataCellStyle="Normal 2"/>
    <tableColumn id="15100" xr3:uid="{BF7C1C54-3D84-4705-8FB1-03A982C9B653}" name="Column15085" dataCellStyle="Normal 2"/>
    <tableColumn id="15101" xr3:uid="{600DDFFF-DD59-4BCC-A9AA-1CF5C9448346}" name="Column15086" dataCellStyle="Normal 2"/>
    <tableColumn id="15102" xr3:uid="{7A8A6B4A-F629-45D4-969C-ED0D21A7C2C7}" name="Column15087" dataCellStyle="Normal 2"/>
    <tableColumn id="15103" xr3:uid="{73D131F7-FACE-4AC8-B1BA-847407ABD0A9}" name="Column15088" dataCellStyle="Normal 2"/>
    <tableColumn id="15104" xr3:uid="{60F612EC-5F89-451C-A8E8-193A34F782D9}" name="Column15089" dataCellStyle="Normal 2"/>
    <tableColumn id="15105" xr3:uid="{07955D97-77DC-4079-B4FC-8FAC07F52EF5}" name="Column15090" dataCellStyle="Normal 2"/>
    <tableColumn id="15106" xr3:uid="{4FE139E1-F912-4222-8D63-84FAEEB2F83A}" name="Column15091" dataCellStyle="Normal 2"/>
    <tableColumn id="15107" xr3:uid="{18D7138A-F116-4679-817A-89D49014EAE2}" name="Column15092" dataCellStyle="Normal 2"/>
    <tableColumn id="15108" xr3:uid="{2CBC8BB8-4226-494F-9982-B5B0B92880F1}" name="Column15093" dataCellStyle="Normal 2"/>
    <tableColumn id="15109" xr3:uid="{5085884F-0528-4187-98F2-67CAA577FEB6}" name="Column15094" dataCellStyle="Normal 2"/>
    <tableColumn id="15110" xr3:uid="{517A2BEE-194A-4E43-9A74-1A101E393E9C}" name="Column15095" dataCellStyle="Normal 2"/>
    <tableColumn id="15111" xr3:uid="{4E393E8C-1852-4DDE-AAF1-DE07F3A3FC47}" name="Column15096" dataCellStyle="Normal 2"/>
    <tableColumn id="15112" xr3:uid="{1BE20997-C27E-435B-974B-E518B39064EB}" name="Column15097" dataCellStyle="Normal 2"/>
    <tableColumn id="15113" xr3:uid="{A05656B6-5372-444B-8FB9-F488FD95B34E}" name="Column15098" dataCellStyle="Normal 2"/>
    <tableColumn id="15114" xr3:uid="{EBC214C7-E0F3-456D-B7AD-3542ADE6D137}" name="Column15099" dataCellStyle="Normal 2"/>
    <tableColumn id="15115" xr3:uid="{AB02140A-30BD-40EB-961F-F2BCEEF5E318}" name="Column15100" dataCellStyle="Normal 2"/>
    <tableColumn id="15116" xr3:uid="{4FD483B8-99A1-4CD8-BFDF-447F777939F3}" name="Column15101" dataCellStyle="Normal 2"/>
    <tableColumn id="15117" xr3:uid="{6DCFD7A2-2486-4307-B6E7-ECED53B8DEA7}" name="Column15102" dataCellStyle="Normal 2"/>
    <tableColumn id="15118" xr3:uid="{03F5C5B1-97F5-463F-A419-4FB126635B15}" name="Column15103" dataCellStyle="Normal 2"/>
    <tableColumn id="15119" xr3:uid="{858FCAA4-227F-454D-A6A3-680B06D6B63D}" name="Column15104" dataCellStyle="Normal 2"/>
    <tableColumn id="15120" xr3:uid="{65F8BFE3-066B-421A-A62A-F85E538774FE}" name="Column15105" dataCellStyle="Normal 2"/>
    <tableColumn id="15121" xr3:uid="{A398D097-2BB9-4D53-A66F-42ED216A6863}" name="Column15106" dataCellStyle="Normal 2"/>
    <tableColumn id="15122" xr3:uid="{212F67CF-A749-4F2A-9357-0473F5521CF2}" name="Column15107" dataCellStyle="Normal 2"/>
    <tableColumn id="15123" xr3:uid="{4F84121B-0007-4F6C-B529-2BD50C21D54E}" name="Column15108" dataCellStyle="Normal 2"/>
    <tableColumn id="15124" xr3:uid="{C177F485-9F5A-42A4-9016-197EDC7CA608}" name="Column15109" dataCellStyle="Normal 2"/>
    <tableColumn id="15125" xr3:uid="{DC3023C7-448F-4B8E-BD40-2A51E51A0E79}" name="Column15110" dataCellStyle="Normal 2"/>
    <tableColumn id="15126" xr3:uid="{8AAD40B6-BDC1-4657-B8DA-340A89A94B38}" name="Column15111" dataCellStyle="Normal 2"/>
    <tableColumn id="15127" xr3:uid="{F697B4C6-0672-4DAA-84A9-3EDC12FBE1D4}" name="Column15112" dataCellStyle="Normal 2"/>
    <tableColumn id="15128" xr3:uid="{B3A89510-6957-481D-A3F1-11E7943EC821}" name="Column15113" dataCellStyle="Normal 2"/>
    <tableColumn id="15129" xr3:uid="{14CE7C64-2702-4DC9-8BC3-A1B5ED245D65}" name="Column15114" dataCellStyle="Normal 2"/>
    <tableColumn id="15130" xr3:uid="{43559919-31A9-401E-A609-E9F8C36A192F}" name="Column15115" dataCellStyle="Normal 2"/>
    <tableColumn id="15131" xr3:uid="{471B04BC-365F-42D3-A6C8-5CDA86B254C8}" name="Column15116" dataCellStyle="Normal 2"/>
    <tableColumn id="15132" xr3:uid="{C1DFE011-DA55-477C-8C97-895CD75B70F1}" name="Column15117" dataCellStyle="Normal 2"/>
    <tableColumn id="15133" xr3:uid="{471BA3BE-88E0-4FB3-AC9A-EB97A09093F0}" name="Column15118" dataCellStyle="Normal 2"/>
    <tableColumn id="15134" xr3:uid="{B8796427-5DD4-4DC4-9313-0621D1FA39CD}" name="Column15119" dataCellStyle="Normal 2"/>
    <tableColumn id="15135" xr3:uid="{2B16C2F5-4E5C-4029-A766-CC4BE4E66C4E}" name="Column15120" dataCellStyle="Normal 2"/>
    <tableColumn id="15136" xr3:uid="{F118EFF3-FC6E-4AA6-BB44-9A92F84B8117}" name="Column15121" dataCellStyle="Normal 2"/>
    <tableColumn id="15137" xr3:uid="{B1E7737F-F2FC-4FC0-B888-99C6277F2452}" name="Column15122" dataCellStyle="Normal 2"/>
    <tableColumn id="15138" xr3:uid="{3DD00B45-FD98-44B0-A504-E55A3343B228}" name="Column15123" dataCellStyle="Normal 2"/>
    <tableColumn id="15139" xr3:uid="{3AAEF434-4631-4D5E-8828-25CBDA8BBE32}" name="Column15124" dataCellStyle="Normal 2"/>
    <tableColumn id="15140" xr3:uid="{684AA0CB-3087-440C-81F9-FDFBB4B34AE6}" name="Column15125" dataCellStyle="Normal 2"/>
    <tableColumn id="15141" xr3:uid="{50D39A62-5A12-4662-83B3-9BBD3AB58DDE}" name="Column15126" dataCellStyle="Normal 2"/>
    <tableColumn id="15142" xr3:uid="{C8825281-3782-4450-9547-5EEC5D375C94}" name="Column15127" dataCellStyle="Normal 2"/>
    <tableColumn id="15143" xr3:uid="{6ED6B804-4A04-4DCA-BED2-A1DF8A87CB12}" name="Column15128" dataCellStyle="Normal 2"/>
    <tableColumn id="15144" xr3:uid="{17FA796B-E587-402E-8EB0-7FF960B50C61}" name="Column15129" dataCellStyle="Normal 2"/>
    <tableColumn id="15145" xr3:uid="{B3D5E9B0-5531-4F93-9C64-F8FFF15B3A37}" name="Column15130" dataCellStyle="Normal 2"/>
    <tableColumn id="15146" xr3:uid="{A90B1422-51F5-47A2-8D66-EE591DA35373}" name="Column15131" dataCellStyle="Normal 2"/>
    <tableColumn id="15147" xr3:uid="{C79A1604-4FA2-4DE8-8463-3F34481D3D08}" name="Column15132" dataCellStyle="Normal 2"/>
    <tableColumn id="15148" xr3:uid="{CE9FAF36-2C87-40DD-877D-4475FBBEE5F9}" name="Column15133" dataCellStyle="Normal 2"/>
    <tableColumn id="15149" xr3:uid="{21E15008-AFCA-42B6-B8C8-7835EA0AA5D9}" name="Column15134" dataCellStyle="Normal 2"/>
    <tableColumn id="15150" xr3:uid="{EF42DCAA-F50C-4134-B8FD-8E126DAAEF69}" name="Column15135" dataCellStyle="Normal 2"/>
    <tableColumn id="15151" xr3:uid="{72A7253A-18B5-4833-8EED-C7014610DAC9}" name="Column15136" dataCellStyle="Normal 2"/>
    <tableColumn id="15152" xr3:uid="{3F525327-3AF2-4414-8964-5485904C1D19}" name="Column15137" dataCellStyle="Normal 2"/>
    <tableColumn id="15153" xr3:uid="{2471A34B-3E6F-440D-8299-D3EB9E92C012}" name="Column15138" dataCellStyle="Normal 2"/>
    <tableColumn id="15154" xr3:uid="{5E2ECA6D-FE5F-4890-A224-9FDF9FD6421D}" name="Column15139" dataCellStyle="Normal 2"/>
    <tableColumn id="15155" xr3:uid="{E4B621E3-9A43-4A02-B1E3-45BF0BC80EEE}" name="Column15140" dataCellStyle="Normal 2"/>
    <tableColumn id="15156" xr3:uid="{E3AA1EDA-9E24-4253-A67B-07BAE22593A6}" name="Column15141" dataCellStyle="Normal 2"/>
    <tableColumn id="15157" xr3:uid="{91EC9563-EA06-48D8-8D1D-E391E83F291C}" name="Column15142" dataCellStyle="Normal 2"/>
    <tableColumn id="15158" xr3:uid="{2BD18F39-6736-464A-BBFF-E882F7BAAF9B}" name="Column15143" dataCellStyle="Normal 2"/>
    <tableColumn id="15159" xr3:uid="{8AFACAC0-8E1D-4C6B-ADA4-EE6E25B03223}" name="Column15144" dataCellStyle="Normal 2"/>
    <tableColumn id="15160" xr3:uid="{1A441299-52A8-4375-8520-199D136E20AE}" name="Column15145" dataCellStyle="Normal 2"/>
    <tableColumn id="15161" xr3:uid="{D858FEB3-4706-4C63-BC24-2BAF2D86B0A9}" name="Column15146" dataCellStyle="Normal 2"/>
    <tableColumn id="15162" xr3:uid="{0E4BD8F8-6633-42B6-A46E-27C8A9D00226}" name="Column15147" dataCellStyle="Normal 2"/>
    <tableColumn id="15163" xr3:uid="{9A57E694-2F89-435B-AD8F-46699EB3230A}" name="Column15148" dataCellStyle="Normal 2"/>
    <tableColumn id="15164" xr3:uid="{5BBC4044-A0F6-485E-8F36-AA2871670D97}" name="Column15149" dataCellStyle="Normal 2"/>
    <tableColumn id="15165" xr3:uid="{17A1240C-AFA9-4620-93D8-AF6CD8A9CE47}" name="Column15150" dataCellStyle="Normal 2"/>
    <tableColumn id="15166" xr3:uid="{D4EE5468-C073-4596-914E-0656C83F5BA1}" name="Column15151" dataCellStyle="Normal 2"/>
    <tableColumn id="15167" xr3:uid="{BAF71884-F7AB-4688-BFA4-9FE6D09001BE}" name="Column15152" dataCellStyle="Normal 2"/>
    <tableColumn id="15168" xr3:uid="{E5FB7976-ED90-4D04-BB8B-C407872EA5EA}" name="Column15153" dataCellStyle="Normal 2"/>
    <tableColumn id="15169" xr3:uid="{390DE6EC-7E59-43DC-A693-7E7FB2F9821C}" name="Column15154" dataCellStyle="Normal 2"/>
    <tableColumn id="15170" xr3:uid="{1BBA0A0C-31AD-47B4-B50D-B26FFB3D103A}" name="Column15155" dataCellStyle="Normal 2"/>
    <tableColumn id="15171" xr3:uid="{F6EA0AB9-AADF-493B-B40B-5AAFF245658B}" name="Column15156" dataCellStyle="Normal 2"/>
    <tableColumn id="15172" xr3:uid="{F1D3FD24-1471-4DB7-BB82-56694AA80FCE}" name="Column15157" dataCellStyle="Normal 2"/>
    <tableColumn id="15173" xr3:uid="{45D2F706-CB2E-4954-A25E-305B5CC6954A}" name="Column15158" dataCellStyle="Normal 2"/>
    <tableColumn id="15174" xr3:uid="{2EBBEEE4-58EE-47FD-9A6E-9D84E1E00EA0}" name="Column15159" dataCellStyle="Normal 2"/>
    <tableColumn id="15175" xr3:uid="{230AC2A8-C8BA-421A-9301-125EC32E3CA0}" name="Column15160" dataCellStyle="Normal 2"/>
    <tableColumn id="15176" xr3:uid="{A07342D4-7537-4EB7-A6BD-AD0F1392228E}" name="Column15161" dataCellStyle="Normal 2"/>
    <tableColumn id="15177" xr3:uid="{57F854C0-AD3D-4ADD-99AC-49E69054315D}" name="Column15162" dataCellStyle="Normal 2"/>
    <tableColumn id="15178" xr3:uid="{4D53F8A9-EFFD-4C52-AAC0-6B29C39D43C2}" name="Column15163" dataCellStyle="Normal 2"/>
    <tableColumn id="15179" xr3:uid="{A65CB0B0-8491-4280-9071-3810F1BBDAA0}" name="Column15164" dataCellStyle="Normal 2"/>
    <tableColumn id="15180" xr3:uid="{66FCC44E-9512-4D13-B925-EF61E81D5A3D}" name="Column15165" dataCellStyle="Normal 2"/>
    <tableColumn id="15181" xr3:uid="{71944BD6-D792-4032-83CC-96E6CABB393B}" name="Column15166" dataCellStyle="Normal 2"/>
    <tableColumn id="15182" xr3:uid="{15CE5DEA-45A6-495E-BB16-CAA540093D3B}" name="Column15167" dataCellStyle="Normal 2"/>
    <tableColumn id="15183" xr3:uid="{CEDA8B0C-CE9F-43A4-89B0-CFA931060EE5}" name="Column15168" dataCellStyle="Normal 2"/>
    <tableColumn id="15184" xr3:uid="{588E7312-1305-45BB-A5C9-773CFD939676}" name="Column15169" dataCellStyle="Normal 2"/>
    <tableColumn id="15185" xr3:uid="{A80D4E53-58D3-4E0C-9783-61F412F71C95}" name="Column15170" dataCellStyle="Normal 2"/>
    <tableColumn id="15186" xr3:uid="{14D4DA54-AB1E-4D43-B237-608D440B2AB0}" name="Column15171" dataCellStyle="Normal 2"/>
    <tableColumn id="15187" xr3:uid="{863FEB8F-2C46-4E2C-93D9-2EC9A8CB9B36}" name="Column15172" dataCellStyle="Normal 2"/>
    <tableColumn id="15188" xr3:uid="{ECC9DA51-0098-4DC4-92E0-0C40AA9A38D6}" name="Column15173" dataCellStyle="Normal 2"/>
    <tableColumn id="15189" xr3:uid="{D14C7486-0317-40AB-AA93-94FF2D891E16}" name="Column15174" dataCellStyle="Normal 2"/>
    <tableColumn id="15190" xr3:uid="{AA3919AC-D671-4C03-A940-837FB9482E72}" name="Column15175" dataCellStyle="Normal 2"/>
    <tableColumn id="15191" xr3:uid="{0249C7FD-3C2E-4C24-B058-761AEAC62310}" name="Column15176" dataCellStyle="Normal 2"/>
    <tableColumn id="15192" xr3:uid="{B548A467-13DC-4B5D-AC3A-D20997050229}" name="Column15177" dataCellStyle="Normal 2"/>
    <tableColumn id="15193" xr3:uid="{7DDA1723-7C04-49CD-A05C-F108E1B2EADE}" name="Column15178" dataCellStyle="Normal 2"/>
    <tableColumn id="15194" xr3:uid="{A584A5DF-B578-4DD5-8198-F1023A40D597}" name="Column15179" dataCellStyle="Normal 2"/>
    <tableColumn id="15195" xr3:uid="{20F8A55F-CB8C-454A-9CCE-B677C5B2CBC1}" name="Column15180" dataCellStyle="Normal 2"/>
    <tableColumn id="15196" xr3:uid="{5551A151-D30F-4646-84EF-A45CE7B10611}" name="Column15181" dataCellStyle="Normal 2"/>
    <tableColumn id="15197" xr3:uid="{1D5588BF-8F82-47D4-B510-DAA8F5591D13}" name="Column15182" dataCellStyle="Normal 2"/>
    <tableColumn id="15198" xr3:uid="{370F75CB-3DE5-4B1C-A151-BC680C777E26}" name="Column15183" dataCellStyle="Normal 2"/>
    <tableColumn id="15199" xr3:uid="{EF44A535-961B-4614-9A3E-208C014CFE2C}" name="Column15184" dataCellStyle="Normal 2"/>
    <tableColumn id="15200" xr3:uid="{BD7E91F5-F000-4C67-B869-EC9D1DCBECD4}" name="Column15185" dataCellStyle="Normal 2"/>
    <tableColumn id="15201" xr3:uid="{3A855157-7B9E-4806-98D7-F6FCCD1C27E6}" name="Column15186" dataCellStyle="Normal 2"/>
    <tableColumn id="15202" xr3:uid="{398981D8-C94C-4679-ADDB-19760C2EE400}" name="Column15187" dataCellStyle="Normal 2"/>
    <tableColumn id="15203" xr3:uid="{6BEB957D-E206-4469-8C1E-B33710392C06}" name="Column15188" dataCellStyle="Normal 2"/>
    <tableColumn id="15204" xr3:uid="{8DA036C5-F8FC-4842-83FA-2DB316B32448}" name="Column15189" dataCellStyle="Normal 2"/>
    <tableColumn id="15205" xr3:uid="{DE4AF6CB-452D-4545-BA98-8030290E0B10}" name="Column15190" dataCellStyle="Normal 2"/>
    <tableColumn id="15206" xr3:uid="{9117E223-5EE2-4502-82B0-7842BC543A7F}" name="Column15191" dataCellStyle="Normal 2"/>
    <tableColumn id="15207" xr3:uid="{C2C29C85-FE75-4174-8821-9FEDE5A7DA21}" name="Column15192" dataCellStyle="Normal 2"/>
    <tableColumn id="15208" xr3:uid="{4271EA9A-7721-44B3-9DA9-EBDFAF747CE0}" name="Column15193" dataCellStyle="Normal 2"/>
    <tableColumn id="15209" xr3:uid="{9D45A960-0249-4E86-934E-D4758D717BDE}" name="Column15194" dataCellStyle="Normal 2"/>
    <tableColumn id="15210" xr3:uid="{F9686F19-8E98-470A-BD54-092D1E7322A3}" name="Column15195" dataCellStyle="Normal 2"/>
    <tableColumn id="15211" xr3:uid="{EDAADB48-34C9-4F64-AD6D-4C7E6666F926}" name="Column15196" dataCellStyle="Normal 2"/>
    <tableColumn id="15212" xr3:uid="{227D9948-706D-436A-9EC9-FD3CE07E188C}" name="Column15197" dataCellStyle="Normal 2"/>
    <tableColumn id="15213" xr3:uid="{4C315FF6-22C1-4095-9CD3-A68EE62DA026}" name="Column15198" dataCellStyle="Normal 2"/>
    <tableColumn id="15214" xr3:uid="{F6407731-7349-4EED-8F8D-B2A60699BB98}" name="Column15199" dataCellStyle="Normal 2"/>
    <tableColumn id="15215" xr3:uid="{3C422D1B-E57F-4777-9113-A70AE2FB8AE7}" name="Column15200" dataCellStyle="Normal 2"/>
    <tableColumn id="15216" xr3:uid="{1469BADB-5453-4128-8C1B-322FCE8F8E5A}" name="Column15201" dataCellStyle="Normal 2"/>
    <tableColumn id="15217" xr3:uid="{D8C9F65E-ED60-43A4-BAF4-95B2714EAD3B}" name="Column15202" dataCellStyle="Normal 2"/>
    <tableColumn id="15218" xr3:uid="{82E66C74-8EF6-445C-9081-4814E2775650}" name="Column15203" dataCellStyle="Normal 2"/>
    <tableColumn id="15219" xr3:uid="{0B6D354F-2983-4B69-BE89-DA987996B338}" name="Column15204" dataCellStyle="Normal 2"/>
    <tableColumn id="15220" xr3:uid="{60A0F275-4F10-4FA4-AFDF-9265738529D2}" name="Column15205" dataCellStyle="Normal 2"/>
    <tableColumn id="15221" xr3:uid="{7F7E64E2-24BD-4FFC-BEFE-C88754A855F6}" name="Column15206" dataCellStyle="Normal 2"/>
    <tableColumn id="15222" xr3:uid="{A247669B-0ACA-4A5E-96AE-63A25916031A}" name="Column15207" dataCellStyle="Normal 2"/>
    <tableColumn id="15223" xr3:uid="{BE383058-7517-4BFC-9445-FDB7CB043D09}" name="Column15208" dataCellStyle="Normal 2"/>
    <tableColumn id="15224" xr3:uid="{096F9AA0-FA47-460B-89B9-65FAFDEABE3E}" name="Column15209" dataCellStyle="Normal 2"/>
    <tableColumn id="15225" xr3:uid="{87641A1D-9958-434F-9BCD-92D24B5AD8F9}" name="Column15210" dataCellStyle="Normal 2"/>
    <tableColumn id="15226" xr3:uid="{A54D6F10-FC98-4594-A806-6BCF601D2833}" name="Column15211" dataCellStyle="Normal 2"/>
    <tableColumn id="15227" xr3:uid="{A5171F06-A43A-4ECD-99CC-4EAAF2E50923}" name="Column15212" dataCellStyle="Normal 2"/>
    <tableColumn id="15228" xr3:uid="{4D7EA630-7418-4A10-8ECA-F3766317CD41}" name="Column15213" dataCellStyle="Normal 2"/>
    <tableColumn id="15229" xr3:uid="{CF58E59B-98D2-4EE4-848E-DC5356C87CAA}" name="Column15214" dataCellStyle="Normal 2"/>
    <tableColumn id="15230" xr3:uid="{D963036F-B7EB-4233-8892-373EF5FE2266}" name="Column15215" dataCellStyle="Normal 2"/>
    <tableColumn id="15231" xr3:uid="{3FEF4B05-5C5B-4972-8582-06CB62ACFA5C}" name="Column15216" dataCellStyle="Normal 2"/>
    <tableColumn id="15232" xr3:uid="{D436A13E-47E5-4186-96E6-595A90028BD0}" name="Column15217" dataCellStyle="Normal 2"/>
    <tableColumn id="15233" xr3:uid="{7D709668-C4DB-470E-A0D3-979FA80A6EA0}" name="Column15218" dataCellStyle="Normal 2"/>
    <tableColumn id="15234" xr3:uid="{1295B85A-9B78-4ABE-985B-580914EC5126}" name="Column15219" dataCellStyle="Normal 2"/>
    <tableColumn id="15235" xr3:uid="{649FE3A5-0928-42AE-9019-1B3E13626156}" name="Column15220" dataCellStyle="Normal 2"/>
    <tableColumn id="15236" xr3:uid="{5AE44718-7542-4EAB-A7C6-58FA7A832ECD}" name="Column15221" dataCellStyle="Normal 2"/>
    <tableColumn id="15237" xr3:uid="{53C4C867-F8C2-4AEC-B483-55265C0F9BE5}" name="Column15222" dataCellStyle="Normal 2"/>
    <tableColumn id="15238" xr3:uid="{29D67114-E186-41F3-AC58-92ED152E49DD}" name="Column15223" dataCellStyle="Normal 2"/>
    <tableColumn id="15239" xr3:uid="{54F7A5E7-CDB9-4169-BAF1-AE0B869B01A9}" name="Column15224" dataCellStyle="Normal 2"/>
    <tableColumn id="15240" xr3:uid="{907E7699-BD0C-4CFB-9856-ADF092EB7075}" name="Column15225" dataCellStyle="Normal 2"/>
    <tableColumn id="15241" xr3:uid="{28859448-5732-4BF0-8FE7-3481C8CDE959}" name="Column15226" dataCellStyle="Normal 2"/>
    <tableColumn id="15242" xr3:uid="{4D823F7C-B76C-4AC9-9FAD-F0C2530E5926}" name="Column15227" dataCellStyle="Normal 2"/>
    <tableColumn id="15243" xr3:uid="{D08E0D60-F537-45DB-8060-F0A44B32DAAD}" name="Column15228" dataCellStyle="Normal 2"/>
    <tableColumn id="15244" xr3:uid="{F2D6C89B-C49C-48F4-80AF-4E36236E966C}" name="Column15229" dataCellStyle="Normal 2"/>
    <tableColumn id="15245" xr3:uid="{01FCFF0E-B37D-4A0C-978F-5261C223DA8A}" name="Column15230" dataCellStyle="Normal 2"/>
    <tableColumn id="15246" xr3:uid="{B5D8F46D-534B-4E23-8AAE-EAE754086B49}" name="Column15231" dataCellStyle="Normal 2"/>
    <tableColumn id="15247" xr3:uid="{6051E54A-F37D-4DB6-B952-2FD5A0FBA0F6}" name="Column15232" dataCellStyle="Normal 2"/>
    <tableColumn id="15248" xr3:uid="{D6D79B34-8B92-41B1-A971-084EAEA5F692}" name="Column15233" dataCellStyle="Normal 2"/>
    <tableColumn id="15249" xr3:uid="{462E6C9B-8218-4FD0-A9C0-FC5B5F261692}" name="Column15234" dataCellStyle="Normal 2"/>
    <tableColumn id="15250" xr3:uid="{259D0B63-9CFF-4DB0-936F-5FA9A980B367}" name="Column15235" dataCellStyle="Normal 2"/>
    <tableColumn id="15251" xr3:uid="{CA7A3F5D-B7E8-46F7-B703-78E03494644F}" name="Column15236" dataCellStyle="Normal 2"/>
    <tableColumn id="15252" xr3:uid="{B950BE34-D8F7-4C72-920F-F0F47FE819A2}" name="Column15237" dataCellStyle="Normal 2"/>
    <tableColumn id="15253" xr3:uid="{81EC3409-121A-4C86-AA51-A8A6B027C08C}" name="Column15238" dataCellStyle="Normal 2"/>
    <tableColumn id="15254" xr3:uid="{FB41A5D4-D829-4EE8-A745-712D457979BF}" name="Column15239" dataCellStyle="Normal 2"/>
    <tableColumn id="15255" xr3:uid="{A0D8C1D6-DB83-45E5-9E29-BDA242918C24}" name="Column15240" dataCellStyle="Normal 2"/>
    <tableColumn id="15256" xr3:uid="{4E88350F-F949-4321-99A7-C78AFD9700AD}" name="Column15241" dataCellStyle="Normal 2"/>
    <tableColumn id="15257" xr3:uid="{9BBE9A88-711A-4F95-A336-1879A7CE91CA}" name="Column15242" dataCellStyle="Normal 2"/>
    <tableColumn id="15258" xr3:uid="{14D7CEB7-50BA-4E1F-B244-9B1859B59619}" name="Column15243" dataCellStyle="Normal 2"/>
    <tableColumn id="15259" xr3:uid="{698D7EC9-AB8E-425F-808C-0C7C7A4A8154}" name="Column15244" dataCellStyle="Normal 2"/>
    <tableColumn id="15260" xr3:uid="{F5F3F5E8-1739-48DC-9BFC-2586A6C3227E}" name="Column15245" dataCellStyle="Normal 2"/>
    <tableColumn id="15261" xr3:uid="{D55008A0-230D-4CF7-8F91-334AFBE54C03}" name="Column15246" dataCellStyle="Normal 2"/>
    <tableColumn id="15262" xr3:uid="{5F7ACFEB-3153-45C3-A21F-057B727584A2}" name="Column15247" dataCellStyle="Normal 2"/>
    <tableColumn id="15263" xr3:uid="{22F352E1-18DB-4F46-B63C-727BF916B6BA}" name="Column15248" dataCellStyle="Normal 2"/>
    <tableColumn id="15264" xr3:uid="{1D253C0C-CBD2-49F4-97D7-43D7D0B370A4}" name="Column15249" dataCellStyle="Normal 2"/>
    <tableColumn id="15265" xr3:uid="{FE754D05-F4B4-4490-947E-B02DD7848566}" name="Column15250" dataCellStyle="Normal 2"/>
    <tableColumn id="15266" xr3:uid="{CB267914-083E-47BB-A70F-573BF1CEFCA7}" name="Column15251" dataCellStyle="Normal 2"/>
    <tableColumn id="15267" xr3:uid="{9B22FDD8-A645-42EF-85F0-C436E1376DA1}" name="Column15252" dataCellStyle="Normal 2"/>
    <tableColumn id="15268" xr3:uid="{19D0FD75-4BB0-4CBE-A9AA-C5F9B6105A05}" name="Column15253" dataCellStyle="Normal 2"/>
    <tableColumn id="15269" xr3:uid="{BA2A6A60-E5F2-4CEC-8FA7-05E4CACD6030}" name="Column15254" dataCellStyle="Normal 2"/>
    <tableColumn id="15270" xr3:uid="{5B73B8CD-0B52-4149-8457-4ACC601C9BF1}" name="Column15255" dataCellStyle="Normal 2"/>
    <tableColumn id="15271" xr3:uid="{EAA84664-DEA4-4F29-9D0D-1525ADC697B9}" name="Column15256" dataCellStyle="Normal 2"/>
    <tableColumn id="15272" xr3:uid="{1B8A9AF2-82BB-4F0A-8BEA-238CA720C7FA}" name="Column15257" dataCellStyle="Normal 2"/>
    <tableColumn id="15273" xr3:uid="{023B2AD1-8318-49F7-9D4F-47444B8C9256}" name="Column15258" dataCellStyle="Normal 2"/>
    <tableColumn id="15274" xr3:uid="{0825B4ED-E92D-497B-B7EB-C27B3A6D2777}" name="Column15259" dataCellStyle="Normal 2"/>
    <tableColumn id="15275" xr3:uid="{FC5A79E7-F4BC-4ED6-8E46-364E8A9684D9}" name="Column15260" dataCellStyle="Normal 2"/>
    <tableColumn id="15276" xr3:uid="{CECDE6B5-CEB6-42F9-BB81-01BE672756DE}" name="Column15261" dataCellStyle="Normal 2"/>
    <tableColumn id="15277" xr3:uid="{86B7DA43-F60B-41D0-A8B2-A135D4EAC248}" name="Column15262" dataCellStyle="Normal 2"/>
    <tableColumn id="15278" xr3:uid="{044DA576-ACDB-4C3C-B605-2537B4F90482}" name="Column15263" dataCellStyle="Normal 2"/>
    <tableColumn id="15279" xr3:uid="{C2B32D0C-45AA-43FF-A222-30A1978B4F1D}" name="Column15264" dataCellStyle="Normal 2"/>
    <tableColumn id="15280" xr3:uid="{88EBE01B-3671-413E-A8A5-4B2D669E0F69}" name="Column15265" dataCellStyle="Normal 2"/>
    <tableColumn id="15281" xr3:uid="{A1148078-DB8F-4689-9658-5A03EE359195}" name="Column15266" dataCellStyle="Normal 2"/>
    <tableColumn id="15282" xr3:uid="{0660B9AD-897D-4B51-AD91-8C0C1E5AF300}" name="Column15267" dataCellStyle="Normal 2"/>
    <tableColumn id="15283" xr3:uid="{4EFACA76-10CF-4BB5-91D3-E29AFC9E003D}" name="Column15268" dataCellStyle="Normal 2"/>
    <tableColumn id="15284" xr3:uid="{C0E781B2-F046-48FA-A58D-292591C976CA}" name="Column15269" dataCellStyle="Normal 2"/>
    <tableColumn id="15285" xr3:uid="{13F3CD42-E60B-4B3B-8962-237BE2A9EECE}" name="Column15270" dataCellStyle="Normal 2"/>
    <tableColumn id="15286" xr3:uid="{3D633411-EEEF-4338-98C0-1B3D37D23FF3}" name="Column15271" dataCellStyle="Normal 2"/>
    <tableColumn id="15287" xr3:uid="{F31A795D-81C8-4ADE-8500-A88809DC406E}" name="Column15272" dataCellStyle="Normal 2"/>
    <tableColumn id="15288" xr3:uid="{8AC38FFC-B45D-44F3-987F-E02C480036A7}" name="Column15273" dataCellStyle="Normal 2"/>
    <tableColumn id="15289" xr3:uid="{4907F274-36D3-421C-8F17-F47E09DEF969}" name="Column15274" dataCellStyle="Normal 2"/>
    <tableColumn id="15290" xr3:uid="{C99E1810-C82D-430C-83AD-803D2E0D1CDB}" name="Column15275" dataCellStyle="Normal 2"/>
    <tableColumn id="15291" xr3:uid="{9652F3B1-F346-4AC8-BAD9-D118ACEFF21A}" name="Column15276" dataCellStyle="Normal 2"/>
    <tableColumn id="15292" xr3:uid="{6E9775ED-39E6-4106-BE37-A662179B1288}" name="Column15277" dataCellStyle="Normal 2"/>
    <tableColumn id="15293" xr3:uid="{FC6C1B4C-1346-4E15-9EB4-1C14EDEC079F}" name="Column15278" dataCellStyle="Normal 2"/>
    <tableColumn id="15294" xr3:uid="{F9AEAEE3-6D1D-4ED5-9CC7-2517016EA43C}" name="Column15279" dataCellStyle="Normal 2"/>
    <tableColumn id="15295" xr3:uid="{11EC4CC1-9D0C-41A7-B4D5-CD4E1491C3BD}" name="Column15280" dataCellStyle="Normal 2"/>
    <tableColumn id="15296" xr3:uid="{60F6B9B0-9FC8-460B-A3A5-7E45678767C4}" name="Column15281" dataCellStyle="Normal 2"/>
    <tableColumn id="15297" xr3:uid="{7A7529C4-3DAE-48BB-BAE8-D7519BB49E5E}" name="Column15282" dataCellStyle="Normal 2"/>
    <tableColumn id="15298" xr3:uid="{8875425E-B04A-459B-B340-2B5012F0ABEE}" name="Column15283" dataCellStyle="Normal 2"/>
    <tableColumn id="15299" xr3:uid="{58070286-BB4D-4E10-8D24-59ACD3078D2E}" name="Column15284" dataCellStyle="Normal 2"/>
    <tableColumn id="15300" xr3:uid="{0742B011-3C55-4B17-9C9D-3AE1959D80C2}" name="Column15285" dataCellStyle="Normal 2"/>
    <tableColumn id="15301" xr3:uid="{D647BC42-234C-42AC-B4F0-8171232CAF70}" name="Column15286" dataCellStyle="Normal 2"/>
    <tableColumn id="15302" xr3:uid="{C730FB74-13A3-4A58-861D-1EAE766C1730}" name="Column15287" dataCellStyle="Normal 2"/>
    <tableColumn id="15303" xr3:uid="{B3DBFCDC-5C05-4361-BDFD-373E42664295}" name="Column15288" dataCellStyle="Normal 2"/>
    <tableColumn id="15304" xr3:uid="{576EC9D9-33F9-4E4D-9FC8-5D5CFEDD5EFD}" name="Column15289" dataCellStyle="Normal 2"/>
    <tableColumn id="15305" xr3:uid="{B06B2987-3F9B-430C-A1E2-FE77267E48EA}" name="Column15290" dataCellStyle="Normal 2"/>
    <tableColumn id="15306" xr3:uid="{DD51D629-31D8-4A79-A17E-9CA567F586E0}" name="Column15291" dataCellStyle="Normal 2"/>
    <tableColumn id="15307" xr3:uid="{9FD3639A-D04C-45FD-86E7-E49476E39B7B}" name="Column15292" dataCellStyle="Normal 2"/>
    <tableColumn id="15308" xr3:uid="{7C493343-E376-4188-9A94-139943DF3863}" name="Column15293" dataCellStyle="Normal 2"/>
    <tableColumn id="15309" xr3:uid="{3011A788-3E0C-42CB-A796-4024C35A18E9}" name="Column15294" dataCellStyle="Normal 2"/>
    <tableColumn id="15310" xr3:uid="{30D0F9A7-B1A4-4551-B021-4DD64D26A485}" name="Column15295" dataCellStyle="Normal 2"/>
    <tableColumn id="15311" xr3:uid="{2FC74D69-100D-4158-8843-EEAE3374C4A9}" name="Column15296" dataCellStyle="Normal 2"/>
    <tableColumn id="15312" xr3:uid="{4FB5CEF2-F8C2-449F-9C81-E5273B17ACEB}" name="Column15297" dataCellStyle="Normal 2"/>
    <tableColumn id="15313" xr3:uid="{7DF9E501-3C56-483B-B3C9-5959E1AFEAC8}" name="Column15298" dataCellStyle="Normal 2"/>
    <tableColumn id="15314" xr3:uid="{83599CF9-A16D-4AF4-93B3-9C37470F793F}" name="Column15299" dataCellStyle="Normal 2"/>
    <tableColumn id="15315" xr3:uid="{07A8C7AC-B74E-4919-820D-04F692CD6B38}" name="Column15300" dataCellStyle="Normal 2"/>
    <tableColumn id="15316" xr3:uid="{15D3AB90-711F-4473-89EC-0D2158AF700D}" name="Column15301" dataCellStyle="Normal 2"/>
    <tableColumn id="15317" xr3:uid="{6B88D67C-8143-49D8-A693-B4D4AB2C34E9}" name="Column15302" dataCellStyle="Normal 2"/>
    <tableColumn id="15318" xr3:uid="{E444CB37-9A63-413A-BE1D-2AC6D83E75B8}" name="Column15303" dataCellStyle="Normal 2"/>
    <tableColumn id="15319" xr3:uid="{499464B3-01ED-455E-97DD-6CC901C6DE70}" name="Column15304" dataCellStyle="Normal 2"/>
    <tableColumn id="15320" xr3:uid="{2F370E4F-627A-4FF3-A69C-D63167BB3E87}" name="Column15305" dataCellStyle="Normal 2"/>
    <tableColumn id="15321" xr3:uid="{CEA7EF88-D896-4646-9D78-3788AED0D58F}" name="Column15306" dataCellStyle="Normal 2"/>
    <tableColumn id="15322" xr3:uid="{4A378A24-F3B0-499E-BB05-77E57A3530EA}" name="Column15307" dataCellStyle="Normal 2"/>
    <tableColumn id="15323" xr3:uid="{B06D684F-5DCA-47D2-8784-87F85499EB91}" name="Column15308" dataCellStyle="Normal 2"/>
    <tableColumn id="15324" xr3:uid="{02925142-5C89-4C64-A3D9-7DAEAF589D1A}" name="Column15309" dataCellStyle="Normal 2"/>
    <tableColumn id="15325" xr3:uid="{CA3EF8F4-7310-42EA-BB93-B1937FF4945E}" name="Column15310" dataCellStyle="Normal 2"/>
    <tableColumn id="15326" xr3:uid="{FC569D57-FB8E-4FF7-A2FD-A6FA15F55460}" name="Column15311" dataCellStyle="Normal 2"/>
    <tableColumn id="15327" xr3:uid="{8384DA88-ABC8-4F0A-94FF-7215CE4BB03D}" name="Column15312" dataCellStyle="Normal 2"/>
    <tableColumn id="15328" xr3:uid="{F372108E-824D-47D9-9849-18FE654A3A08}" name="Column15313" dataCellStyle="Normal 2"/>
    <tableColumn id="15329" xr3:uid="{0F1BD626-AA69-47B1-AB39-19138AC331A9}" name="Column15314" dataCellStyle="Normal 2"/>
    <tableColumn id="15330" xr3:uid="{07166B8B-7E88-4877-A7A9-2C0D0BD65A9D}" name="Column15315" dataCellStyle="Normal 2"/>
    <tableColumn id="15331" xr3:uid="{6764720F-CB97-4A15-8949-5DE532774479}" name="Column15316" dataCellStyle="Normal 2"/>
    <tableColumn id="15332" xr3:uid="{50C22F2C-F78B-4F48-A1C4-CE41B6B761BC}" name="Column15317" dataCellStyle="Normal 2"/>
    <tableColumn id="15333" xr3:uid="{1257D67F-1FD7-42F7-B1E9-88BAF37A24F7}" name="Column15318" dataCellStyle="Normal 2"/>
    <tableColumn id="15334" xr3:uid="{1E5DB69A-1262-433C-9A6D-2D96DD1E8D99}" name="Column15319" dataCellStyle="Normal 2"/>
    <tableColumn id="15335" xr3:uid="{8145BFF0-D16A-447A-A9D7-83B7A0B5052A}" name="Column15320" dataCellStyle="Normal 2"/>
    <tableColumn id="15336" xr3:uid="{C16C0EF7-C53A-43B2-9ED5-61DDC3C74B62}" name="Column15321" dataCellStyle="Normal 2"/>
    <tableColumn id="15337" xr3:uid="{BE8CD2FD-5A80-46DC-AC3E-69CE8B8BD4D1}" name="Column15322" dataCellStyle="Normal 2"/>
    <tableColumn id="15338" xr3:uid="{98E0ACBC-8629-4FA4-977A-803C0F35959A}" name="Column15323" dataCellStyle="Normal 2"/>
    <tableColumn id="15339" xr3:uid="{6EA4CB2F-CAA3-4C1E-8748-B22B1AA0B434}" name="Column15324" dataCellStyle="Normal 2"/>
    <tableColumn id="15340" xr3:uid="{A609B282-8114-4CA1-BB0D-3A9D382154FF}" name="Column15325" dataCellStyle="Normal 2"/>
    <tableColumn id="15341" xr3:uid="{0724EC85-9C4A-469F-8FA7-07D1ECAB28C6}" name="Column15326" dataCellStyle="Normal 2"/>
    <tableColumn id="15342" xr3:uid="{847388E1-9B62-4CAF-9D39-41D87A72A609}" name="Column15327" dataCellStyle="Normal 2"/>
    <tableColumn id="15343" xr3:uid="{77727468-C606-418B-9CBB-11040DD59C88}" name="Column15328" dataCellStyle="Normal 2"/>
    <tableColumn id="15344" xr3:uid="{01D0E042-3DA2-41B3-9B44-38A0F2A45152}" name="Column15329" dataCellStyle="Normal 2"/>
    <tableColumn id="15345" xr3:uid="{85B38946-A39A-4400-9B71-FDD29948DB38}" name="Column15330" dataCellStyle="Normal 2"/>
    <tableColumn id="15346" xr3:uid="{FAAAD0AE-4690-442D-848F-E60D84FC969C}" name="Column15331" dataCellStyle="Normal 2"/>
    <tableColumn id="15347" xr3:uid="{788BFEDD-387B-4850-A833-991E38B1A290}" name="Column15332" dataCellStyle="Normal 2"/>
    <tableColumn id="15348" xr3:uid="{13D9AEA2-1DCD-42C1-9CA3-E2856206C6FA}" name="Column15333" dataCellStyle="Normal 2"/>
    <tableColumn id="15349" xr3:uid="{E027DB2B-53B8-414D-9350-3231FB4FE0B6}" name="Column15334" dataCellStyle="Normal 2"/>
    <tableColumn id="15350" xr3:uid="{B92FAB1D-2B6E-4E57-8CE7-4025F75EF9CE}" name="Column15335" dataCellStyle="Normal 2"/>
    <tableColumn id="15351" xr3:uid="{39C785BB-B8B3-43D3-8933-35A26E284D39}" name="Column15336" dataCellStyle="Normal 2"/>
    <tableColumn id="15352" xr3:uid="{F00B1613-79DE-4A5A-B376-398305AC0FF5}" name="Column15337" dataCellStyle="Normal 2"/>
    <tableColumn id="15353" xr3:uid="{056FA537-7E36-4D75-A45F-C66F13C9F18A}" name="Column15338" dataCellStyle="Normal 2"/>
    <tableColumn id="15354" xr3:uid="{D0700B23-55C3-4BE9-AF11-957F37A22133}" name="Column15339" dataCellStyle="Normal 2"/>
    <tableColumn id="15355" xr3:uid="{0CDBC004-A1A5-489D-A9C4-73205F862D7C}" name="Column15340" dataCellStyle="Normal 2"/>
    <tableColumn id="15356" xr3:uid="{6221B733-F463-4607-BD28-D46F12C93186}" name="Column15341" dataCellStyle="Normal 2"/>
    <tableColumn id="15357" xr3:uid="{202BF167-6AE2-454E-93C5-9844618408BD}" name="Column15342" dataCellStyle="Normal 2"/>
    <tableColumn id="15358" xr3:uid="{F6BC8894-CE57-4557-9145-6DC517546F60}" name="Column15343" dataCellStyle="Normal 2"/>
    <tableColumn id="15359" xr3:uid="{3B61A1FD-406A-47D7-8D42-40814020D89E}" name="Column15344" dataCellStyle="Normal 2"/>
    <tableColumn id="15360" xr3:uid="{07DC27AE-2B70-41E6-92A2-39C74CFAE83D}" name="Column15345" dataCellStyle="Normal 2"/>
    <tableColumn id="15361" xr3:uid="{02EFE0CA-5F2D-4F1E-BCF9-E37B296CB988}" name="Column15346" dataCellStyle="Normal 2"/>
    <tableColumn id="15362" xr3:uid="{1B1FCA15-9F5C-4D33-B93F-129CA9BE4520}" name="Column15347" dataCellStyle="Normal 2"/>
    <tableColumn id="15363" xr3:uid="{BC986154-C110-4D4D-AE0D-7D794F8212EE}" name="Column15348" dataCellStyle="Normal 2"/>
    <tableColumn id="15364" xr3:uid="{81BA1611-F518-4D1C-9C90-9D3432B2BCE9}" name="Column15349" dataCellStyle="Normal 2"/>
    <tableColumn id="15365" xr3:uid="{E6C8B5C2-604F-4FCD-AB54-0CC5B3638F1A}" name="Column15350" dataCellStyle="Normal 2"/>
    <tableColumn id="15366" xr3:uid="{C6A0E724-5EE1-4FA6-958F-32A312312429}" name="Column15351" dataCellStyle="Normal 2"/>
    <tableColumn id="15367" xr3:uid="{4488155A-CA1A-439B-A5EE-BBB77C9EF20D}" name="Column15352" dataCellStyle="Normal 2"/>
    <tableColumn id="15368" xr3:uid="{7F8CFB67-E643-4435-8290-35B7E7BEC8E1}" name="Column15353" dataCellStyle="Normal 2"/>
    <tableColumn id="15369" xr3:uid="{5399FA1D-1C70-439B-B6DF-DF546E0F792C}" name="Column15354" dataCellStyle="Normal 2"/>
    <tableColumn id="15370" xr3:uid="{32DF10CF-8AE4-46F6-B4EB-841740134714}" name="Column15355" dataCellStyle="Normal 2"/>
    <tableColumn id="15371" xr3:uid="{C209A0DF-2CDD-430F-BED7-B2FB4934E738}" name="Column15356" dataCellStyle="Normal 2"/>
    <tableColumn id="15372" xr3:uid="{F30485A9-BCF1-4B83-9063-7E5FA4278364}" name="Column15357" dataCellStyle="Normal 2"/>
    <tableColumn id="15373" xr3:uid="{7E701294-0AE6-4B4E-AF41-856B7A24589B}" name="Column15358" dataCellStyle="Normal 2"/>
    <tableColumn id="15374" xr3:uid="{1959F65B-A697-4E7E-BE3D-967DA6A60E60}" name="Column15359" dataCellStyle="Normal 2"/>
    <tableColumn id="15375" xr3:uid="{C58CD896-233C-4644-B127-04AC952AE7C0}" name="Column15360" dataCellStyle="Normal 2"/>
    <tableColumn id="15376" xr3:uid="{E98FA155-1D6C-4872-8FAC-D29B1973B9A4}" name="Column15361" dataCellStyle="Normal 2"/>
    <tableColumn id="15377" xr3:uid="{1921C3E6-48AE-450D-9D53-CB9A3E95274B}" name="Column15362" dataCellStyle="Normal 2"/>
    <tableColumn id="15378" xr3:uid="{E43E0351-4575-406D-9EF5-0ACB53BEFEBB}" name="Column15363" dataCellStyle="Normal 2"/>
    <tableColumn id="15379" xr3:uid="{C32DCA8A-EBDD-4039-8C70-C184B32D3DBF}" name="Column15364" dataCellStyle="Normal 2"/>
    <tableColumn id="15380" xr3:uid="{75635B30-67B9-49D9-8C15-C709001D8CD8}" name="Column15365" dataCellStyle="Normal 2"/>
    <tableColumn id="15381" xr3:uid="{6450F97B-1911-4506-A640-FE8E7D745E97}" name="Column15366" dataCellStyle="Normal 2"/>
    <tableColumn id="15382" xr3:uid="{AA1CDE4A-0333-49E7-92DA-B28AFE0BF9F5}" name="Column15367" dataCellStyle="Normal 2"/>
    <tableColumn id="15383" xr3:uid="{F3614D03-B5F9-4571-92FB-B34412E90F28}" name="Column15368" dataCellStyle="Normal 2"/>
    <tableColumn id="15384" xr3:uid="{3602FB0B-7AA9-4018-A67F-C794CF5F6AAD}" name="Column15369" dataCellStyle="Normal 2"/>
    <tableColumn id="15385" xr3:uid="{94ED9CAF-B4B0-4B58-AA07-5BE7216CEB1D}" name="Column15370" dataCellStyle="Normal 2"/>
    <tableColumn id="15386" xr3:uid="{C8924BD6-DCB6-44C7-857F-F521A90254C4}" name="Column15371" dataCellStyle="Normal 2"/>
    <tableColumn id="15387" xr3:uid="{08BE9A1D-13A3-4A46-9A87-3BB82D9E4247}" name="Column15372" dataCellStyle="Normal 2"/>
    <tableColumn id="15388" xr3:uid="{925B8095-1473-45CD-8B0E-8DC08761170C}" name="Column15373" dataCellStyle="Normal 2"/>
    <tableColumn id="15389" xr3:uid="{244E858B-FC84-4AE0-B743-4D7E35B9B194}" name="Column15374" dataCellStyle="Normal 2"/>
    <tableColumn id="15390" xr3:uid="{55CCD50B-85AD-4840-BE74-742B4B70244B}" name="Column15375" dataCellStyle="Normal 2"/>
    <tableColumn id="15391" xr3:uid="{9A113ABF-376A-4879-8E4B-C887C074B5AC}" name="Column15376" dataCellStyle="Normal 2"/>
    <tableColumn id="15392" xr3:uid="{F008D16F-A9C0-4C07-AF94-3604AF89A906}" name="Column15377" dataCellStyle="Normal 2"/>
    <tableColumn id="15393" xr3:uid="{93BF639E-1A57-4956-B7FD-5EF26FB52A61}" name="Column15378" dataCellStyle="Normal 2"/>
    <tableColumn id="15394" xr3:uid="{0D85A5C4-9048-4572-8712-3D0DAD499064}" name="Column15379" dataCellStyle="Normal 2"/>
    <tableColumn id="15395" xr3:uid="{1B52F4C1-1F79-4BF0-B188-C7E265ED9B19}" name="Column15380" dataCellStyle="Normal 2"/>
    <tableColumn id="15396" xr3:uid="{AEA34912-1942-4F43-8D13-A9A1CCB28A96}" name="Column15381" dataCellStyle="Normal 2"/>
    <tableColumn id="15397" xr3:uid="{05CB89DD-72EF-46CC-A08D-F7A549AD25D6}" name="Column15382" dataCellStyle="Normal 2"/>
    <tableColumn id="15398" xr3:uid="{1C439C8A-A003-49F8-9849-3E38F449152E}" name="Column15383" dataCellStyle="Normal 2"/>
    <tableColumn id="15399" xr3:uid="{7C5283C0-8D9F-4ACE-9457-B5FE430F341C}" name="Column15384" dataCellStyle="Normal 2"/>
    <tableColumn id="15400" xr3:uid="{2124CD71-BE45-426A-8709-29C5FD743F69}" name="Column15385" dataCellStyle="Normal 2"/>
    <tableColumn id="15401" xr3:uid="{6195255D-1A83-4133-9B84-6DE2FBF64EC2}" name="Column15386" dataCellStyle="Normal 2"/>
    <tableColumn id="15402" xr3:uid="{E226ED26-0365-44F3-B886-8DE42145542F}" name="Column15387" dataCellStyle="Normal 2"/>
    <tableColumn id="15403" xr3:uid="{F75EE65E-80C0-4E90-8234-2310786BA352}" name="Column15388" dataCellStyle="Normal 2"/>
    <tableColumn id="15404" xr3:uid="{5C297CE3-AE2A-4ECD-8D41-72C1C6E5DABD}" name="Column15389" dataCellStyle="Normal 2"/>
    <tableColumn id="15405" xr3:uid="{5108922A-AD38-4E91-ADCA-5E0785044DE6}" name="Column15390" dataCellStyle="Normal 2"/>
    <tableColumn id="15406" xr3:uid="{D5147555-F3A1-4521-B643-B2A1C34399C4}" name="Column15391" dataCellStyle="Normal 2"/>
    <tableColumn id="15407" xr3:uid="{F4A33B5E-4BC7-41BB-AB1A-31AD3947922A}" name="Column15392" dataCellStyle="Normal 2"/>
    <tableColumn id="15408" xr3:uid="{F378E8E2-C509-4254-B182-027B289D0A58}" name="Column15393" dataCellStyle="Normal 2"/>
    <tableColumn id="15409" xr3:uid="{5DB9F9A7-C1A4-47A6-8678-830E10C4B6DF}" name="Column15394" dataCellStyle="Normal 2"/>
    <tableColumn id="15410" xr3:uid="{C21DC9C0-BD15-48DA-9224-7A15A9C055CE}" name="Column15395" dataCellStyle="Normal 2"/>
    <tableColumn id="15411" xr3:uid="{488236A4-0420-4168-B3A2-87FF8FECE9C7}" name="Column15396" dataCellStyle="Normal 2"/>
    <tableColumn id="15412" xr3:uid="{7C66FC4E-2C40-4413-9593-24770CCD206F}" name="Column15397" dataCellStyle="Normal 2"/>
    <tableColumn id="15413" xr3:uid="{C8265BD8-B23C-47FC-B258-BD23A9AD51DB}" name="Column15398" dataCellStyle="Normal 2"/>
    <tableColumn id="15414" xr3:uid="{55681508-2BDB-426C-A69E-3DE912043169}" name="Column15399" dataCellStyle="Normal 2"/>
    <tableColumn id="15415" xr3:uid="{42EDD10F-6570-498F-A7E3-219DCD77F02E}" name="Column15400" dataCellStyle="Normal 2"/>
    <tableColumn id="15416" xr3:uid="{A4201791-7028-4EE3-9A90-4DC5B14A9A2E}" name="Column15401" dataCellStyle="Normal 2"/>
    <tableColumn id="15417" xr3:uid="{E293CF26-E98C-481F-94B8-AA9F06FF7310}" name="Column15402" dataCellStyle="Normal 2"/>
    <tableColumn id="15418" xr3:uid="{60D5E360-DEB3-4188-BAB6-B733E862C366}" name="Column15403" dataCellStyle="Normal 2"/>
    <tableColumn id="15419" xr3:uid="{EE7D861C-2C6F-4998-8130-6694AFEB3E38}" name="Column15404" dataCellStyle="Normal 2"/>
    <tableColumn id="15420" xr3:uid="{CE835B07-8FA2-4D48-947B-625C0EBD8E8E}" name="Column15405" dataCellStyle="Normal 2"/>
    <tableColumn id="15421" xr3:uid="{92992CE3-971A-415E-AE6C-873753BD554F}" name="Column15406" dataCellStyle="Normal 2"/>
    <tableColumn id="15422" xr3:uid="{4842DDA1-FF56-448C-BC74-EE42FE6FD791}" name="Column15407" dataCellStyle="Normal 2"/>
    <tableColumn id="15423" xr3:uid="{46C8092A-DD0B-4119-9A1E-8664FA2C8C59}" name="Column15408" dataCellStyle="Normal 2"/>
    <tableColumn id="15424" xr3:uid="{DE8D3A5A-D0AB-4EC3-935F-F5EF95B5CDBA}" name="Column15409" dataCellStyle="Normal 2"/>
    <tableColumn id="15425" xr3:uid="{7221023A-7410-4E48-A2C3-D07E34982907}" name="Column15410" dataCellStyle="Normal 2"/>
    <tableColumn id="15426" xr3:uid="{47D5287E-F4E3-47AA-9C6A-54EEC888BD6F}" name="Column15411" dataCellStyle="Normal 2"/>
    <tableColumn id="15427" xr3:uid="{AC347B72-13E4-4088-B0B9-E5FEBC0D603D}" name="Column15412" dataCellStyle="Normal 2"/>
    <tableColumn id="15428" xr3:uid="{AC19F2D4-0134-4BBE-8488-8A34798CE8EE}" name="Column15413" dataCellStyle="Normal 2"/>
    <tableColumn id="15429" xr3:uid="{35C5777C-4EE2-4D25-A5DF-111248966E3E}" name="Column15414" dataCellStyle="Normal 2"/>
    <tableColumn id="15430" xr3:uid="{42DCABB0-84B4-4B94-8E51-D2E3B6391FED}" name="Column15415" dataCellStyle="Normal 2"/>
    <tableColumn id="15431" xr3:uid="{A8617A4D-9CB4-4FBD-8ABC-7E30E976AB4A}" name="Column15416" dataCellStyle="Normal 2"/>
    <tableColumn id="15432" xr3:uid="{C1572726-C126-4EF9-BBBE-D56AFFAC8D1B}" name="Column15417" dataCellStyle="Normal 2"/>
    <tableColumn id="15433" xr3:uid="{3C271C11-6C25-49DC-9DF6-309C645F39B1}" name="Column15418" dataCellStyle="Normal 2"/>
    <tableColumn id="15434" xr3:uid="{3C2230F6-EE09-4108-929C-2F429BBB2944}" name="Column15419" dataCellStyle="Normal 2"/>
    <tableColumn id="15435" xr3:uid="{EBE847DF-541A-4334-B0AC-5548DBBFCBF5}" name="Column15420" dataCellStyle="Normal 2"/>
    <tableColumn id="15436" xr3:uid="{524E0E6F-AE96-451F-8227-025E92F2020C}" name="Column15421" dataCellStyle="Normal 2"/>
    <tableColumn id="15437" xr3:uid="{871E5233-C143-47AC-91D6-3037538818BD}" name="Column15422" dataCellStyle="Normal 2"/>
    <tableColumn id="15438" xr3:uid="{CE129CEC-A471-4690-9D05-8038733B3699}" name="Column15423" dataCellStyle="Normal 2"/>
    <tableColumn id="15439" xr3:uid="{FC85B0FD-808A-4181-A3EF-A200B2C85206}" name="Column15424" dataCellStyle="Normal 2"/>
    <tableColumn id="15440" xr3:uid="{3D1A412A-B239-4C95-B7A9-9452523FD5FE}" name="Column15425" dataCellStyle="Normal 2"/>
    <tableColumn id="15441" xr3:uid="{03864F60-094B-4CD6-9C72-CF4C0951EB3F}" name="Column15426" dataCellStyle="Normal 2"/>
    <tableColumn id="15442" xr3:uid="{1C29C390-0575-4C61-8307-249AE65BB10F}" name="Column15427" dataCellStyle="Normal 2"/>
    <tableColumn id="15443" xr3:uid="{ADC10E14-F4B7-4F3F-9BC9-BD6F3562727D}" name="Column15428" dataCellStyle="Normal 2"/>
    <tableColumn id="15444" xr3:uid="{82D98DB8-E595-4A95-B151-73EE3CBAEEB7}" name="Column15429" dataCellStyle="Normal 2"/>
    <tableColumn id="15445" xr3:uid="{D80373FD-64E1-4623-8B26-E1AC0573C6B3}" name="Column15430" dataCellStyle="Normal 2"/>
    <tableColumn id="15446" xr3:uid="{7697786A-BCB3-49D7-8DEE-D7304CD2F5AC}" name="Column15431" dataCellStyle="Normal 2"/>
    <tableColumn id="15447" xr3:uid="{ABCA3FA8-C924-4886-B3A2-77006FE59C77}" name="Column15432" dataCellStyle="Normal 2"/>
    <tableColumn id="15448" xr3:uid="{6EA90CF2-FBDC-4841-9A73-E51EE7797A16}" name="Column15433" dataCellStyle="Normal 2"/>
    <tableColumn id="15449" xr3:uid="{28FD7776-30E3-4334-957E-52158E85D48B}" name="Column15434" dataCellStyle="Normal 2"/>
    <tableColumn id="15450" xr3:uid="{2718A238-36EF-4FA6-8558-BB55A9EDC213}" name="Column15435" dataCellStyle="Normal 2"/>
    <tableColumn id="15451" xr3:uid="{F48D5EDC-87F4-4328-B7DA-62EDAB07C9F1}" name="Column15436" dataCellStyle="Normal 2"/>
    <tableColumn id="15452" xr3:uid="{F11BBE65-E1A8-4140-8E47-F3B02E35D74C}" name="Column15437" dataCellStyle="Normal 2"/>
    <tableColumn id="15453" xr3:uid="{48837BEB-9272-4C80-8E93-082905C08DBA}" name="Column15438" dataCellStyle="Normal 2"/>
    <tableColumn id="15454" xr3:uid="{BE461378-9B62-4D94-8E55-2F0F3B579451}" name="Column15439" dataCellStyle="Normal 2"/>
    <tableColumn id="15455" xr3:uid="{7C913DE9-A640-4E10-90C9-8C0BE4C9EEF3}" name="Column15440" dataCellStyle="Normal 2"/>
    <tableColumn id="15456" xr3:uid="{CD7F96EC-D488-49ED-9931-E29BB0CB07BB}" name="Column15441" dataCellStyle="Normal 2"/>
    <tableColumn id="15457" xr3:uid="{12A9529F-2C7D-4A50-9881-2129387AE57D}" name="Column15442" dataCellStyle="Normal 2"/>
    <tableColumn id="15458" xr3:uid="{6CC93770-3FAE-4245-896C-E808C5731E29}" name="Column15443" dataCellStyle="Normal 2"/>
    <tableColumn id="15459" xr3:uid="{9266F988-4C2D-42B0-95C6-4522D08C8E81}" name="Column15444" dataCellStyle="Normal 2"/>
    <tableColumn id="15460" xr3:uid="{D2AC04BD-B958-489E-B3E3-357F24C92A44}" name="Column15445" dataCellStyle="Normal 2"/>
    <tableColumn id="15461" xr3:uid="{8048F2B4-08BB-4A50-8405-0854C3C10AF2}" name="Column15446" dataCellStyle="Normal 2"/>
    <tableColumn id="15462" xr3:uid="{D0F7F01E-FFD5-4F13-97CA-BA528B6F59FB}" name="Column15447" dataCellStyle="Normal 2"/>
    <tableColumn id="15463" xr3:uid="{0F206D5B-98FC-4EE2-8A38-41821D2E5D4B}" name="Column15448" dataCellStyle="Normal 2"/>
    <tableColumn id="15464" xr3:uid="{EAE5AAB5-51E8-44DD-8CFA-AD16BA7DD452}" name="Column15449" dataCellStyle="Normal 2"/>
    <tableColumn id="15465" xr3:uid="{FBFF0899-931A-4DB8-A858-7F353B903610}" name="Column15450" dataCellStyle="Normal 2"/>
    <tableColumn id="15466" xr3:uid="{D81E87BE-F7C2-4A11-9F20-5F6F4F8F6AEA}" name="Column15451" dataCellStyle="Normal 2"/>
    <tableColumn id="15467" xr3:uid="{1FF4401A-9DF2-47A6-9938-CBC5318E5A86}" name="Column15452" dataCellStyle="Normal 2"/>
    <tableColumn id="15468" xr3:uid="{8161D1BD-276A-4C43-ABB9-AF49C72C457E}" name="Column15453" dataCellStyle="Normal 2"/>
    <tableColumn id="15469" xr3:uid="{B6309EE0-93AA-4FE1-B8EA-11123CBCD97F}" name="Column15454" dataCellStyle="Normal 2"/>
    <tableColumn id="15470" xr3:uid="{15123CCB-2048-44AF-9B60-1E37FA08BA38}" name="Column15455" dataCellStyle="Normal 2"/>
    <tableColumn id="15471" xr3:uid="{9F36B683-8CD8-4137-9EC5-E9FA063B55D9}" name="Column15456" dataCellStyle="Normal 2"/>
    <tableColumn id="15472" xr3:uid="{3EA624CB-5EDD-4C73-8C07-E5F997025E92}" name="Column15457" dataCellStyle="Normal 2"/>
    <tableColumn id="15473" xr3:uid="{3DA4E511-EC40-4D99-9452-2B209768ADCA}" name="Column15458" dataCellStyle="Normal 2"/>
    <tableColumn id="15474" xr3:uid="{ED933D78-A42B-4D14-8AFF-47405E0F1B91}" name="Column15459" dataCellStyle="Normal 2"/>
    <tableColumn id="15475" xr3:uid="{47A2B350-87DC-4DDF-BC5E-154D61922536}" name="Column15460" dataCellStyle="Normal 2"/>
    <tableColumn id="15476" xr3:uid="{4900BCAA-57C5-4490-8C97-042B52949BD3}" name="Column15461" dataCellStyle="Normal 2"/>
    <tableColumn id="15477" xr3:uid="{5C1D00B5-3F2F-4EF9-80A7-46D9D5439A24}" name="Column15462" dataCellStyle="Normal 2"/>
    <tableColumn id="15478" xr3:uid="{2ED7F530-4D3D-4265-A815-CEFB243EBB40}" name="Column15463" dataCellStyle="Normal 2"/>
    <tableColumn id="15479" xr3:uid="{DF87E950-2802-4FA1-8213-8E814C1D2B39}" name="Column15464" dataCellStyle="Normal 2"/>
    <tableColumn id="15480" xr3:uid="{A481E69B-0E96-44C4-B220-AC49F8C7883A}" name="Column15465" dataCellStyle="Normal 2"/>
    <tableColumn id="15481" xr3:uid="{22A0B367-CCF7-48E3-9D5D-28C340BBCE0A}" name="Column15466" dataCellStyle="Normal 2"/>
    <tableColumn id="15482" xr3:uid="{7DE52911-C0DB-4E0E-A6BE-D381C497997B}" name="Column15467" dataCellStyle="Normal 2"/>
    <tableColumn id="15483" xr3:uid="{88EA440B-FCFD-4423-8481-42FAEDC57D4A}" name="Column15468" dataCellStyle="Normal 2"/>
    <tableColumn id="15484" xr3:uid="{988EE841-C3DD-4C42-9EA4-992744293FF2}" name="Column15469" dataCellStyle="Normal 2"/>
    <tableColumn id="15485" xr3:uid="{116693D1-CEF6-4734-BC6F-B9C37EF335F6}" name="Column15470" dataCellStyle="Normal 2"/>
    <tableColumn id="15486" xr3:uid="{CA29A7C8-90BF-4B1D-BA53-C5BBB77D2AE4}" name="Column15471" dataCellStyle="Normal 2"/>
    <tableColumn id="15487" xr3:uid="{EE44F869-DA1E-4374-9FB8-DD4EA96C62B9}" name="Column15472" dataCellStyle="Normal 2"/>
    <tableColumn id="15488" xr3:uid="{EAC383DF-A88D-4E54-9304-385BB9C3144C}" name="Column15473" dataCellStyle="Normal 2"/>
    <tableColumn id="15489" xr3:uid="{5CBEEF11-0524-459F-B295-D15CDE6CE5D2}" name="Column15474" dataCellStyle="Normal 2"/>
    <tableColumn id="15490" xr3:uid="{E2ABA886-0323-4F7D-8E3D-11684775F4C8}" name="Column15475" dataCellStyle="Normal 2"/>
    <tableColumn id="15491" xr3:uid="{A09E2E26-AD9F-4D4F-9A3E-D4EE5DC4E8AC}" name="Column15476" dataCellStyle="Normal 2"/>
    <tableColumn id="15492" xr3:uid="{6A1806A9-BA1E-4A99-9DF1-7A49F9E1FAF0}" name="Column15477" dataCellStyle="Normal 2"/>
    <tableColumn id="15493" xr3:uid="{3FD6601A-6794-48F8-BF0A-B806B186731F}" name="Column15478" dataCellStyle="Normal 2"/>
    <tableColumn id="15494" xr3:uid="{933CD3A3-64DE-433C-AB45-D34CA74783B8}" name="Column15479" dataCellStyle="Normal 2"/>
    <tableColumn id="15495" xr3:uid="{26AB1B88-3F27-4C7D-A921-F7BD3E2DC23C}" name="Column15480" dataCellStyle="Normal 2"/>
    <tableColumn id="15496" xr3:uid="{9FBB6340-532B-4A60-BF4A-5FAD3D99679B}" name="Column15481" dataCellStyle="Normal 2"/>
    <tableColumn id="15497" xr3:uid="{F6E7F9C0-4C65-4A16-AE95-C59AF557A8E3}" name="Column15482" dataCellStyle="Normal 2"/>
    <tableColumn id="15498" xr3:uid="{7E9A7878-7B04-4AC4-8001-E39B7E6DB7DC}" name="Column15483" dataCellStyle="Normal 2"/>
    <tableColumn id="15499" xr3:uid="{8C4F6265-AC3D-4370-861D-336267D2FE88}" name="Column15484" dataCellStyle="Normal 2"/>
    <tableColumn id="15500" xr3:uid="{6A066ACC-ED6D-40FE-BF21-F356D98649DE}" name="Column15485" dataCellStyle="Normal 2"/>
    <tableColumn id="15501" xr3:uid="{29DF5070-6886-4C31-9F29-8D86C7EB4C0D}" name="Column15486" dataCellStyle="Normal 2"/>
    <tableColumn id="15502" xr3:uid="{97592D3C-9389-4900-8D86-AD83A60BE1C0}" name="Column15487" dataCellStyle="Normal 2"/>
    <tableColumn id="15503" xr3:uid="{9C38854D-EB61-478C-9ED6-DFCFF146185D}" name="Column15488" dataCellStyle="Normal 2"/>
    <tableColumn id="15504" xr3:uid="{FA47020C-C927-4930-B88B-4DB66C18EB69}" name="Column15489" dataCellStyle="Normal 2"/>
    <tableColumn id="15505" xr3:uid="{F72D902C-052D-4C0F-B1E2-F5B62B02BBE5}" name="Column15490" dataCellStyle="Normal 2"/>
    <tableColumn id="15506" xr3:uid="{A3583600-2C4D-4098-A9FA-24F799E1F312}" name="Column15491" dataCellStyle="Normal 2"/>
    <tableColumn id="15507" xr3:uid="{883DBE46-8728-419D-8E9B-BFA5C9E53750}" name="Column15492" dataCellStyle="Normal 2"/>
    <tableColumn id="15508" xr3:uid="{3E0FC95F-FA2D-4D38-99E5-82B3426098E0}" name="Column15493" dataCellStyle="Normal 2"/>
    <tableColumn id="15509" xr3:uid="{C05F3EE0-78CD-46BD-8C09-C70DFE902E87}" name="Column15494" dataCellStyle="Normal 2"/>
    <tableColumn id="15510" xr3:uid="{C0CECAB9-B178-436E-BC8D-DF1AF89092DA}" name="Column15495" dataCellStyle="Normal 2"/>
    <tableColumn id="15511" xr3:uid="{4BA96A4B-CF46-482A-AF13-73AB52723FEC}" name="Column15496" dataCellStyle="Normal 2"/>
    <tableColumn id="15512" xr3:uid="{13581EC7-C02C-458E-A2C7-21CA2CA51920}" name="Column15497" dataCellStyle="Normal 2"/>
    <tableColumn id="15513" xr3:uid="{E16C7BEB-D78E-498E-B909-BF646F6D046D}" name="Column15498" dataCellStyle="Normal 2"/>
    <tableColumn id="15514" xr3:uid="{23EF8BEF-E449-479F-82A0-0BF827D8D86C}" name="Column15499" dataCellStyle="Normal 2"/>
    <tableColumn id="15515" xr3:uid="{B1A5BC04-B98E-44C4-B0E0-EC535793279F}" name="Column15500" dataCellStyle="Normal 2"/>
    <tableColumn id="15516" xr3:uid="{84C76063-CAB3-419F-9497-2D0AD26536A0}" name="Column15501" dataCellStyle="Normal 2"/>
    <tableColumn id="15517" xr3:uid="{C373A162-856F-4C88-BCA6-E1FC44CD1617}" name="Column15502" dataCellStyle="Normal 2"/>
    <tableColumn id="15518" xr3:uid="{6455B589-AAC8-4DDF-9802-2E4289DEE090}" name="Column15503" dataCellStyle="Normal 2"/>
    <tableColumn id="15519" xr3:uid="{E9BF264E-0A63-4C51-B286-81A70309F895}" name="Column15504" dataCellStyle="Normal 2"/>
    <tableColumn id="15520" xr3:uid="{B79DA701-4DDE-49AC-A5BE-08515F860131}" name="Column15505" dataCellStyle="Normal 2"/>
    <tableColumn id="15521" xr3:uid="{7EAA4363-5399-4E2F-B029-42195A3BDA9C}" name="Column15506" dataCellStyle="Normal 2"/>
    <tableColumn id="15522" xr3:uid="{3AB8F75B-5F0E-4829-AE5B-5C35E878EE73}" name="Column15507" dataCellStyle="Normal 2"/>
    <tableColumn id="15523" xr3:uid="{8864FAFB-CD00-43F7-A685-19DB15151DA7}" name="Column15508" dataCellStyle="Normal 2"/>
    <tableColumn id="15524" xr3:uid="{4699D3F9-C8E5-4C3F-BB62-0A958F1DC371}" name="Column15509" dataCellStyle="Normal 2"/>
    <tableColumn id="15525" xr3:uid="{80808574-43BE-429C-B473-039B43C15155}" name="Column15510" dataCellStyle="Normal 2"/>
    <tableColumn id="15526" xr3:uid="{3F316BBA-D437-4DC9-9140-8B3703DD8207}" name="Column15511" dataCellStyle="Normal 2"/>
    <tableColumn id="15527" xr3:uid="{560DDC31-84AF-4090-A38F-393F3C5DC2AF}" name="Column15512" dataCellStyle="Normal 2"/>
    <tableColumn id="15528" xr3:uid="{4C68200A-D021-4694-A21B-6BDD195AEA54}" name="Column15513" dataCellStyle="Normal 2"/>
    <tableColumn id="15529" xr3:uid="{B73CE82B-91DD-4DB3-9DDB-5D9856BDEB48}" name="Column15514" dataCellStyle="Normal 2"/>
    <tableColumn id="15530" xr3:uid="{A93D4526-38FA-410D-AB25-365960581B09}" name="Column15515" dataCellStyle="Normal 2"/>
    <tableColumn id="15531" xr3:uid="{2CD512CC-DDE6-4F27-98CC-64997B7549E1}" name="Column15516" dataCellStyle="Normal 2"/>
    <tableColumn id="15532" xr3:uid="{B1ADEB98-1FFC-4B48-BB9A-6B7B94A38E6E}" name="Column15517" dataCellStyle="Normal 2"/>
    <tableColumn id="15533" xr3:uid="{89A881FA-4520-48E6-9E9C-EA0E9CA03613}" name="Column15518" dataCellStyle="Normal 2"/>
    <tableColumn id="15534" xr3:uid="{28E4FC45-1719-4C50-B051-52E73C294D31}" name="Column15519" dataCellStyle="Normal 2"/>
    <tableColumn id="15535" xr3:uid="{E3D734A9-403D-43FB-A311-A437F8639DBC}" name="Column15520" dataCellStyle="Normal 2"/>
    <tableColumn id="15536" xr3:uid="{0C3D56FE-BB69-4437-9529-0083B394BA42}" name="Column15521" dataCellStyle="Normal 2"/>
    <tableColumn id="15537" xr3:uid="{AE48DEBF-9319-46D8-A77A-A473A10450DA}" name="Column15522" dataCellStyle="Normal 2"/>
    <tableColumn id="15538" xr3:uid="{9764A505-D6B5-4EE6-9852-405E72C9F657}" name="Column15523" dataCellStyle="Normal 2"/>
    <tableColumn id="15539" xr3:uid="{636B8AB9-91E0-4EDE-8A0F-2597BB199B24}" name="Column15524" dataCellStyle="Normal 2"/>
    <tableColumn id="15540" xr3:uid="{8DCFAD6F-4068-40F6-BE15-7154A0285D8E}" name="Column15525" dataCellStyle="Normal 2"/>
    <tableColumn id="15541" xr3:uid="{8E8C3545-5421-4E1C-990D-CCB73D4D12D3}" name="Column15526" dataCellStyle="Normal 2"/>
    <tableColumn id="15542" xr3:uid="{498ED499-7D41-4592-BC89-6AA88F5832D0}" name="Column15527" dataCellStyle="Normal 2"/>
    <tableColumn id="15543" xr3:uid="{3CA1AD91-2262-40D1-BD61-4F38738BBC0B}" name="Column15528" dataCellStyle="Normal 2"/>
    <tableColumn id="15544" xr3:uid="{2D83F4AA-3FA0-4FFF-B2F4-2548B867152F}" name="Column15529" dataCellStyle="Normal 2"/>
    <tableColumn id="15545" xr3:uid="{F870A2E3-1218-41DD-9D7D-A62178A1312F}" name="Column15530" dataCellStyle="Normal 2"/>
    <tableColumn id="15546" xr3:uid="{03A88D1B-A4F9-4189-9720-D3E608D63636}" name="Column15531" dataCellStyle="Normal 2"/>
    <tableColumn id="15547" xr3:uid="{D02526AB-2057-4DF0-A0E4-77ED484F49B1}" name="Column15532" dataCellStyle="Normal 2"/>
    <tableColumn id="15548" xr3:uid="{3ECCBD8E-767D-4F15-B1E2-16E9E24CDE68}" name="Column15533" dataCellStyle="Normal 2"/>
    <tableColumn id="15549" xr3:uid="{A624B1C7-D285-4E71-B1B2-A7DE951ABF24}" name="Column15534" dataCellStyle="Normal 2"/>
    <tableColumn id="15550" xr3:uid="{E247DCC7-AB8E-4A38-84EA-DB95B8FC5B57}" name="Column15535" dataCellStyle="Normal 2"/>
    <tableColumn id="15551" xr3:uid="{5A09DCB7-6843-4C11-BF17-C61C53C2E869}" name="Column15536" dataCellStyle="Normal 2"/>
    <tableColumn id="15552" xr3:uid="{F4BCC458-447D-448E-9D87-F4E87FB8C8BE}" name="Column15537" dataCellStyle="Normal 2"/>
    <tableColumn id="15553" xr3:uid="{9E6A3596-8B86-4E50-980E-B617D26D0F1E}" name="Column15538" dataCellStyle="Normal 2"/>
    <tableColumn id="15554" xr3:uid="{EF456BC0-351B-4029-B3B9-82851ABA2EE4}" name="Column15539" dataCellStyle="Normal 2"/>
    <tableColumn id="15555" xr3:uid="{19D4924F-1002-4B59-A68E-FBFB5B083A37}" name="Column15540" dataCellStyle="Normal 2"/>
    <tableColumn id="15556" xr3:uid="{6FF7B2F3-E95F-48F1-B6ED-18D64317182F}" name="Column15541" dataCellStyle="Normal 2"/>
    <tableColumn id="15557" xr3:uid="{DF6A5007-7C3F-4E1D-9F31-FD67747F0128}" name="Column15542" dataCellStyle="Normal 2"/>
    <tableColumn id="15558" xr3:uid="{56D3877F-9900-433F-A1C3-AF0DB50FB494}" name="Column15543" dataCellStyle="Normal 2"/>
    <tableColumn id="15559" xr3:uid="{A0F399E9-741C-4824-8996-44D5457DC7B5}" name="Column15544" dataCellStyle="Normal 2"/>
    <tableColumn id="15560" xr3:uid="{CAC32815-87D5-44A4-B92C-787D08812717}" name="Column15545" dataCellStyle="Normal 2"/>
    <tableColumn id="15561" xr3:uid="{38EDE65E-BF8A-4FF6-BCC6-9A1A3BF5A2A1}" name="Column15546" dataCellStyle="Normal 2"/>
    <tableColumn id="15562" xr3:uid="{9905151D-0224-41B7-A11E-36E9539970EE}" name="Column15547" dataCellStyle="Normal 2"/>
    <tableColumn id="15563" xr3:uid="{9F72090E-39D8-413D-97B3-0D33CA66A109}" name="Column15548" dataCellStyle="Normal 2"/>
    <tableColumn id="15564" xr3:uid="{FDB7DFB9-6DBD-4302-B9FC-B60EA4742849}" name="Column15549" dataCellStyle="Normal 2"/>
    <tableColumn id="15565" xr3:uid="{125FBA09-BF12-495C-A221-9FE04FD989E2}" name="Column15550" dataCellStyle="Normal 2"/>
    <tableColumn id="15566" xr3:uid="{E66EDC68-BD5A-41B2-BA2F-E8494B4F8168}" name="Column15551" dataCellStyle="Normal 2"/>
    <tableColumn id="15567" xr3:uid="{9D6BFF1E-F386-43F1-A54A-37547DE44378}" name="Column15552" dataCellStyle="Normal 2"/>
    <tableColumn id="15568" xr3:uid="{7DA967D6-4A6A-4666-A347-868E13AF2654}" name="Column15553" dataCellStyle="Normal 2"/>
    <tableColumn id="15569" xr3:uid="{F414D966-3DE3-4953-8F92-8A6CE88EA242}" name="Column15554" dataCellStyle="Normal 2"/>
    <tableColumn id="15570" xr3:uid="{272F844C-DAB0-4F7D-9960-501BB96F2535}" name="Column15555" dataCellStyle="Normal 2"/>
    <tableColumn id="15571" xr3:uid="{28B3BFB7-50C0-4968-9F95-1865704DF5D0}" name="Column15556" dataCellStyle="Normal 2"/>
    <tableColumn id="15572" xr3:uid="{7BFFD413-5DD2-4E50-A904-E91CC69431AB}" name="Column15557" dataCellStyle="Normal 2"/>
    <tableColumn id="15573" xr3:uid="{138E6E69-1FAA-4C8E-8BC4-0186309BB587}" name="Column15558" dataCellStyle="Normal 2"/>
    <tableColumn id="15574" xr3:uid="{EA8194B9-FD76-4BF0-B7C6-D9F1E3075DBD}" name="Column15559" dataCellStyle="Normal 2"/>
    <tableColumn id="15575" xr3:uid="{86DE9E20-A40C-4DB3-A6FE-11296A16698A}" name="Column15560" dataCellStyle="Normal 2"/>
    <tableColumn id="15576" xr3:uid="{2D60B171-B085-4519-AEBD-840C1ACEC68B}" name="Column15561" dataCellStyle="Normal 2"/>
    <tableColumn id="15577" xr3:uid="{F83D19AF-A99F-4542-8A59-91FAC46E41B5}" name="Column15562" dataCellStyle="Normal 2"/>
    <tableColumn id="15578" xr3:uid="{6C2824D7-9690-476E-A0FE-CCF6F34A63D0}" name="Column15563" dataCellStyle="Normal 2"/>
    <tableColumn id="15579" xr3:uid="{565ED3B8-0144-474D-A537-764C84675124}" name="Column15564" dataCellStyle="Normal 2"/>
    <tableColumn id="15580" xr3:uid="{10AE29F2-25C4-4379-B3D3-C74F02FA67DC}" name="Column15565" dataCellStyle="Normal 2"/>
    <tableColumn id="15581" xr3:uid="{67F4EC29-A01D-452A-9D62-B45D254F9DE0}" name="Column15566" dataCellStyle="Normal 2"/>
    <tableColumn id="15582" xr3:uid="{DF5D7FE9-33C9-444B-A9D4-451ADEB0614B}" name="Column15567" dataCellStyle="Normal 2"/>
    <tableColumn id="15583" xr3:uid="{4B9E9F2C-C616-4A0E-8411-C18F1605EBA7}" name="Column15568" dataCellStyle="Normal 2"/>
    <tableColumn id="15584" xr3:uid="{24FC19F0-F8A5-4908-AA5D-A8D8C3113389}" name="Column15569" dataCellStyle="Normal 2"/>
    <tableColumn id="15585" xr3:uid="{E4A6F886-A271-4891-B150-27C9EF5DBDD3}" name="Column15570" dataCellStyle="Normal 2"/>
    <tableColumn id="15586" xr3:uid="{D048250B-9ADB-4FC0-90F4-AFB24C63716E}" name="Column15571" dataCellStyle="Normal 2"/>
    <tableColumn id="15587" xr3:uid="{0A4B6F92-94FC-4DB6-979D-AF7526C1D00F}" name="Column15572" dataCellStyle="Normal 2"/>
    <tableColumn id="15588" xr3:uid="{7CFDB503-1D04-4DE0-BD42-EE78B7D25108}" name="Column15573" dataCellStyle="Normal 2"/>
    <tableColumn id="15589" xr3:uid="{FAACDFEF-E161-44A8-9D3E-1E56791000FC}" name="Column15574" dataCellStyle="Normal 2"/>
    <tableColumn id="15590" xr3:uid="{6C84BAAC-1191-4C13-9435-070E52F72698}" name="Column15575" dataCellStyle="Normal 2"/>
    <tableColumn id="15591" xr3:uid="{EF2E0F91-AAC5-407A-ACC1-7E41051691C7}" name="Column15576" dataCellStyle="Normal 2"/>
    <tableColumn id="15592" xr3:uid="{E45E7542-87E6-416C-91B0-C61E1831755A}" name="Column15577" dataCellStyle="Normal 2"/>
    <tableColumn id="15593" xr3:uid="{02F3EBEE-D235-4547-9BD1-F591DEC8D5A2}" name="Column15578" dataCellStyle="Normal 2"/>
    <tableColumn id="15594" xr3:uid="{7CBCBA59-D7C6-4443-941D-4CEC5A984289}" name="Column15579" dataCellStyle="Normal 2"/>
    <tableColumn id="15595" xr3:uid="{31C803B2-C187-413F-BBBC-FF983267DD53}" name="Column15580" dataCellStyle="Normal 2"/>
    <tableColumn id="15596" xr3:uid="{BACB08D9-949D-413C-9ACE-B59FE44049EB}" name="Column15581" dataCellStyle="Normal 2"/>
    <tableColumn id="15597" xr3:uid="{FD49256E-CD41-4D1C-A69D-6B378A2921D8}" name="Column15582" dataCellStyle="Normal 2"/>
    <tableColumn id="15598" xr3:uid="{08AF952B-95AC-418C-9042-8E349F308305}" name="Column15583" dataCellStyle="Normal 2"/>
    <tableColumn id="15599" xr3:uid="{A3FE8253-7B6C-4A13-B0C8-A50B34AE929B}" name="Column15584" dataCellStyle="Normal 2"/>
    <tableColumn id="15600" xr3:uid="{93645137-4DEF-4696-A127-C27AE56AEC13}" name="Column15585" dataCellStyle="Normal 2"/>
    <tableColumn id="15601" xr3:uid="{64B8993A-6FB9-4E43-A1E0-53394C0E1303}" name="Column15586" dataCellStyle="Normal 2"/>
    <tableColumn id="15602" xr3:uid="{54D461A9-41AF-4803-99E7-1B3B1B255977}" name="Column15587" dataCellStyle="Normal 2"/>
    <tableColumn id="15603" xr3:uid="{C300DEE0-6BCA-492C-B14B-8966650B83B6}" name="Column15588" dataCellStyle="Normal 2"/>
    <tableColumn id="15604" xr3:uid="{2701227B-BB5C-466B-9832-DD78A8F12B40}" name="Column15589" dataCellStyle="Normal 2"/>
    <tableColumn id="15605" xr3:uid="{B525E874-51C9-4FF1-AD30-C18F9AFF77B8}" name="Column15590" dataCellStyle="Normal 2"/>
    <tableColumn id="15606" xr3:uid="{0BC3F220-6D9A-49D6-B6DD-A3B895501E4B}" name="Column15591" dataCellStyle="Normal 2"/>
    <tableColumn id="15607" xr3:uid="{C4292D1B-8496-4956-8DC9-F7891B6845C3}" name="Column15592" dataCellStyle="Normal 2"/>
    <tableColumn id="15608" xr3:uid="{2F4B5E39-238B-468C-96B8-94A385C421B0}" name="Column15593" dataCellStyle="Normal 2"/>
    <tableColumn id="15609" xr3:uid="{AFB1517F-8B95-423F-8908-03B029CD708F}" name="Column15594" dataCellStyle="Normal 2"/>
    <tableColumn id="15610" xr3:uid="{96887E46-CE81-4FE5-8176-8A911674406F}" name="Column15595" dataCellStyle="Normal 2"/>
    <tableColumn id="15611" xr3:uid="{134DCF1C-CDE0-4859-9651-5F954C705D5A}" name="Column15596" dataCellStyle="Normal 2"/>
    <tableColumn id="15612" xr3:uid="{472F0CD3-B9F9-4F13-9B18-C81B566BC6E8}" name="Column15597" dataCellStyle="Normal 2"/>
    <tableColumn id="15613" xr3:uid="{DDFE1412-3CC2-48A7-A88E-98ACDF9133CF}" name="Column15598" dataCellStyle="Normal 2"/>
    <tableColumn id="15614" xr3:uid="{48B350CE-CF06-4DF3-ACBD-6DC58815E7BC}" name="Column15599" dataCellStyle="Normal 2"/>
    <tableColumn id="15615" xr3:uid="{629D50B8-1952-4E59-B050-2A9CED381FC6}" name="Column15600" dataCellStyle="Normal 2"/>
    <tableColumn id="15616" xr3:uid="{8DCFA179-B858-4E32-9F97-B67AC277FC6C}" name="Column15601" dataCellStyle="Normal 2"/>
    <tableColumn id="15617" xr3:uid="{FC968833-401A-4047-83CE-068D5FF7FE8C}" name="Column15602" dataCellStyle="Normal 2"/>
    <tableColumn id="15618" xr3:uid="{32E72739-0EB2-4DB4-BAC2-2D21FB22D868}" name="Column15603" dataCellStyle="Normal 2"/>
    <tableColumn id="15619" xr3:uid="{ACED6B06-47BF-4E4C-9D7B-D14FFA011A60}" name="Column15604" dataCellStyle="Normal 2"/>
    <tableColumn id="15620" xr3:uid="{F1D62C8C-F0EB-4C4D-AB46-93223F1B1020}" name="Column15605" dataCellStyle="Normal 2"/>
    <tableColumn id="15621" xr3:uid="{A4985518-2E9A-4A47-8D3F-98D585CC480A}" name="Column15606" dataCellStyle="Normal 2"/>
    <tableColumn id="15622" xr3:uid="{C08E56D1-1E29-46B5-9D58-FD09CD754AA2}" name="Column15607" dataCellStyle="Normal 2"/>
    <tableColumn id="15623" xr3:uid="{F7EEC7AD-AE42-4707-B19C-8D487C1E9026}" name="Column15608" dataCellStyle="Normal 2"/>
    <tableColumn id="15624" xr3:uid="{65FC3AC5-89D8-48A0-9F9A-66A06BD472BE}" name="Column15609" dataCellStyle="Normal 2"/>
    <tableColumn id="15625" xr3:uid="{50D68DF5-4EE8-4AEB-B601-A5C50520D7BB}" name="Column15610" dataCellStyle="Normal 2"/>
    <tableColumn id="15626" xr3:uid="{9E61ED60-6E22-4E14-A1AE-A547B040152A}" name="Column15611" dataCellStyle="Normal 2"/>
    <tableColumn id="15627" xr3:uid="{015F8972-3855-42DE-B17D-3F17B5DD440D}" name="Column15612" dataCellStyle="Normal 2"/>
    <tableColumn id="15628" xr3:uid="{C79A187B-2169-4CEE-84D3-341BDA4E87B3}" name="Column15613" dataCellStyle="Normal 2"/>
    <tableColumn id="15629" xr3:uid="{D37A46A3-EB3D-4076-9BC6-D3AE861AF82F}" name="Column15614" dataCellStyle="Normal 2"/>
    <tableColumn id="15630" xr3:uid="{71D87449-AC56-42F4-A148-CA9B681B3C93}" name="Column15615" dataCellStyle="Normal 2"/>
    <tableColumn id="15631" xr3:uid="{B82F1E24-C723-409E-A5D7-C3DDA3F28372}" name="Column15616" dataCellStyle="Normal 2"/>
    <tableColumn id="15632" xr3:uid="{E9B3BB44-E085-48C4-87B5-A079F0AF2FF6}" name="Column15617" dataCellStyle="Normal 2"/>
    <tableColumn id="15633" xr3:uid="{9CBFC051-95BE-4540-9043-EDA41206B7EE}" name="Column15618" dataCellStyle="Normal 2"/>
    <tableColumn id="15634" xr3:uid="{2512F14D-9307-4BAD-8E98-7E7EEEFD41FC}" name="Column15619" dataCellStyle="Normal 2"/>
    <tableColumn id="15635" xr3:uid="{6917E58B-67C5-4C36-8FA6-2A7F1671DEEE}" name="Column15620" dataCellStyle="Normal 2"/>
    <tableColumn id="15636" xr3:uid="{FA4ACC51-2958-427B-85D2-744321DB4511}" name="Column15621" dataCellStyle="Normal 2"/>
    <tableColumn id="15637" xr3:uid="{CAC8E753-A4BA-4A4B-8064-9BC8F069FC90}" name="Column15622" dataCellStyle="Normal 2"/>
    <tableColumn id="15638" xr3:uid="{C4370C2E-2001-4E63-88DD-BDBDE703A130}" name="Column15623" dataCellStyle="Normal 2"/>
    <tableColumn id="15639" xr3:uid="{8C06CB4B-C26A-479A-A013-70F020FF06B8}" name="Column15624" dataCellStyle="Normal 2"/>
    <tableColumn id="15640" xr3:uid="{35F2AE2A-A2CB-4816-A4BE-109E88D19578}" name="Column15625" dataCellStyle="Normal 2"/>
    <tableColumn id="15641" xr3:uid="{B51A89EC-6321-4A95-85E0-7F8D49E30DE5}" name="Column15626" dataCellStyle="Normal 2"/>
    <tableColumn id="15642" xr3:uid="{22D93B37-5162-4849-A441-F3BAD0B870F0}" name="Column15627" dataCellStyle="Normal 2"/>
    <tableColumn id="15643" xr3:uid="{BFE6FAD4-D020-4075-8B69-E7548319276B}" name="Column15628" dataCellStyle="Normal 2"/>
    <tableColumn id="15644" xr3:uid="{9491E17A-E14C-4723-A44A-30E52C028FFE}" name="Column15629" dataCellStyle="Normal 2"/>
    <tableColumn id="15645" xr3:uid="{AEE1252B-B8A9-4A5A-A776-75DFAB216527}" name="Column15630" dataCellStyle="Normal 2"/>
    <tableColumn id="15646" xr3:uid="{2288A439-AAA5-437A-BC33-2147D761A201}" name="Column15631" dataCellStyle="Normal 2"/>
    <tableColumn id="15647" xr3:uid="{1E5EC028-1AB7-4445-A7EA-C38FF804C5AF}" name="Column15632" dataCellStyle="Normal 2"/>
    <tableColumn id="15648" xr3:uid="{8036E857-278F-4E79-9D70-1310458F1A54}" name="Column15633" dataCellStyle="Normal 2"/>
    <tableColumn id="15649" xr3:uid="{21013464-BAF5-4856-8827-9B8E2B3A4205}" name="Column15634" dataCellStyle="Normal 2"/>
    <tableColumn id="15650" xr3:uid="{BB5249C6-6FC1-41EF-B2DF-AAEAEA8F2207}" name="Column15635" dataCellStyle="Normal 2"/>
    <tableColumn id="15651" xr3:uid="{F670B43F-F2CA-4C0B-8FBA-416A89740468}" name="Column15636" dataCellStyle="Normal 2"/>
    <tableColumn id="15652" xr3:uid="{2CDF6CFB-015D-408C-9A2A-6EE5CC1A16AA}" name="Column15637" dataCellStyle="Normal 2"/>
    <tableColumn id="15653" xr3:uid="{ECDFB306-1797-4EC6-8CAB-35CCD15499DE}" name="Column15638" dataCellStyle="Normal 2"/>
    <tableColumn id="15654" xr3:uid="{E52E3C4E-D4CB-4504-A51D-BF254A47103B}" name="Column15639" dataCellStyle="Normal 2"/>
    <tableColumn id="15655" xr3:uid="{F847C365-22AC-4DEC-A9BE-3EE7E4546F56}" name="Column15640" dataCellStyle="Normal 2"/>
    <tableColumn id="15656" xr3:uid="{BE99BC58-52EB-410C-B3A5-B4380BC596E6}" name="Column15641" dataCellStyle="Normal 2"/>
    <tableColumn id="15657" xr3:uid="{1BA9B694-870E-4B0C-A2FF-3D102144A837}" name="Column15642" dataCellStyle="Normal 2"/>
    <tableColumn id="15658" xr3:uid="{5151BC9B-EBD8-4D83-AA46-A2026B4EB1DF}" name="Column15643" dataCellStyle="Normal 2"/>
    <tableColumn id="15659" xr3:uid="{7E20D991-75CF-4564-9D62-31078DE34DCD}" name="Column15644" dataCellStyle="Normal 2"/>
    <tableColumn id="15660" xr3:uid="{43B2489A-5A00-4C5E-BAC8-0C17D922330B}" name="Column15645" dataCellStyle="Normal 2"/>
    <tableColumn id="15661" xr3:uid="{8D01B3E3-7FCC-4B37-AECE-FAAB5BF567A4}" name="Column15646" dataCellStyle="Normal 2"/>
    <tableColumn id="15662" xr3:uid="{C14B7FB4-BD8E-448C-A452-61D3184612E3}" name="Column15647" dataCellStyle="Normal 2"/>
    <tableColumn id="15663" xr3:uid="{529DB642-7035-4750-BB3F-FDFD0B03DF54}" name="Column15648" dataCellStyle="Normal 2"/>
    <tableColumn id="15664" xr3:uid="{FC5DA28B-0D6B-4A45-AB15-1FB4290D907A}" name="Column15649" dataCellStyle="Normal 2"/>
    <tableColumn id="15665" xr3:uid="{E41CE6B7-1670-434D-8281-8B7DDD884B0A}" name="Column15650" dataCellStyle="Normal 2"/>
    <tableColumn id="15666" xr3:uid="{9B405EC9-107B-4BBD-9986-B00DDCE65276}" name="Column15651" dataCellStyle="Normal 2"/>
    <tableColumn id="15667" xr3:uid="{BBB90EBA-0AAF-4AFB-B79C-9E3A238113DA}" name="Column15652" dataCellStyle="Normal 2"/>
    <tableColumn id="15668" xr3:uid="{EBB41B4C-5F1F-4CA2-A658-652E714C3137}" name="Column15653" dataCellStyle="Normal 2"/>
    <tableColumn id="15669" xr3:uid="{81C85D5C-4BE0-4D8A-B6C5-FC75E39FD352}" name="Column15654" dataCellStyle="Normal 2"/>
    <tableColumn id="15670" xr3:uid="{560E035C-68C9-40A3-85C2-287891458AD7}" name="Column15655" dataCellStyle="Normal 2"/>
    <tableColumn id="15671" xr3:uid="{B842D1A5-68C8-410A-8819-53E7B6F74E38}" name="Column15656" dataCellStyle="Normal 2"/>
    <tableColumn id="15672" xr3:uid="{DEEA013C-EE88-4E17-B1D5-E12FF9208E67}" name="Column15657" dataCellStyle="Normal 2"/>
    <tableColumn id="15673" xr3:uid="{E1F7B257-4DBD-47EF-80E6-5436D0EEDE7A}" name="Column15658" dataCellStyle="Normal 2"/>
    <tableColumn id="15674" xr3:uid="{C787278E-0E43-4D46-9488-81602C122DCC}" name="Column15659" dataCellStyle="Normal 2"/>
    <tableColumn id="15675" xr3:uid="{BB38B245-DF31-43E1-B204-21F6990604D7}" name="Column15660" dataCellStyle="Normal 2"/>
    <tableColumn id="15676" xr3:uid="{ACC98CFB-6C00-4B2F-AFAF-6E058D5038F7}" name="Column15661" dataCellStyle="Normal 2"/>
    <tableColumn id="15677" xr3:uid="{B143C649-C20D-466A-9CAE-D87F92FD9374}" name="Column15662" dataCellStyle="Normal 2"/>
    <tableColumn id="15678" xr3:uid="{6C319D0C-6D66-402C-BB7B-D811046B893C}" name="Column15663" dataCellStyle="Normal 2"/>
    <tableColumn id="15679" xr3:uid="{DF930EDD-FEBA-4BB3-9C95-7BF364694187}" name="Column15664" dataCellStyle="Normal 2"/>
    <tableColumn id="15680" xr3:uid="{FFA6F199-103D-403C-A673-28594870F914}" name="Column15665" dataCellStyle="Normal 2"/>
    <tableColumn id="15681" xr3:uid="{2264B374-E140-4656-A588-98898EB488BF}" name="Column15666" dataCellStyle="Normal 2"/>
    <tableColumn id="15682" xr3:uid="{74FD282E-D4F7-4AB1-B6BC-8944B79BF86E}" name="Column15667" dataCellStyle="Normal 2"/>
    <tableColumn id="15683" xr3:uid="{893F8390-B9F5-4A89-AB2A-C55C83BE2040}" name="Column15668" dataCellStyle="Normal 2"/>
    <tableColumn id="15684" xr3:uid="{579B74A8-B679-4CB4-B860-E23741EB4182}" name="Column15669" dataCellStyle="Normal 2"/>
    <tableColumn id="15685" xr3:uid="{38456F04-24A4-4D57-857E-474AD22BDBA2}" name="Column15670" dataCellStyle="Normal 2"/>
    <tableColumn id="15686" xr3:uid="{90CBA056-7B3F-4ECA-BD37-62A739DE333E}" name="Column15671" dataCellStyle="Normal 2"/>
    <tableColumn id="15687" xr3:uid="{F043B461-7AC9-4307-817F-7A977F26EC55}" name="Column15672" dataCellStyle="Normal 2"/>
    <tableColumn id="15688" xr3:uid="{D3B3D78C-4132-4D31-A512-E1778D57809A}" name="Column15673" dataCellStyle="Normal 2"/>
    <tableColumn id="15689" xr3:uid="{A473885E-A126-4386-A0CE-03B4FCAB07E0}" name="Column15674" dataCellStyle="Normal 2"/>
    <tableColumn id="15690" xr3:uid="{B31871F9-7CF4-4572-AE72-856366034282}" name="Column15675" dataCellStyle="Normal 2"/>
    <tableColumn id="15691" xr3:uid="{CE33F825-037F-4BFD-8B86-D2F39CB741F9}" name="Column15676" dataCellStyle="Normal 2"/>
    <tableColumn id="15692" xr3:uid="{2FAF09B4-0A89-425D-A2F8-C2CC090D7278}" name="Column15677" dataCellStyle="Normal 2"/>
    <tableColumn id="15693" xr3:uid="{DE89CFD7-9B78-4445-8F88-AA2C991381C2}" name="Column15678" dataCellStyle="Normal 2"/>
    <tableColumn id="15694" xr3:uid="{391AEBAD-A808-4066-BB26-4E79870FE4E3}" name="Column15679" dataCellStyle="Normal 2"/>
    <tableColumn id="15695" xr3:uid="{EBE6893D-D815-4C40-AC5A-FB723B4E22D5}" name="Column15680" dataCellStyle="Normal 2"/>
    <tableColumn id="15696" xr3:uid="{4B7449CA-250C-48A9-A689-AA0F31DF6C22}" name="Column15681" dataCellStyle="Normal 2"/>
    <tableColumn id="15697" xr3:uid="{09B64C11-1A9D-4142-B76C-CD436BE15171}" name="Column15682" dataCellStyle="Normal 2"/>
    <tableColumn id="15698" xr3:uid="{7A40DEF5-5AF5-4684-9BF0-422AD26AC8BE}" name="Column15683" dataCellStyle="Normal 2"/>
    <tableColumn id="15699" xr3:uid="{10923596-DBD5-442A-9AD4-1CC7B8A6E5A2}" name="Column15684" dataCellStyle="Normal 2"/>
    <tableColumn id="15700" xr3:uid="{5EF5C17E-746D-4B47-931C-516B74FBBD45}" name="Column15685" dataCellStyle="Normal 2"/>
    <tableColumn id="15701" xr3:uid="{5010CFC8-2720-4A22-8974-A9834787AFA0}" name="Column15686" dataCellStyle="Normal 2"/>
    <tableColumn id="15702" xr3:uid="{F9E3A5F2-473F-44CB-8998-238A61ED8A26}" name="Column15687" dataCellStyle="Normal 2"/>
    <tableColumn id="15703" xr3:uid="{DB3A5815-84C2-47B6-A919-9C9CB8A00728}" name="Column15688" dataCellStyle="Normal 2"/>
    <tableColumn id="15704" xr3:uid="{DB1A7EBC-2703-47CF-BB4F-97B83CC56997}" name="Column15689" dataCellStyle="Normal 2"/>
    <tableColumn id="15705" xr3:uid="{64C099AE-1D12-49A1-9EDE-C13DF263F487}" name="Column15690" dataCellStyle="Normal 2"/>
    <tableColumn id="15706" xr3:uid="{CCB0F618-28A3-45AF-905F-7EFCAD44D113}" name="Column15691" dataCellStyle="Normal 2"/>
    <tableColumn id="15707" xr3:uid="{967A9BDC-63FB-432D-A11F-979AA272669C}" name="Column15692" dataCellStyle="Normal 2"/>
    <tableColumn id="15708" xr3:uid="{B7615724-100E-4C24-AA8D-17E44A3A85DC}" name="Column15693" dataCellStyle="Normal 2"/>
    <tableColumn id="15709" xr3:uid="{8A025189-64AE-4869-BBF0-CDF1A661391D}" name="Column15694" dataCellStyle="Normal 2"/>
    <tableColumn id="15710" xr3:uid="{32DED4F8-5347-4666-92B6-CF2BB19F8B98}" name="Column15695" dataCellStyle="Normal 2"/>
    <tableColumn id="15711" xr3:uid="{01478DC6-8E9E-4DA3-ADFC-423A1F68439F}" name="Column15696" dataCellStyle="Normal 2"/>
    <tableColumn id="15712" xr3:uid="{4A83BD1E-9B30-4E34-951B-DC1693D08E1A}" name="Column15697" dataCellStyle="Normal 2"/>
    <tableColumn id="15713" xr3:uid="{9C4F56EB-0985-4C69-9AD6-84C2BC6A931F}" name="Column15698" dataCellStyle="Normal 2"/>
    <tableColumn id="15714" xr3:uid="{081C0BF1-F8D6-4907-B48D-7F94E66A9F98}" name="Column15699" dataCellStyle="Normal 2"/>
    <tableColumn id="15715" xr3:uid="{2AEA59AD-B0A7-490C-A1A6-46D4DB1639C2}" name="Column15700" dataCellStyle="Normal 2"/>
    <tableColumn id="15716" xr3:uid="{BD2F62BE-6022-44DA-9848-90F133619E47}" name="Column15701" dataCellStyle="Normal 2"/>
    <tableColumn id="15717" xr3:uid="{07C3D299-5896-4FA0-9B59-E9927826F74D}" name="Column15702" dataCellStyle="Normal 2"/>
    <tableColumn id="15718" xr3:uid="{40C64B32-96B5-48D0-9D6F-3BBF073920F1}" name="Column15703" dataCellStyle="Normal 2"/>
    <tableColumn id="15719" xr3:uid="{C34532AB-2063-4027-B893-8CC716978BE0}" name="Column15704" dataCellStyle="Normal 2"/>
    <tableColumn id="15720" xr3:uid="{EACC2604-52D3-465D-BDDC-59452039116C}" name="Column15705" dataCellStyle="Normal 2"/>
    <tableColumn id="15721" xr3:uid="{EF7A1E99-AE55-4E72-865B-F29C619BC64D}" name="Column15706" dataCellStyle="Normal 2"/>
    <tableColumn id="15722" xr3:uid="{5ED19904-4DA0-4103-984B-93B78BE81407}" name="Column15707" dataCellStyle="Normal 2"/>
    <tableColumn id="15723" xr3:uid="{6B59EBB9-6B16-42FD-84A5-36B25A81BE3E}" name="Column15708" dataCellStyle="Normal 2"/>
    <tableColumn id="15724" xr3:uid="{9EF3B1DD-A4C1-46CA-90A7-95575BAD4ACC}" name="Column15709" dataCellStyle="Normal 2"/>
    <tableColumn id="15725" xr3:uid="{42CFF52C-E6A7-416C-8D47-22E1CE4F7B15}" name="Column15710" dataCellStyle="Normal 2"/>
    <tableColumn id="15726" xr3:uid="{760553FB-847B-4A7C-8BCD-77EE1969C18C}" name="Column15711" dataCellStyle="Normal 2"/>
    <tableColumn id="15727" xr3:uid="{DCC189D5-02B0-47B3-8C08-4105016F03FB}" name="Column15712" dataCellStyle="Normal 2"/>
    <tableColumn id="15728" xr3:uid="{E0EB833C-14FE-4BDD-AD9F-23474A8B3089}" name="Column15713" dataCellStyle="Normal 2"/>
    <tableColumn id="15729" xr3:uid="{47A469B1-00E1-4B65-A558-D9FF201E888E}" name="Column15714" dataCellStyle="Normal 2"/>
    <tableColumn id="15730" xr3:uid="{593E85FF-B9CF-44DB-B2D0-8071318FDFFD}" name="Column15715" dataCellStyle="Normal 2"/>
    <tableColumn id="15731" xr3:uid="{A69ED3BF-8B69-496F-BADC-8776C26E39C1}" name="Column15716" dataCellStyle="Normal 2"/>
    <tableColumn id="15732" xr3:uid="{EF661669-FF91-4FC1-ABB6-D1C83ACA0E82}" name="Column15717" dataCellStyle="Normal 2"/>
    <tableColumn id="15733" xr3:uid="{A94C6FFB-F109-4593-8C6B-30982E8EE969}" name="Column15718" dataCellStyle="Normal 2"/>
    <tableColumn id="15734" xr3:uid="{D2D22095-81AC-4E6A-8DCE-7D5BCDBCD51B}" name="Column15719" dataCellStyle="Normal 2"/>
    <tableColumn id="15735" xr3:uid="{DE552052-950F-41C1-8FC0-DC99A4AC0974}" name="Column15720" dataCellStyle="Normal 2"/>
    <tableColumn id="15736" xr3:uid="{0949A7FC-E7A7-4EF3-B1BF-59198E9070E6}" name="Column15721" dataCellStyle="Normal 2"/>
    <tableColumn id="15737" xr3:uid="{796D48E2-478D-4510-A7F8-F62B64C09D1D}" name="Column15722" dataCellStyle="Normal 2"/>
    <tableColumn id="15738" xr3:uid="{0829C4FA-FCEB-4D9E-872B-ABE3EAA21638}" name="Column15723" dataCellStyle="Normal 2"/>
    <tableColumn id="15739" xr3:uid="{4DA58961-7726-4079-A104-D5B3EC0A47E6}" name="Column15724" dataCellStyle="Normal 2"/>
    <tableColumn id="15740" xr3:uid="{BDF0E5F7-754A-4064-BCB7-C5CFC41C0431}" name="Column15725" dataCellStyle="Normal 2"/>
    <tableColumn id="15741" xr3:uid="{7344B44A-85B7-4106-8253-45D3E8B80A66}" name="Column15726" dataCellStyle="Normal 2"/>
    <tableColumn id="15742" xr3:uid="{7D228219-FB48-4746-B373-D52F03F0C5F1}" name="Column15727" dataCellStyle="Normal 2"/>
    <tableColumn id="15743" xr3:uid="{C378EF5E-4F6F-4AA2-899D-34650305BEBA}" name="Column15728" dataCellStyle="Normal 2"/>
    <tableColumn id="15744" xr3:uid="{5198EFA2-F93C-4B7B-BCCE-A01A734BE786}" name="Column15729" dataCellStyle="Normal 2"/>
    <tableColumn id="15745" xr3:uid="{A3E3D859-7F83-4C92-9808-46D7DA295B02}" name="Column15730" dataCellStyle="Normal 2"/>
    <tableColumn id="15746" xr3:uid="{D886F8B9-B349-4A69-9864-30C852C04932}" name="Column15731" dataCellStyle="Normal 2"/>
    <tableColumn id="15747" xr3:uid="{2BC6C246-11CA-4E67-B1A8-FFAA669688B7}" name="Column15732" dataCellStyle="Normal 2"/>
    <tableColumn id="15748" xr3:uid="{1BABE0DB-F505-44B2-A8E2-A0FEE216D9A9}" name="Column15733" dataCellStyle="Normal 2"/>
    <tableColumn id="15749" xr3:uid="{FCD35BB8-953B-4AED-9369-3A6090993D23}" name="Column15734" dataCellStyle="Normal 2"/>
    <tableColumn id="15750" xr3:uid="{7A7944BF-88F7-4B51-9F97-16883B5D886B}" name="Column15735" dataCellStyle="Normal 2"/>
    <tableColumn id="15751" xr3:uid="{53D888B9-920E-4B94-B5B2-B1221F1224F0}" name="Column15736" dataCellStyle="Normal 2"/>
    <tableColumn id="15752" xr3:uid="{57195AB8-2FEF-4D3B-82C5-8B34BD4DC05E}" name="Column15737" dataCellStyle="Normal 2"/>
    <tableColumn id="15753" xr3:uid="{15E2F1BE-FE90-43D1-9477-1B32DF755C93}" name="Column15738" dataCellStyle="Normal 2"/>
    <tableColumn id="15754" xr3:uid="{469DE41D-8915-4B91-812D-86348AF64821}" name="Column15739" dataCellStyle="Normal 2"/>
    <tableColumn id="15755" xr3:uid="{B474B129-9867-47AA-B68B-7D1950793368}" name="Column15740" dataCellStyle="Normal 2"/>
    <tableColumn id="15756" xr3:uid="{8F92760E-DC73-4ABA-93E2-3652C03A3585}" name="Column15741" dataCellStyle="Normal 2"/>
    <tableColumn id="15757" xr3:uid="{49A7A6FB-F8D4-41A4-AED0-0FD2ADED9C40}" name="Column15742" dataCellStyle="Normal 2"/>
    <tableColumn id="15758" xr3:uid="{7C8389DD-7172-4C95-BBB3-6F3070F2955E}" name="Column15743" dataCellStyle="Normal 2"/>
    <tableColumn id="15759" xr3:uid="{2DC42DE5-D783-4912-BDD0-BDFB5C54B6FA}" name="Column15744" dataCellStyle="Normal 2"/>
    <tableColumn id="15760" xr3:uid="{947F2E38-019C-4517-9E4B-4AA9BBDFED28}" name="Column15745" dataCellStyle="Normal 2"/>
    <tableColumn id="15761" xr3:uid="{DEE541A2-A60C-4164-8787-A69DAAD85DC7}" name="Column15746" dataCellStyle="Normal 2"/>
    <tableColumn id="15762" xr3:uid="{36A48D4A-7DFC-4764-A5EE-6BB8909C3DE9}" name="Column15747" dataCellStyle="Normal 2"/>
    <tableColumn id="15763" xr3:uid="{B0EFCE57-0ED6-49CF-84DB-DE18CB82FBD3}" name="Column15748" dataCellStyle="Normal 2"/>
    <tableColumn id="15764" xr3:uid="{87151117-C980-4DEC-85B7-C47B42EE17BC}" name="Column15749" dataCellStyle="Normal 2"/>
    <tableColumn id="15765" xr3:uid="{D3A02EE9-2830-4F58-B7DB-885929BC5160}" name="Column15750" dataCellStyle="Normal 2"/>
    <tableColumn id="15766" xr3:uid="{AB5F7B7F-A7C7-49A0-80D0-B8EF87EE3C10}" name="Column15751" dataCellStyle="Normal 2"/>
    <tableColumn id="15767" xr3:uid="{85224078-23DA-4FB0-8912-59CB68C674B0}" name="Column15752" dataCellStyle="Normal 2"/>
    <tableColumn id="15768" xr3:uid="{8E97AFF8-1B6A-4557-B554-221C9816F5A1}" name="Column15753" dataCellStyle="Normal 2"/>
    <tableColumn id="15769" xr3:uid="{BE6BD162-D81A-4A76-9068-18049B76FFD4}" name="Column15754" dataCellStyle="Normal 2"/>
    <tableColumn id="15770" xr3:uid="{946F554E-15EA-46A6-BF3A-E021A84E1F81}" name="Column15755" dataCellStyle="Normal 2"/>
    <tableColumn id="15771" xr3:uid="{28C16AC7-E71E-44F3-A50C-EB2D84449839}" name="Column15756" dataCellStyle="Normal 2"/>
    <tableColumn id="15772" xr3:uid="{CF07FC07-5D6F-4D8E-84E6-96B17D792F09}" name="Column15757" dataCellStyle="Normal 2"/>
    <tableColumn id="15773" xr3:uid="{91050DB0-48C7-48A4-8D98-26EB343B85F1}" name="Column15758" dataCellStyle="Normal 2"/>
    <tableColumn id="15774" xr3:uid="{BA4D5631-D45E-4115-877F-37FE13D42BE2}" name="Column15759" dataCellStyle="Normal 2"/>
    <tableColumn id="15775" xr3:uid="{3DA753AD-E84C-4D42-9FE2-8AAAC6725037}" name="Column15760" dataCellStyle="Normal 2"/>
    <tableColumn id="15776" xr3:uid="{C62DC144-776F-4A90-85C7-9EAE7A149E25}" name="Column15761" dataCellStyle="Normal 2"/>
    <tableColumn id="15777" xr3:uid="{A1194DDC-6172-4178-AA5B-A5D8EEB2AD6B}" name="Column15762" dataCellStyle="Normal 2"/>
    <tableColumn id="15778" xr3:uid="{0C9CD9D3-43B1-42DF-B0FC-4D7FC8F6F83F}" name="Column15763" dataCellStyle="Normal 2"/>
    <tableColumn id="15779" xr3:uid="{FD466D6B-7C94-4B90-B7FC-F045AD47527C}" name="Column15764" dataCellStyle="Normal 2"/>
    <tableColumn id="15780" xr3:uid="{F4311A9A-7491-4C84-B687-76C1E589A88C}" name="Column15765" dataCellStyle="Normal 2"/>
    <tableColumn id="15781" xr3:uid="{03B4E6DE-DE0F-4A43-A08C-6A4542B43CCE}" name="Column15766" dataCellStyle="Normal 2"/>
    <tableColumn id="15782" xr3:uid="{CDE8A861-349A-45F7-936E-EE0D62C2242B}" name="Column15767" dataCellStyle="Normal 2"/>
    <tableColumn id="15783" xr3:uid="{BBA10AA0-D148-4E98-91F4-8B50B16FCFDC}" name="Column15768" dataCellStyle="Normal 2"/>
    <tableColumn id="15784" xr3:uid="{4B65C163-8E84-4DF2-A41D-ED13FB551394}" name="Column15769" dataCellStyle="Normal 2"/>
    <tableColumn id="15785" xr3:uid="{81462FD5-39E5-433E-8BCE-8E185E85C838}" name="Column15770" dataCellStyle="Normal 2"/>
    <tableColumn id="15786" xr3:uid="{B1B71120-3A50-4DCD-BA31-AF0FFEBC64BE}" name="Column15771" dataCellStyle="Normal 2"/>
    <tableColumn id="15787" xr3:uid="{452C728B-9EF3-4C81-B3F2-2391A7C4FE64}" name="Column15772" dataCellStyle="Normal 2"/>
    <tableColumn id="15788" xr3:uid="{D3BD8D58-BDEA-4AEB-A6F0-0B8A3B1D5377}" name="Column15773" dataCellStyle="Normal 2"/>
    <tableColumn id="15789" xr3:uid="{3B388EB3-B378-47DA-8A67-85552FB5EF40}" name="Column15774" dataCellStyle="Normal 2"/>
    <tableColumn id="15790" xr3:uid="{BA472E40-216D-4246-B43F-2E57EE7A0F4A}" name="Column15775" dataCellStyle="Normal 2"/>
    <tableColumn id="15791" xr3:uid="{4626ADD3-9188-4667-A808-23F6FD3EBD36}" name="Column15776" dataCellStyle="Normal 2"/>
    <tableColumn id="15792" xr3:uid="{5F380B3F-93DA-444F-B5D7-7B3EEDBFFE41}" name="Column15777" dataCellStyle="Normal 2"/>
    <tableColumn id="15793" xr3:uid="{9B3EE2DF-0DA5-48F0-9BF3-5BB585617397}" name="Column15778" dataCellStyle="Normal 2"/>
    <tableColumn id="15794" xr3:uid="{6107DB8D-F103-401A-9E6F-DCF5CD422373}" name="Column15779" dataCellStyle="Normal 2"/>
    <tableColumn id="15795" xr3:uid="{AF85D55A-F61D-472C-8675-1C60DEE3977D}" name="Column15780" dataCellStyle="Normal 2"/>
    <tableColumn id="15796" xr3:uid="{BD71677E-E2E8-420C-8B30-901C2D7542F5}" name="Column15781" dataCellStyle="Normal 2"/>
    <tableColumn id="15797" xr3:uid="{C5092DB9-3B92-4BC0-8E8B-6BD170519645}" name="Column15782" dataCellStyle="Normal 2"/>
    <tableColumn id="15798" xr3:uid="{5F55504B-2664-4D2F-8F8E-28565BB351B3}" name="Column15783" dataCellStyle="Normal 2"/>
    <tableColumn id="15799" xr3:uid="{52BC7471-75DE-42B6-BDB0-37B0873D30F1}" name="Column15784" dataCellStyle="Normal 2"/>
    <tableColumn id="15800" xr3:uid="{AE16FD4A-7481-4421-9483-83D0A7CB67DA}" name="Column15785" dataCellStyle="Normal 2"/>
    <tableColumn id="15801" xr3:uid="{17EDD749-62EF-43CF-8651-23A3EA6E5AEE}" name="Column15786" dataCellStyle="Normal 2"/>
    <tableColumn id="15802" xr3:uid="{6C1D2084-4C10-42B5-8CFB-83511D4460BF}" name="Column15787" dataCellStyle="Normal 2"/>
    <tableColumn id="15803" xr3:uid="{E4EB5C3E-741F-4566-87D7-D4BB240BEACB}" name="Column15788" dataCellStyle="Normal 2"/>
    <tableColumn id="15804" xr3:uid="{1BAF26B9-3DCC-4932-825D-D05824A83B4B}" name="Column15789" dataCellStyle="Normal 2"/>
    <tableColumn id="15805" xr3:uid="{76AE430B-1F06-4391-B427-821FB8565AA9}" name="Column15790" dataCellStyle="Normal 2"/>
    <tableColumn id="15806" xr3:uid="{0C22B297-8FC7-4F00-8CE0-CFE025284B58}" name="Column15791" dataCellStyle="Normal 2"/>
    <tableColumn id="15807" xr3:uid="{CED1BEC7-BA98-468D-BDF9-D15E631960A8}" name="Column15792" dataCellStyle="Normal 2"/>
    <tableColumn id="15808" xr3:uid="{C1CA7D19-7ECB-49E5-BFD8-A421D9B04511}" name="Column15793" dataCellStyle="Normal 2"/>
    <tableColumn id="15809" xr3:uid="{BCC9DF91-F409-4478-91C6-EE2294712C97}" name="Column15794" dataCellStyle="Normal 2"/>
    <tableColumn id="15810" xr3:uid="{AC5B60E7-F7B9-48BF-A2C5-80DE53622C63}" name="Column15795" dataCellStyle="Normal 2"/>
    <tableColumn id="15811" xr3:uid="{1F2793FA-AF9D-490B-9531-061B670A6830}" name="Column15796" dataCellStyle="Normal 2"/>
    <tableColumn id="15812" xr3:uid="{9C4DDD65-FA42-44F1-B522-854F0095A2B4}" name="Column15797" dataCellStyle="Normal 2"/>
    <tableColumn id="15813" xr3:uid="{5369872A-FFD7-4A07-BFA8-C2FC2A6DA9EE}" name="Column15798" dataCellStyle="Normal 2"/>
    <tableColumn id="15814" xr3:uid="{CC360EED-3301-4500-9A53-4366E7D66AFB}" name="Column15799" dataCellStyle="Normal 2"/>
    <tableColumn id="15815" xr3:uid="{8D5B6814-8009-44D0-BD0E-5529F63F3930}" name="Column15800" dataCellStyle="Normal 2"/>
    <tableColumn id="15816" xr3:uid="{25CD77FD-20F9-4D45-A84A-D0368E4DD546}" name="Column15801" dataCellStyle="Normal 2"/>
    <tableColumn id="15817" xr3:uid="{7636AEF9-2A10-4316-99CD-0E65D30AD320}" name="Column15802" dataCellStyle="Normal 2"/>
    <tableColumn id="15818" xr3:uid="{6C4CE207-8602-4455-B691-0250B2BD644E}" name="Column15803" dataCellStyle="Normal 2"/>
    <tableColumn id="15819" xr3:uid="{4E91AACE-B539-4A77-AA7E-10982B9CCDFA}" name="Column15804" dataCellStyle="Normal 2"/>
    <tableColumn id="15820" xr3:uid="{C6E9916F-796B-45A3-84A9-78641067D785}" name="Column15805" dataCellStyle="Normal 2"/>
    <tableColumn id="15821" xr3:uid="{FD874544-0AFD-4A68-90DF-A6110B446154}" name="Column15806" dataCellStyle="Normal 2"/>
    <tableColumn id="15822" xr3:uid="{C9DB682E-ACC8-437C-B866-0274D7DB73FD}" name="Column15807" dataCellStyle="Normal 2"/>
    <tableColumn id="15823" xr3:uid="{2C3A4145-F7F9-41C3-9E39-11FD92330338}" name="Column15808" dataCellStyle="Normal 2"/>
    <tableColumn id="15824" xr3:uid="{5E87ACBE-28DD-46C7-9DF1-8182CAF1859E}" name="Column15809" dataCellStyle="Normal 2"/>
    <tableColumn id="15825" xr3:uid="{72DE9161-878E-46A0-BD6C-EF7C06A04D26}" name="Column15810" dataCellStyle="Normal 2"/>
    <tableColumn id="15826" xr3:uid="{C58D2A16-EA3A-4E64-A1DC-8AD51C28D02E}" name="Column15811" dataCellStyle="Normal 2"/>
    <tableColumn id="15827" xr3:uid="{861BDF44-8AB9-41ED-B834-36396B97BC12}" name="Column15812" dataCellStyle="Normal 2"/>
    <tableColumn id="15828" xr3:uid="{7C4E78E4-0743-4B04-ACC4-99AC23AEC43B}" name="Column15813" dataCellStyle="Normal 2"/>
    <tableColumn id="15829" xr3:uid="{26E34D1A-752F-44B0-8D55-2A34D61C9DCF}" name="Column15814" dataCellStyle="Normal 2"/>
    <tableColumn id="15830" xr3:uid="{0182C30E-8264-4311-AEFF-D1BE862C0C22}" name="Column15815" dataCellStyle="Normal 2"/>
    <tableColumn id="15831" xr3:uid="{6E521681-57F9-49D2-A66D-BBCC48149E88}" name="Column15816" dataCellStyle="Normal 2"/>
    <tableColumn id="15832" xr3:uid="{E456AF3C-BAD1-4680-9213-934722E2ACCB}" name="Column15817" dataCellStyle="Normal 2"/>
    <tableColumn id="15833" xr3:uid="{71A3523D-0F06-4B62-852D-FCAEB24DCF8B}" name="Column15818" dataCellStyle="Normal 2"/>
    <tableColumn id="15834" xr3:uid="{3DB54071-0480-4DD8-9A1E-361D19B65D6E}" name="Column15819" dataCellStyle="Normal 2"/>
    <tableColumn id="15835" xr3:uid="{E18D8EA4-E281-4DE1-AE94-7AB82EB2547F}" name="Column15820" dataCellStyle="Normal 2"/>
    <tableColumn id="15836" xr3:uid="{88B95FE8-638C-4FC4-8087-291CBAFC876A}" name="Column15821" dataCellStyle="Normal 2"/>
    <tableColumn id="15837" xr3:uid="{37FCA816-EB62-465E-842E-0B7D003BA022}" name="Column15822" dataCellStyle="Normal 2"/>
    <tableColumn id="15838" xr3:uid="{4E130BDE-8EDC-4D3D-883F-8A5C84792363}" name="Column15823" dataCellStyle="Normal 2"/>
    <tableColumn id="15839" xr3:uid="{84C0FA5E-C1CE-4C2D-A626-062FC04A6A1B}" name="Column15824" dataCellStyle="Normal 2"/>
    <tableColumn id="15840" xr3:uid="{5512B223-9B2D-45FF-906B-4B1FB9331224}" name="Column15825" dataCellStyle="Normal 2"/>
    <tableColumn id="15841" xr3:uid="{EFD7D394-B34D-4E38-9FD3-F84816EC9458}" name="Column15826" dataCellStyle="Normal 2"/>
    <tableColumn id="15842" xr3:uid="{975CBCC5-3F73-4086-86F1-3A0F89275E09}" name="Column15827" dataCellStyle="Normal 2"/>
    <tableColumn id="15843" xr3:uid="{94ED0B5A-30DF-42A7-8591-0FBA05CDD1D3}" name="Column15828" dataCellStyle="Normal 2"/>
    <tableColumn id="15844" xr3:uid="{F5ABB2FB-ED57-427C-9E96-25683E40FFEE}" name="Column15829" dataCellStyle="Normal 2"/>
    <tableColumn id="15845" xr3:uid="{37150B84-4FF3-455C-84D5-7070CD21D1E8}" name="Column15830" dataCellStyle="Normal 2"/>
    <tableColumn id="15846" xr3:uid="{7BBDF047-65BC-498A-980A-29442045AFA2}" name="Column15831" dataCellStyle="Normal 2"/>
    <tableColumn id="15847" xr3:uid="{5BC246A9-D17F-4844-A8DB-E2B065A117FE}" name="Column15832" dataCellStyle="Normal 2"/>
    <tableColumn id="15848" xr3:uid="{FD8C667B-01EF-4BD1-9651-766F37333710}" name="Column15833" dataCellStyle="Normal 2"/>
    <tableColumn id="15849" xr3:uid="{A007BB2F-2032-496B-A495-33DDA6A26401}" name="Column15834" dataCellStyle="Normal 2"/>
    <tableColumn id="15850" xr3:uid="{94529EDC-4C1D-4473-A89D-52916D7C8DBD}" name="Column15835" dataCellStyle="Normal 2"/>
    <tableColumn id="15851" xr3:uid="{CB82F076-388B-4BFC-8BD5-2BDB55FF2800}" name="Column15836" dataCellStyle="Normal 2"/>
    <tableColumn id="15852" xr3:uid="{FE41165B-9873-4B92-9315-CE39B2C6809A}" name="Column15837" dataCellStyle="Normal 2"/>
    <tableColumn id="15853" xr3:uid="{7DD81FFC-9B5D-4789-B3F1-F2CC74FA3284}" name="Column15838" dataCellStyle="Normal 2"/>
    <tableColumn id="15854" xr3:uid="{1BE3B111-435E-4F8A-9430-5127D2E07B92}" name="Column15839" dataCellStyle="Normal 2"/>
    <tableColumn id="15855" xr3:uid="{FEE76BE0-D7DF-4BC6-8C0F-03158ED45977}" name="Column15840" dataCellStyle="Normal 2"/>
    <tableColumn id="15856" xr3:uid="{471048F8-DE3F-4591-94A7-162549FF1613}" name="Column15841" dataCellStyle="Normal 2"/>
    <tableColumn id="15857" xr3:uid="{5531B5F5-29C7-40C8-B748-509235C18E65}" name="Column15842" dataCellStyle="Normal 2"/>
    <tableColumn id="15858" xr3:uid="{3D67E183-1583-45C1-B3A2-B86BA476011F}" name="Column15843" dataCellStyle="Normal 2"/>
    <tableColumn id="15859" xr3:uid="{93C0D0CC-9DD7-4494-997A-57A319B6C742}" name="Column15844" dataCellStyle="Normal 2"/>
    <tableColumn id="15860" xr3:uid="{6F2C1FA7-DEE4-4A48-A13C-C96F40E3D19C}" name="Column15845" dataCellStyle="Normal 2"/>
    <tableColumn id="15861" xr3:uid="{E710CCD8-41F8-40C2-B6B6-DE7A90C127AC}" name="Column15846" dataCellStyle="Normal 2"/>
    <tableColumn id="15862" xr3:uid="{1B125D1A-E351-4C13-A86D-957B983F09F4}" name="Column15847" dataCellStyle="Normal 2"/>
    <tableColumn id="15863" xr3:uid="{B489A4A2-BE26-44BF-9480-D4CC4B33957D}" name="Column15848" dataCellStyle="Normal 2"/>
    <tableColumn id="15864" xr3:uid="{0C90E5A3-F2A2-436F-9569-22FC0A840FCB}" name="Column15849" dataCellStyle="Normal 2"/>
    <tableColumn id="15865" xr3:uid="{F1F0AB1F-EC01-4D7C-A351-C94BFEFDE0BE}" name="Column15850" dataCellStyle="Normal 2"/>
    <tableColumn id="15866" xr3:uid="{6AAD45FA-0214-4A87-9BE5-B390A2EBEAB3}" name="Column15851" dataCellStyle="Normal 2"/>
    <tableColumn id="15867" xr3:uid="{7693A8FE-A41B-42C2-9C48-B3DD0D22420D}" name="Column15852" dataCellStyle="Normal 2"/>
    <tableColumn id="15868" xr3:uid="{71CC7214-E60C-4349-9BEC-579E22074DAE}" name="Column15853" dataCellStyle="Normal 2"/>
    <tableColumn id="15869" xr3:uid="{D79718E3-1F27-4E78-9B0A-E2BAD2FB0A7B}" name="Column15854" dataCellStyle="Normal 2"/>
    <tableColumn id="15870" xr3:uid="{9239D211-4400-4678-8F85-29A8383F4AC0}" name="Column15855" dataCellStyle="Normal 2"/>
    <tableColumn id="15871" xr3:uid="{90BB14C5-7C31-4AEB-B377-D607A75D91F4}" name="Column15856" dataCellStyle="Normal 2"/>
    <tableColumn id="15872" xr3:uid="{053621A4-504F-4547-8AE6-7F92A7A7033B}" name="Column15857" dataCellStyle="Normal 2"/>
    <tableColumn id="15873" xr3:uid="{3306621E-DEBA-4D88-9A44-8D77A31A5B98}" name="Column15858" dataCellStyle="Normal 2"/>
    <tableColumn id="15874" xr3:uid="{2CF78DD0-E639-4235-9AEF-9FD9035F9C5A}" name="Column15859" dataCellStyle="Normal 2"/>
    <tableColumn id="15875" xr3:uid="{63B26CB8-4576-47D9-895F-E4B4CE56B5D2}" name="Column15860" dataCellStyle="Normal 2"/>
    <tableColumn id="15876" xr3:uid="{BDCDE048-D69F-4670-9B7B-5AD6BF6EB340}" name="Column15861" dataCellStyle="Normal 2"/>
    <tableColumn id="15877" xr3:uid="{7B4A20DF-7D74-4B21-9555-C37A7E774162}" name="Column15862" dataCellStyle="Normal 2"/>
    <tableColumn id="15878" xr3:uid="{04ED716C-FE51-4155-AB17-5B7BED2421B0}" name="Column15863" dataCellStyle="Normal 2"/>
    <tableColumn id="15879" xr3:uid="{C99A6E1E-C564-46B9-BBF8-E427570FA047}" name="Column15864" dataCellStyle="Normal 2"/>
    <tableColumn id="15880" xr3:uid="{496EF4F3-C797-4CB2-8356-D84E33A7E1AA}" name="Column15865" dataCellStyle="Normal 2"/>
    <tableColumn id="15881" xr3:uid="{FA58FC53-0CA7-4245-9E36-F27888C758C7}" name="Column15866" dataCellStyle="Normal 2"/>
    <tableColumn id="15882" xr3:uid="{1DB81942-D064-474D-A6E4-F7F0E258F072}" name="Column15867" dataCellStyle="Normal 2"/>
    <tableColumn id="15883" xr3:uid="{AF2C1168-96C7-4818-A089-C1BF9BA11164}" name="Column15868" dataCellStyle="Normal 2"/>
    <tableColumn id="15884" xr3:uid="{B89FDEA3-8360-4760-A653-3C3A5E2372F2}" name="Column15869" dataCellStyle="Normal 2"/>
    <tableColumn id="15885" xr3:uid="{001A360F-9806-4D6A-A1B0-8EB506118AE9}" name="Column15870" dataCellStyle="Normal 2"/>
    <tableColumn id="15886" xr3:uid="{884D4CA2-7C83-4D18-88DD-4BDEFD70C211}" name="Column15871" dataCellStyle="Normal 2"/>
    <tableColumn id="15887" xr3:uid="{4592D139-0FBE-4AD4-9BA1-2E1A8282433E}" name="Column15872" dataCellStyle="Normal 2"/>
    <tableColumn id="15888" xr3:uid="{121A6375-4D57-44C8-94B6-E6F4021D0DA7}" name="Column15873" dataCellStyle="Normal 2"/>
    <tableColumn id="15889" xr3:uid="{F8EE6B16-1110-48D1-93AC-55C6C80FF597}" name="Column15874" dataCellStyle="Normal 2"/>
    <tableColumn id="15890" xr3:uid="{C9960523-C8E9-4D8A-9778-2A0F4C7AC246}" name="Column15875" dataCellStyle="Normal 2"/>
    <tableColumn id="15891" xr3:uid="{ABC4CD2D-3B51-46A7-8199-1BFA212E343D}" name="Column15876" dataCellStyle="Normal 2"/>
    <tableColumn id="15892" xr3:uid="{BC185BE6-FBF2-4475-9398-D90BE7CE8552}" name="Column15877" dataCellStyle="Normal 2"/>
    <tableColumn id="15893" xr3:uid="{21050ED3-346C-4FCA-AA2D-CA00F622014D}" name="Column15878" dataCellStyle="Normal 2"/>
    <tableColumn id="15894" xr3:uid="{737DCAEA-B734-4914-93FD-99913BABA3EC}" name="Column15879" dataCellStyle="Normal 2"/>
    <tableColumn id="15895" xr3:uid="{5D05DE8B-53AB-44CD-A3B3-889CA57A14B6}" name="Column15880" dataCellStyle="Normal 2"/>
    <tableColumn id="15896" xr3:uid="{1DF409E5-71A2-417D-ACB4-EE8A18220F83}" name="Column15881" dataCellStyle="Normal 2"/>
    <tableColumn id="15897" xr3:uid="{0891AB56-93F9-4D1D-98A1-D71001025160}" name="Column15882" dataCellStyle="Normal 2"/>
    <tableColumn id="15898" xr3:uid="{DC2AE613-B7B2-4977-98AE-3032BB1B7DE6}" name="Column15883" dataCellStyle="Normal 2"/>
    <tableColumn id="15899" xr3:uid="{43D6477C-E67C-407D-864A-D6CD1E4B7697}" name="Column15884" dataCellStyle="Normal 2"/>
    <tableColumn id="15900" xr3:uid="{B1FCF7E7-26D8-4089-8C9B-8612EA4454FF}" name="Column15885" dataCellStyle="Normal 2"/>
    <tableColumn id="15901" xr3:uid="{B7B9C391-AB1C-4CD2-9754-0B9CF520FFEE}" name="Column15886" dataCellStyle="Normal 2"/>
    <tableColumn id="15902" xr3:uid="{274AA866-B8D5-4257-8257-2A9DE9308981}" name="Column15887" dataCellStyle="Normal 2"/>
    <tableColumn id="15903" xr3:uid="{D3860622-6038-4279-8EC7-C55647AD5BCC}" name="Column15888" dataCellStyle="Normal 2"/>
    <tableColumn id="15904" xr3:uid="{B994359D-2422-4916-9116-FE901B386D68}" name="Column15889" dataCellStyle="Normal 2"/>
    <tableColumn id="15905" xr3:uid="{874AA6AE-4913-4B8A-972E-5BA1C3FE23B7}" name="Column15890" dataCellStyle="Normal 2"/>
    <tableColumn id="15906" xr3:uid="{56DA865D-C055-433A-B110-EBE10E424BF5}" name="Column15891" dataCellStyle="Normal 2"/>
    <tableColumn id="15907" xr3:uid="{041E13E9-36AC-4C8B-BB3B-529186E4C799}" name="Column15892" dataCellStyle="Normal 2"/>
    <tableColumn id="15908" xr3:uid="{87E43E79-11D2-4D05-8D14-9F5929C578E7}" name="Column15893" dataCellStyle="Normal 2"/>
    <tableColumn id="15909" xr3:uid="{50475EF4-BC52-489C-8529-98DF91EFF793}" name="Column15894" dataCellStyle="Normal 2"/>
    <tableColumn id="15910" xr3:uid="{178EB759-81F4-456D-A13F-00095638E364}" name="Column15895" dataCellStyle="Normal 2"/>
    <tableColumn id="15911" xr3:uid="{C509F85A-E5B6-4FD1-9ED1-693663709BE4}" name="Column15896" dataCellStyle="Normal 2"/>
    <tableColumn id="15912" xr3:uid="{D8D9313A-3C8E-4A08-A2BF-1C9AA8FFAB5A}" name="Column15897" dataCellStyle="Normal 2"/>
    <tableColumn id="15913" xr3:uid="{8A4A0685-8AA1-40F7-B0EA-D2A3FEDCC6AE}" name="Column15898" dataCellStyle="Normal 2"/>
    <tableColumn id="15914" xr3:uid="{68179F86-443E-4411-926C-F67234E21A3F}" name="Column15899" dataCellStyle="Normal 2"/>
    <tableColumn id="15915" xr3:uid="{00DE7567-A528-4C73-A1A2-C72E88AD8AA4}" name="Column15900" dataCellStyle="Normal 2"/>
    <tableColumn id="15916" xr3:uid="{7656CAB0-5C3A-41A8-B968-928B56294B74}" name="Column15901" dataCellStyle="Normal 2"/>
    <tableColumn id="15917" xr3:uid="{5984CD56-11EF-4DA7-8BDD-3A2CEFFC9EE7}" name="Column15902" dataCellStyle="Normal 2"/>
    <tableColumn id="15918" xr3:uid="{5EE6F3E4-2807-4114-88A1-B434CBF7F57C}" name="Column15903" dataCellStyle="Normal 2"/>
    <tableColumn id="15919" xr3:uid="{6F348F2E-61E4-460A-B185-4B543A9F0692}" name="Column15904" dataCellStyle="Normal 2"/>
    <tableColumn id="15920" xr3:uid="{EC030418-7EA5-49F6-B086-8C783D34B5E2}" name="Column15905" dataCellStyle="Normal 2"/>
    <tableColumn id="15921" xr3:uid="{313BD7C3-65A4-4D2E-A751-ABCB6D4037A2}" name="Column15906" dataCellStyle="Normal 2"/>
    <tableColumn id="15922" xr3:uid="{D8F15240-1E05-4CD6-8559-9A44ABA3C333}" name="Column15907" dataCellStyle="Normal 2"/>
    <tableColumn id="15923" xr3:uid="{655D00A4-3DB1-462F-8DB7-EAEE1BA21D27}" name="Column15908" dataCellStyle="Normal 2"/>
    <tableColumn id="15924" xr3:uid="{339B7057-1A4E-4BB9-A990-83FA4EFB7861}" name="Column15909" dataCellStyle="Normal 2"/>
    <tableColumn id="15925" xr3:uid="{D82FE179-63C7-4321-924C-256B99E32149}" name="Column15910" dataCellStyle="Normal 2"/>
    <tableColumn id="15926" xr3:uid="{1D7F1230-6CA8-46E3-AE86-3BF173C25499}" name="Column15911" dataCellStyle="Normal 2"/>
    <tableColumn id="15927" xr3:uid="{0844E1C6-DFEB-4B14-9083-103CBC38F095}" name="Column15912" dataCellStyle="Normal 2"/>
    <tableColumn id="15928" xr3:uid="{4B6B82C4-6373-4965-ABDC-3BA33F3104A5}" name="Column15913" dataCellStyle="Normal 2"/>
    <tableColumn id="15929" xr3:uid="{E2821F48-EF42-4EA4-B4B4-61CE5CE97FA4}" name="Column15914" dataCellStyle="Normal 2"/>
    <tableColumn id="15930" xr3:uid="{022F719F-1B22-46DA-BE29-3414D388FD0A}" name="Column15915" dataCellStyle="Normal 2"/>
    <tableColumn id="15931" xr3:uid="{BB0925AE-1D88-4412-B32B-9A4081A0F985}" name="Column15916" dataCellStyle="Normal 2"/>
    <tableColumn id="15932" xr3:uid="{CF84A412-1191-4E49-88C1-4C0C0CB25C0F}" name="Column15917" dataCellStyle="Normal 2"/>
    <tableColumn id="15933" xr3:uid="{324C4F36-79E9-48DA-8D0C-4C45FABA66AC}" name="Column15918" dataCellStyle="Normal 2"/>
    <tableColumn id="15934" xr3:uid="{44E637D1-03D4-4102-A9AE-0EB094876DF5}" name="Column15919" dataCellStyle="Normal 2"/>
    <tableColumn id="15935" xr3:uid="{351EDDFF-EE4C-40F4-8C42-1DE670E9637C}" name="Column15920" dataCellStyle="Normal 2"/>
    <tableColumn id="15936" xr3:uid="{E0043061-398F-4D16-85AE-2944C23CABA7}" name="Column15921" dataCellStyle="Normal 2"/>
    <tableColumn id="15937" xr3:uid="{03F089E5-F30A-4C00-83B9-19B5640A224E}" name="Column15922" dataCellStyle="Normal 2"/>
    <tableColumn id="15938" xr3:uid="{ECA5A402-FB55-4F4C-A324-84848A3D0FFF}" name="Column15923" dataCellStyle="Normal 2"/>
    <tableColumn id="15939" xr3:uid="{E517227A-280C-4A4A-A733-D2A6AB874481}" name="Column15924" dataCellStyle="Normal 2"/>
    <tableColumn id="15940" xr3:uid="{2FCB3D61-9936-4170-8775-5EF5C492B4AD}" name="Column15925" dataCellStyle="Normal 2"/>
    <tableColumn id="15941" xr3:uid="{8F15D682-6BEA-4603-88FC-5E7173C58AFA}" name="Column15926" dataCellStyle="Normal 2"/>
    <tableColumn id="15942" xr3:uid="{CD2708E3-1999-47AD-AEF2-4BDAD2A1AC8A}" name="Column15927" dataCellStyle="Normal 2"/>
    <tableColumn id="15943" xr3:uid="{877DF2FD-B03F-48CD-AA4B-433657F21909}" name="Column15928" dataCellStyle="Normal 2"/>
    <tableColumn id="15944" xr3:uid="{E62E4764-DB7F-4F89-9D93-F6CDBCD08B51}" name="Column15929" dataCellStyle="Normal 2"/>
    <tableColumn id="15945" xr3:uid="{64AC7AD2-271C-4C9C-80B5-D1F03B2030E4}" name="Column15930" dataCellStyle="Normal 2"/>
    <tableColumn id="15946" xr3:uid="{24F66CD3-6309-479F-BF5D-51220F935F32}" name="Column15931" dataCellStyle="Normal 2"/>
    <tableColumn id="15947" xr3:uid="{3CFC6207-965E-47DA-83B0-D27D124B6803}" name="Column15932" dataCellStyle="Normal 2"/>
    <tableColumn id="15948" xr3:uid="{C595D4E2-3FF0-4A5C-A0F4-55D07E11FAFE}" name="Column15933" dataCellStyle="Normal 2"/>
    <tableColumn id="15949" xr3:uid="{DE3985F2-D899-4BF4-9F1F-F33DE549A934}" name="Column15934" dataCellStyle="Normal 2"/>
    <tableColumn id="15950" xr3:uid="{BAEE6443-B760-489D-8D2C-1D43DC6C38AE}" name="Column15935" dataCellStyle="Normal 2"/>
    <tableColumn id="15951" xr3:uid="{FAEA0EA2-FB66-47D7-87A6-5A5189245F11}" name="Column15936" dataCellStyle="Normal 2"/>
    <tableColumn id="15952" xr3:uid="{2E26B20A-61D3-46B2-87D8-5A80C960CD62}" name="Column15937" dataCellStyle="Normal 2"/>
    <tableColumn id="15953" xr3:uid="{D523372A-F39E-4D17-909B-C27F26438CB5}" name="Column15938" dataCellStyle="Normal 2"/>
    <tableColumn id="15954" xr3:uid="{AC46237D-E005-4CCA-A171-CE39C4BDF22A}" name="Column15939" dataCellStyle="Normal 2"/>
    <tableColumn id="15955" xr3:uid="{F5A71877-4909-44F5-87B7-865FD2C5F788}" name="Column15940" dataCellStyle="Normal 2"/>
    <tableColumn id="15956" xr3:uid="{43F086E3-EB60-47F6-B0A8-DA4145666C4A}" name="Column15941" dataCellStyle="Normal 2"/>
    <tableColumn id="15957" xr3:uid="{F41C2A50-6223-4E8F-AC02-5AB721F2A017}" name="Column15942" dataCellStyle="Normal 2"/>
    <tableColumn id="15958" xr3:uid="{15D26FD3-4FB9-4539-84A7-47D94CBC0F80}" name="Column15943" dataCellStyle="Normal 2"/>
    <tableColumn id="15959" xr3:uid="{9ED2A27B-119C-4AC9-816F-8E26A0C8D409}" name="Column15944" dataCellStyle="Normal 2"/>
    <tableColumn id="15960" xr3:uid="{83A13BCB-7D8E-4889-B184-896CD71A53DF}" name="Column15945" dataCellStyle="Normal 2"/>
    <tableColumn id="15961" xr3:uid="{7997DCE3-C59B-4F7C-B31E-6235C0A7C9A7}" name="Column15946" dataCellStyle="Normal 2"/>
    <tableColumn id="15962" xr3:uid="{F7988E28-E817-43E4-9742-7A04F0DB334B}" name="Column15947" dataCellStyle="Normal 2"/>
    <tableColumn id="15963" xr3:uid="{A82B31A3-95C2-40E9-B4AF-BD544EC843DF}" name="Column15948" dataCellStyle="Normal 2"/>
    <tableColumn id="15964" xr3:uid="{90B2CF8E-902F-4186-ACF1-DBF49EA0A81F}" name="Column15949" dataCellStyle="Normal 2"/>
    <tableColumn id="15965" xr3:uid="{89FF8838-8A22-4182-868C-48F7F02D222A}" name="Column15950" dataCellStyle="Normal 2"/>
    <tableColumn id="15966" xr3:uid="{0A237BBF-8295-496B-9B56-1FC302045DCE}" name="Column15951" dataCellStyle="Normal 2"/>
    <tableColumn id="15967" xr3:uid="{3D6EE5BD-D7DF-47CC-8B09-B5221D4FAC54}" name="Column15952" dataCellStyle="Normal 2"/>
    <tableColumn id="15968" xr3:uid="{9B5BC75E-91F6-42C7-8EB7-27D83DD15FB3}" name="Column15953" dataCellStyle="Normal 2"/>
    <tableColumn id="15969" xr3:uid="{ED059347-46A8-406F-B3AC-72383E43ABE0}" name="Column15954" dataCellStyle="Normal 2"/>
    <tableColumn id="15970" xr3:uid="{6B498D74-F017-4070-8F27-009E77096368}" name="Column15955" dataCellStyle="Normal 2"/>
    <tableColumn id="15971" xr3:uid="{08423C46-BFDA-4E8D-B241-5CA8D504D878}" name="Column15956" dataCellStyle="Normal 2"/>
    <tableColumn id="15972" xr3:uid="{D687CC43-ED70-478C-A9F0-3411B458710E}" name="Column15957" dataCellStyle="Normal 2"/>
    <tableColumn id="15973" xr3:uid="{3C7D8D4F-BF4B-45D9-A364-2D7429391C52}" name="Column15958" dataCellStyle="Normal 2"/>
    <tableColumn id="15974" xr3:uid="{035B5233-7571-4B0B-88EE-DC16658DE044}" name="Column15959" dataCellStyle="Normal 2"/>
    <tableColumn id="15975" xr3:uid="{2DA1430D-8784-4789-BED6-7F6E626E02DC}" name="Column15960" dataCellStyle="Normal 2"/>
    <tableColumn id="15976" xr3:uid="{35E1CEF1-EA73-453E-B3AA-A01A6BE30384}" name="Column15961" dataCellStyle="Normal 2"/>
    <tableColumn id="15977" xr3:uid="{3FEC9AC7-890F-4814-B240-9BA6616AED61}" name="Column15962" dataCellStyle="Normal 2"/>
    <tableColumn id="15978" xr3:uid="{FF62FD81-9701-4775-94C3-C00167A0B16E}" name="Column15963" dataCellStyle="Normal 2"/>
    <tableColumn id="15979" xr3:uid="{D1504078-8B5D-42AC-A825-A510F00CFAAA}" name="Column15964" dataCellStyle="Normal 2"/>
    <tableColumn id="15980" xr3:uid="{B48ADC0C-C758-4F56-BAC7-37FB0E9BF64B}" name="Column15965" dataCellStyle="Normal 2"/>
    <tableColumn id="15981" xr3:uid="{3AE7F3A5-E725-43B7-AC1A-FC9985A08969}" name="Column15966" dataCellStyle="Normal 2"/>
    <tableColumn id="15982" xr3:uid="{7139BB46-C210-4840-81A9-994C495C3A53}" name="Column15967" dataCellStyle="Normal 2"/>
    <tableColumn id="15983" xr3:uid="{3592443C-7647-4520-8FA2-CB51C4C17276}" name="Column15968" dataCellStyle="Normal 2"/>
    <tableColumn id="15984" xr3:uid="{FB9E5DBE-0452-42B0-BF1B-AD53AD2325D0}" name="Column15969" dataCellStyle="Normal 2"/>
    <tableColumn id="15985" xr3:uid="{901AB2CA-BCE0-45B5-8C8F-90232831F7AD}" name="Column15970" dataCellStyle="Normal 2"/>
    <tableColumn id="15986" xr3:uid="{4A1C32B0-9C59-47E4-A7F8-28CE6D9F0D83}" name="Column15971" dataCellStyle="Normal 2"/>
    <tableColumn id="15987" xr3:uid="{5932A5AE-9099-4460-BC83-166894E5BCAA}" name="Column15972" dataCellStyle="Normal 2"/>
    <tableColumn id="15988" xr3:uid="{88CB64C0-B794-4CBC-B0C1-A7E28AD447FD}" name="Column15973" dataCellStyle="Normal 2"/>
    <tableColumn id="15989" xr3:uid="{6DEFB216-EF03-4E5A-9C13-3CBD8E000EAD}" name="Column15974" dataCellStyle="Normal 2"/>
    <tableColumn id="15990" xr3:uid="{CA6F1138-B8F5-4889-83F1-FD8149115F38}" name="Column15975" dataCellStyle="Normal 2"/>
    <tableColumn id="15991" xr3:uid="{134C7F36-4241-4DF8-A477-F6DD33285B45}" name="Column15976" dataCellStyle="Normal 2"/>
    <tableColumn id="15992" xr3:uid="{2FB3D24B-E016-42B1-A020-FCE7D8FFCCD8}" name="Column15977" dataCellStyle="Normal 2"/>
    <tableColumn id="15993" xr3:uid="{0BF19758-F915-43FE-9895-C5C1F288F652}" name="Column15978" dataCellStyle="Normal 2"/>
    <tableColumn id="15994" xr3:uid="{130E61E4-AB9A-4864-9150-31AAFD7C1720}" name="Column15979" dataCellStyle="Normal 2"/>
    <tableColumn id="15995" xr3:uid="{F3372897-2CC5-463A-B140-856701EE3701}" name="Column15980" dataCellStyle="Normal 2"/>
    <tableColumn id="15996" xr3:uid="{F6B13524-8B58-42D6-8FCB-509ED77B1A9B}" name="Column15981" dataCellStyle="Normal 2"/>
    <tableColumn id="15997" xr3:uid="{42999E6D-4DBE-4AED-8AAE-A339A0A5A0FB}" name="Column15982" dataCellStyle="Normal 2"/>
    <tableColumn id="15998" xr3:uid="{E60660C2-6451-4293-A9A8-B06B70A2C742}" name="Column15983" dataCellStyle="Normal 2"/>
    <tableColumn id="15999" xr3:uid="{FCF6519C-CD12-4226-B3CF-033D40F1605A}" name="Column15984" dataCellStyle="Normal 2"/>
    <tableColumn id="16000" xr3:uid="{1ACACB65-5944-4967-913E-9FD869A95164}" name="Column15985" dataCellStyle="Normal 2"/>
    <tableColumn id="16001" xr3:uid="{308BA029-F12A-451A-8144-FE97A1ED5560}" name="Column15986" dataCellStyle="Normal 2"/>
    <tableColumn id="16002" xr3:uid="{39C21A0D-AF25-43AD-AAF0-E26DDDE120F5}" name="Column15987" dataCellStyle="Normal 2"/>
    <tableColumn id="16003" xr3:uid="{2D81B2D8-891D-438B-91CE-62987400EA6C}" name="Column15988" dataCellStyle="Normal 2"/>
    <tableColumn id="16004" xr3:uid="{3512E946-9467-41DE-9C4E-5B1756C4A5C0}" name="Column15989" dataCellStyle="Normal 2"/>
    <tableColumn id="16005" xr3:uid="{91BB7D06-FD5C-4AC3-8CB8-D7AB68E142DE}" name="Column15990" dataCellStyle="Normal 2"/>
    <tableColumn id="16006" xr3:uid="{F84A0C3A-2B94-41F4-A75D-31DE474698CC}" name="Column15991" dataCellStyle="Normal 2"/>
    <tableColumn id="16007" xr3:uid="{4D99E1CE-75F8-40C2-ADBA-E7099F5CF296}" name="Column15992" dataCellStyle="Normal 2"/>
    <tableColumn id="16008" xr3:uid="{F84001E8-2B14-4764-8CAD-6DC6425B7CCA}" name="Column15993" dataCellStyle="Normal 2"/>
    <tableColumn id="16009" xr3:uid="{68E83235-B9D9-4DB0-AECF-33555827903A}" name="Column15994" dataCellStyle="Normal 2"/>
    <tableColumn id="16010" xr3:uid="{79A474B9-E896-4896-A8CB-B6327FE6FB90}" name="Column15995" dataCellStyle="Normal 2"/>
    <tableColumn id="16011" xr3:uid="{9C23BA5B-6E7F-4CA5-A1DF-20648C78E841}" name="Column15996" dataCellStyle="Normal 2"/>
    <tableColumn id="16012" xr3:uid="{547E87C8-234D-43D4-939E-29CE5B60501B}" name="Column15997" dataCellStyle="Normal 2"/>
    <tableColumn id="16013" xr3:uid="{B95022BF-A036-4E83-8C74-4D9C1937FE73}" name="Column15998" dataCellStyle="Normal 2"/>
    <tableColumn id="16014" xr3:uid="{456CD1BF-2FDF-4E11-A39C-DA374D0D4F6C}" name="Column15999" dataCellStyle="Normal 2"/>
    <tableColumn id="16015" xr3:uid="{D362042C-7B11-4BC7-AF33-FCF5282B6EF3}" name="Column16000" dataCellStyle="Normal 2"/>
    <tableColumn id="16016" xr3:uid="{B1A66E51-F6F7-470D-8DF5-44A1CF425C69}" name="Column16001" dataCellStyle="Normal 2"/>
    <tableColumn id="16017" xr3:uid="{F3AB199A-96FC-4754-9014-E106DEEC0894}" name="Column16002" dataCellStyle="Normal 2"/>
    <tableColumn id="16018" xr3:uid="{C79F4C1F-1F2C-43B4-934F-DA7DFA9C7996}" name="Column16003" dataCellStyle="Normal 2"/>
    <tableColumn id="16019" xr3:uid="{3DB7EA90-8AB4-4376-BEFB-8D7E1B2D8499}" name="Column16004" dataCellStyle="Normal 2"/>
    <tableColumn id="16020" xr3:uid="{92BE036F-6FD7-430B-B415-D10C83E97D79}" name="Column16005" dataCellStyle="Normal 2"/>
    <tableColumn id="16021" xr3:uid="{DBD785CE-5B30-4F2A-BF32-393D766B7395}" name="Column16006" dataCellStyle="Normal 2"/>
    <tableColumn id="16022" xr3:uid="{7B504475-8D3E-4D3E-98F1-8AEA1AB38126}" name="Column16007" dataCellStyle="Normal 2"/>
    <tableColumn id="16023" xr3:uid="{D79010D3-2A0B-49D7-91F4-5FA4B221B5ED}" name="Column16008" dataCellStyle="Normal 2"/>
    <tableColumn id="16024" xr3:uid="{AE075FE0-B76E-4F17-BBEC-7E90B9D08533}" name="Column16009" dataCellStyle="Normal 2"/>
    <tableColumn id="16025" xr3:uid="{21511C0E-A2AA-41C1-8827-6C7EF1B7A039}" name="Column16010" dataCellStyle="Normal 2"/>
    <tableColumn id="16026" xr3:uid="{E05CBC45-A1DB-4053-8441-D5E508C0C171}" name="Column16011" dataCellStyle="Normal 2"/>
    <tableColumn id="16027" xr3:uid="{FBB8CD77-48C6-4083-9AFC-B1CCFDBCB647}" name="Column16012" dataCellStyle="Normal 2"/>
    <tableColumn id="16028" xr3:uid="{8E30D5AD-3F28-4EBD-B66B-F29F7D3B6E9F}" name="Column16013" dataCellStyle="Normal 2"/>
    <tableColumn id="16029" xr3:uid="{E9B72BA6-8567-4E77-8122-4ABC571C3958}" name="Column16014" dataCellStyle="Normal 2"/>
    <tableColumn id="16030" xr3:uid="{DF64DAEB-ADFD-42F0-A26E-8D0D876FDEFB}" name="Column16015" dataCellStyle="Normal 2"/>
    <tableColumn id="16031" xr3:uid="{B539BFEE-2F67-486B-A60D-CA93D549BC16}" name="Column16016" dataCellStyle="Normal 2"/>
    <tableColumn id="16032" xr3:uid="{9CBE22BC-14D7-478A-A455-9CDA69F94A86}" name="Column16017" dataCellStyle="Normal 2"/>
    <tableColumn id="16033" xr3:uid="{8ECDBD5A-B04D-4822-8233-28595397B7D3}" name="Column16018" dataCellStyle="Normal 2"/>
    <tableColumn id="16034" xr3:uid="{7249D380-67A8-48B4-ACE2-12D54EDAE01F}" name="Column16019" dataCellStyle="Normal 2"/>
    <tableColumn id="16035" xr3:uid="{4A844DA4-71FE-4F2B-86CC-7CD52902FE7E}" name="Column16020" dataCellStyle="Normal 2"/>
    <tableColumn id="16036" xr3:uid="{1CD31AB8-C88A-464E-9D67-FC4A47E45F00}" name="Column16021" dataCellStyle="Normal 2"/>
    <tableColumn id="16037" xr3:uid="{9499AE38-927C-4CB2-BF28-B45B94F23373}" name="Column16022" dataCellStyle="Normal 2"/>
    <tableColumn id="16038" xr3:uid="{C578BBCC-D814-4FDA-8191-BC781B1581A6}" name="Column16023" dataCellStyle="Normal 2"/>
    <tableColumn id="16039" xr3:uid="{30254C54-B291-4B75-BB65-30E279E43A69}" name="Column16024" dataCellStyle="Normal 2"/>
    <tableColumn id="16040" xr3:uid="{E26904DF-8EC4-4C37-A68B-A84B9060C8E7}" name="Column16025" dataCellStyle="Normal 2"/>
    <tableColumn id="16041" xr3:uid="{AB17BE2C-6E01-4F5E-AF04-26EE0707A482}" name="Column16026" dataCellStyle="Normal 2"/>
    <tableColumn id="16042" xr3:uid="{C63A1D65-A3D3-492C-82AD-347BC8ED9775}" name="Column16027" dataCellStyle="Normal 2"/>
    <tableColumn id="16043" xr3:uid="{834C3C14-ED59-41F9-AE8F-9B43D5A35B6D}" name="Column16028" dataCellStyle="Normal 2"/>
    <tableColumn id="16044" xr3:uid="{1F75A938-A620-4418-9AE0-AD339970211D}" name="Column16029" dataCellStyle="Normal 2"/>
    <tableColumn id="16045" xr3:uid="{2B6B7C68-F03B-4A89-B5A7-825B2EE7C12A}" name="Column16030" dataCellStyle="Normal 2"/>
    <tableColumn id="16046" xr3:uid="{8901602E-0E6B-4B63-B48F-A1E89F0787F3}" name="Column16031" dataCellStyle="Normal 2"/>
    <tableColumn id="16047" xr3:uid="{272227D2-5E0A-4489-9F55-6439D678AC53}" name="Column16032" dataCellStyle="Normal 2"/>
    <tableColumn id="16048" xr3:uid="{506C5614-6AF2-4559-9A6C-72551C4F83F3}" name="Column16033" dataCellStyle="Normal 2"/>
    <tableColumn id="16049" xr3:uid="{31FE7D43-F90B-4E6C-8AF7-8E0ADDEE7580}" name="Column16034" dataCellStyle="Normal 2"/>
    <tableColumn id="16050" xr3:uid="{1CF76B1B-8D3C-4523-9F32-190B905F5358}" name="Column16035" dataCellStyle="Normal 2"/>
    <tableColumn id="16051" xr3:uid="{A3A1AED7-DBBD-4847-AE65-F9803CCBD0DC}" name="Column16036" dataCellStyle="Normal 2"/>
    <tableColumn id="16052" xr3:uid="{6C5A75B7-60D1-4F3C-922E-D88B6365963A}" name="Column16037" dataCellStyle="Normal 2"/>
    <tableColumn id="16053" xr3:uid="{1ABA37FA-1067-412A-8F3D-47A37B7C10AD}" name="Column16038" dataCellStyle="Normal 2"/>
    <tableColumn id="16054" xr3:uid="{740E6462-E16A-463C-A1F5-939F0ECBB748}" name="Column16039" dataCellStyle="Normal 2"/>
    <tableColumn id="16055" xr3:uid="{4A04A942-2B8D-40A5-B159-5EF2321D852A}" name="Column16040" dataCellStyle="Normal 2"/>
    <tableColumn id="16056" xr3:uid="{D1E2E377-994D-4676-872C-D9D30B2AC20D}" name="Column16041" dataCellStyle="Normal 2"/>
    <tableColumn id="16057" xr3:uid="{3057749F-6CD1-4956-B4A6-5A8DF892214B}" name="Column16042" dataCellStyle="Normal 2"/>
    <tableColumn id="16058" xr3:uid="{61198037-B9D7-4F2C-A3B9-26FE6FD85E32}" name="Column16043" dataCellStyle="Normal 2"/>
    <tableColumn id="16059" xr3:uid="{F0CA17D6-B114-4638-98B6-20CA03B4EB2C}" name="Column16044" dataCellStyle="Normal 2"/>
    <tableColumn id="16060" xr3:uid="{7A4AE929-C786-4BB8-B6FF-384D2C5E2728}" name="Column16045" dataCellStyle="Normal 2"/>
    <tableColumn id="16061" xr3:uid="{6988FB92-0E8B-4B25-B5C3-3E0FF682BB68}" name="Column16046" dataCellStyle="Normal 2"/>
    <tableColumn id="16062" xr3:uid="{2911AE98-BD9F-4FD0-963C-F168C886181F}" name="Column16047" dataCellStyle="Normal 2"/>
    <tableColumn id="16063" xr3:uid="{61152481-2410-44F9-8595-8CD32B0A1D8B}" name="Column16048" dataCellStyle="Normal 2"/>
    <tableColumn id="16064" xr3:uid="{D772DA6B-11F5-473B-A51A-DC902C93DE6C}" name="Column16049" dataCellStyle="Normal 2"/>
    <tableColumn id="16065" xr3:uid="{0BF684FC-FC00-42BA-AD9C-CDAD116B515F}" name="Column16050" dataCellStyle="Normal 2"/>
    <tableColumn id="16066" xr3:uid="{BDCA0479-FD2C-481B-AEA0-676E2B031478}" name="Column16051" dataCellStyle="Normal 2"/>
    <tableColumn id="16067" xr3:uid="{BBA59F13-7513-467C-8082-DD83DD1295BD}" name="Column16052" dataCellStyle="Normal 2"/>
    <tableColumn id="16068" xr3:uid="{8E19E35C-3539-4BF3-89A5-3E1082A9E0C4}" name="Column16053" dataCellStyle="Normal 2"/>
    <tableColumn id="16069" xr3:uid="{1EFDAA0A-A9B9-4491-953B-9D050D8176F2}" name="Column16054" dataCellStyle="Normal 2"/>
    <tableColumn id="16070" xr3:uid="{4A7521D6-C26B-42FE-B98A-400258186B26}" name="Column16055" dataCellStyle="Normal 2"/>
    <tableColumn id="16071" xr3:uid="{F89E8270-D209-4C5E-8196-4E449EBCB9B9}" name="Column16056" dataCellStyle="Normal 2"/>
    <tableColumn id="16072" xr3:uid="{7CCE17D7-98B0-4F96-8940-6EF667784F68}" name="Column16057" dataCellStyle="Normal 2"/>
    <tableColumn id="16073" xr3:uid="{AD0ADBFB-5205-445C-8E55-B03A87D5FE8F}" name="Column16058" dataCellStyle="Normal 2"/>
    <tableColumn id="16074" xr3:uid="{F97A02CD-724F-48A5-9B92-DF31ED6F17EE}" name="Column16059" dataCellStyle="Normal 2"/>
    <tableColumn id="16075" xr3:uid="{B7487414-59D5-4BC2-86F0-BC22BE310397}" name="Column16060" dataCellStyle="Normal 2"/>
    <tableColumn id="16076" xr3:uid="{16F74541-AE23-41F7-BEDD-BEC9D9A188D8}" name="Column16061" dataCellStyle="Normal 2"/>
    <tableColumn id="16077" xr3:uid="{D5701F99-F6E5-48A1-876E-AF1ECF19B511}" name="Column16062" dataCellStyle="Normal 2"/>
    <tableColumn id="16078" xr3:uid="{E226B3C4-0709-4626-BBE9-1F28DACDEED1}" name="Column16063" dataCellStyle="Normal 2"/>
    <tableColumn id="16079" xr3:uid="{B6A68815-F829-49C7-BF4B-3DF171F5B047}" name="Column16064" dataCellStyle="Normal 2"/>
    <tableColumn id="16080" xr3:uid="{12A3760C-D357-49E0-ACE4-3923F5BC6790}" name="Column16065" dataCellStyle="Normal 2"/>
    <tableColumn id="16081" xr3:uid="{4E509F59-EB89-4424-923C-039F0ECE2C9E}" name="Column16066" dataCellStyle="Normal 2"/>
    <tableColumn id="16082" xr3:uid="{33060D55-8D53-407C-81C5-F73FB533C8AB}" name="Column16067" dataCellStyle="Normal 2"/>
    <tableColumn id="16083" xr3:uid="{DC08F54A-E63B-4261-92C6-D56F48BEC857}" name="Column16068" dataCellStyle="Normal 2"/>
    <tableColumn id="16084" xr3:uid="{7A452135-1767-4EB2-AA5E-86BA8ED735D9}" name="Column16069" dataCellStyle="Normal 2"/>
    <tableColumn id="16085" xr3:uid="{166CF853-B210-449B-AA0D-38C1F44DC0DB}" name="Column16070" dataCellStyle="Normal 2"/>
    <tableColumn id="16086" xr3:uid="{6C871E21-0227-4F1E-A640-9D78CDB3DB7D}" name="Column16071" dataCellStyle="Normal 2"/>
    <tableColumn id="16087" xr3:uid="{244FDF51-090A-4862-9EBA-8C704DA43266}" name="Column16072" dataCellStyle="Normal 2"/>
    <tableColumn id="16088" xr3:uid="{B700A957-70C6-4BA5-BB45-977677F4401D}" name="Column16073" dataCellStyle="Normal 2"/>
    <tableColumn id="16089" xr3:uid="{2ECDE9EA-7263-4A2A-87D9-9A888FD3E478}" name="Column16074" dataCellStyle="Normal 2"/>
    <tableColumn id="16090" xr3:uid="{787481D2-DAC8-431B-9AF3-7FE8DC8A4505}" name="Column16075" dataCellStyle="Normal 2"/>
    <tableColumn id="16091" xr3:uid="{55516A04-EED1-4146-B031-9BEDDDD2633C}" name="Column16076" dataCellStyle="Normal 2"/>
    <tableColumn id="16092" xr3:uid="{D8CAEE08-DCCB-4441-A867-6D47C375E291}" name="Column16077" dataCellStyle="Normal 2"/>
    <tableColumn id="16093" xr3:uid="{5CA15BA9-E125-496D-8470-57BF9813151A}" name="Column16078" dataCellStyle="Normal 2"/>
    <tableColumn id="16094" xr3:uid="{E359EA4A-D576-4A5E-87C0-38274567B376}" name="Column16079" dataCellStyle="Normal 2"/>
    <tableColumn id="16095" xr3:uid="{62CD9EB3-71F8-43B2-BA6B-718A7E8D6CAA}" name="Column16080" dataCellStyle="Normal 2"/>
    <tableColumn id="16096" xr3:uid="{44A79EA0-59B5-4712-BC89-ABC092ADB283}" name="Column16081" dataCellStyle="Normal 2"/>
    <tableColumn id="16097" xr3:uid="{CD152593-130B-4EF8-9CB9-00719E8F2EDC}" name="Column16082" dataCellStyle="Normal 2"/>
    <tableColumn id="16098" xr3:uid="{9D3F1203-FD01-40CC-8678-03CB79570D97}" name="Column16083" dataCellStyle="Normal 2"/>
    <tableColumn id="16099" xr3:uid="{9F967839-889D-4ADF-8860-EFF3C3BE4056}" name="Column16084" dataCellStyle="Normal 2"/>
    <tableColumn id="16100" xr3:uid="{E91588E8-02E0-4471-B1B1-740CF297CBA0}" name="Column16085" dataCellStyle="Normal 2"/>
    <tableColumn id="16101" xr3:uid="{0AAA9D95-DC91-4711-8F07-3DC786BECDFC}" name="Column16086" dataCellStyle="Normal 2"/>
    <tableColumn id="16102" xr3:uid="{AD95AA6B-7606-4E6E-A4FE-6009C621FA3B}" name="Column16087" dataCellStyle="Normal 2"/>
    <tableColumn id="16103" xr3:uid="{76B2BD40-0716-42BA-840C-BFB33F1D87FE}" name="Column16088" dataCellStyle="Normal 2"/>
    <tableColumn id="16104" xr3:uid="{B6899929-461F-4E4A-96BE-5CD454CE2272}" name="Column16089" dataCellStyle="Normal 2"/>
    <tableColumn id="16105" xr3:uid="{4985093F-5F12-458D-A5D4-FF55AB66D16E}" name="Column16090" dataCellStyle="Normal 2"/>
    <tableColumn id="16106" xr3:uid="{E846EFF0-74AB-4926-ABF6-1F142A016134}" name="Column16091" dataCellStyle="Normal 2"/>
    <tableColumn id="16107" xr3:uid="{7CBB970C-984E-463D-8E1F-C605EB95054E}" name="Column16092" dataCellStyle="Normal 2"/>
    <tableColumn id="16108" xr3:uid="{DD8EC31F-A89B-4971-861B-D4CC4CA51B6D}" name="Column16093" dataCellStyle="Normal 2"/>
    <tableColumn id="16109" xr3:uid="{E8FD2BDD-6538-4752-A488-583773909547}" name="Column16094" dataCellStyle="Normal 2"/>
    <tableColumn id="16110" xr3:uid="{C39FF1A9-D8AE-4FD8-95E1-4A809C93FC95}" name="Column16095" dataCellStyle="Normal 2"/>
    <tableColumn id="16111" xr3:uid="{F857807A-DF66-49E3-8B92-27F5C28B1BB9}" name="Column16096" dataCellStyle="Normal 2"/>
    <tableColumn id="16112" xr3:uid="{F5889279-3C0E-46F1-A77A-5883AFC52197}" name="Column16097" dataCellStyle="Normal 2"/>
    <tableColumn id="16113" xr3:uid="{BE4919C0-71CE-47C8-A9B6-2D62CFC79E35}" name="Column16098" dataCellStyle="Normal 2"/>
    <tableColumn id="16114" xr3:uid="{1A6D45D4-9329-4DDA-8B35-0C434E67C9D5}" name="Column16099" dataCellStyle="Normal 2"/>
    <tableColumn id="16115" xr3:uid="{8CE83176-CC45-4551-AFD4-88682444B9D2}" name="Column16100" dataCellStyle="Normal 2"/>
    <tableColumn id="16116" xr3:uid="{959D3454-43C2-4902-B820-53071D9CBDD0}" name="Column16101" dataCellStyle="Normal 2"/>
    <tableColumn id="16117" xr3:uid="{363E00CA-8E90-4C6F-B071-EC556CC76CA6}" name="Column16102" dataCellStyle="Normal 2"/>
    <tableColumn id="16118" xr3:uid="{9C70EA2E-D0DA-469E-AE46-C8B3F86BF13C}" name="Column16103" dataCellStyle="Normal 2"/>
    <tableColumn id="16119" xr3:uid="{9731AB8B-8930-47D0-90DF-6FF0367AB0CC}" name="Column16104" dataCellStyle="Normal 2"/>
    <tableColumn id="16120" xr3:uid="{0869E301-402D-48CA-925B-35DA38BE9C5D}" name="Column16105" dataCellStyle="Normal 2"/>
    <tableColumn id="16121" xr3:uid="{DEB199C6-8A7B-4F3E-8706-5F20FFE5D303}" name="Column16106" dataCellStyle="Normal 2"/>
    <tableColumn id="16122" xr3:uid="{86A5BB47-6BD1-4A28-8E2F-93278D6C1F10}" name="Column16107" dataCellStyle="Normal 2"/>
    <tableColumn id="16123" xr3:uid="{7F34A04C-A34F-4A87-8A59-D1471275C8C4}" name="Column16108" dataCellStyle="Normal 2"/>
    <tableColumn id="16124" xr3:uid="{D24977CB-1F79-40E3-AA22-E895377F1F4D}" name="Column16109" dataCellStyle="Normal 2"/>
    <tableColumn id="16125" xr3:uid="{CD56671C-82EF-4D8A-9514-7DBB012C94EE}" name="Column16110" dataCellStyle="Normal 2"/>
    <tableColumn id="16126" xr3:uid="{9758DA9C-B285-4D92-B7C1-36F26A70F515}" name="Column16111" dataCellStyle="Normal 2"/>
    <tableColumn id="16127" xr3:uid="{09BBAEF5-EF35-45EE-960F-0EEFD7D9DEAD}" name="Column16112" dataCellStyle="Normal 2"/>
    <tableColumn id="16128" xr3:uid="{FD9BE9EA-8396-4B64-A0E1-0BDD8C54A196}" name="Column16113" dataCellStyle="Normal 2"/>
    <tableColumn id="16129" xr3:uid="{80FA39B1-8B8B-4C3E-BB47-23E6B150F454}" name="Column16114" dataCellStyle="Normal 2"/>
    <tableColumn id="16130" xr3:uid="{D73A26B1-08E9-4E4F-822E-34BA6B3D34E2}" name="Column16115" dataCellStyle="Normal 2"/>
    <tableColumn id="16131" xr3:uid="{A1970977-F4B3-413E-B883-93F07512FBA5}" name="Column16116" dataCellStyle="Normal 2"/>
    <tableColumn id="16132" xr3:uid="{B912ADC3-6C52-465B-B50C-E4207010FD9E}" name="Column16117" dataCellStyle="Normal 2"/>
    <tableColumn id="16133" xr3:uid="{E43B7D6D-4688-4313-B3CD-D58D59EC4E42}" name="Column16118" dataCellStyle="Normal 2"/>
    <tableColumn id="16134" xr3:uid="{0CB92161-580F-468E-A06D-E8564951BEF1}" name="Column16119" dataCellStyle="Normal 2"/>
    <tableColumn id="16135" xr3:uid="{FDFE9886-9F06-43C5-83D9-AB74F2EDB711}" name="Column16120" dataCellStyle="Normal 2"/>
    <tableColumn id="16136" xr3:uid="{CF606762-279E-4C8F-A69D-9147ADDED49D}" name="Column16121" dataCellStyle="Normal 2"/>
    <tableColumn id="16137" xr3:uid="{3FE53E1A-4FD9-4F2D-812B-AC824F2F60E9}" name="Column16122" dataCellStyle="Normal 2"/>
    <tableColumn id="16138" xr3:uid="{A1267BAF-B7F7-4B05-9C26-F2D071478F0E}" name="Column16123" dataCellStyle="Normal 2"/>
    <tableColumn id="16139" xr3:uid="{A9275BC9-A3B5-453A-A727-127C8F643A88}" name="Column16124" dataCellStyle="Normal 2"/>
    <tableColumn id="16140" xr3:uid="{FCDA2F7E-A866-484B-AABF-CFD7DEBEE1EF}" name="Column16125" dataCellStyle="Normal 2"/>
    <tableColumn id="16141" xr3:uid="{66DF45CC-639D-49C5-BF2F-DD5B8E3C2A54}" name="Column16126" dataCellStyle="Normal 2"/>
    <tableColumn id="16142" xr3:uid="{0BEB7BE2-202F-427B-A95B-14C07A53BB41}" name="Column16127" dataCellStyle="Normal 2"/>
    <tableColumn id="16143" xr3:uid="{1B796172-8928-4878-8791-F2A98855BAAB}" name="Column16128" dataCellStyle="Normal 2"/>
    <tableColumn id="16144" xr3:uid="{4EA9F0FC-2676-419B-A3C9-C131A24AF7C6}" name="Column16129" dataCellStyle="Normal 2"/>
    <tableColumn id="16145" xr3:uid="{47EC82C9-763E-4113-BF11-381B81122ECD}" name="Column16130" dataCellStyle="Normal 2"/>
    <tableColumn id="16146" xr3:uid="{EB369B8E-F333-49F1-A7F6-5AF2B09E2460}" name="Column16131" dataCellStyle="Normal 2"/>
    <tableColumn id="16147" xr3:uid="{95B5F4DA-55CB-4F93-9EEF-642B479288E3}" name="Column16132" dataCellStyle="Normal 2"/>
    <tableColumn id="16148" xr3:uid="{4AE43CA1-BC8D-4EDB-BD8F-BE762D25180F}" name="Column16133" dataCellStyle="Normal 2"/>
    <tableColumn id="16149" xr3:uid="{348E364C-4D9D-4D6C-A72C-F8D5E69CC210}" name="Column16134" dataCellStyle="Normal 2"/>
    <tableColumn id="16150" xr3:uid="{655C0B19-F6AA-4239-AD96-985548E32F5D}" name="Column16135" dataCellStyle="Normal 2"/>
    <tableColumn id="16151" xr3:uid="{AEF915E0-E7BC-4686-AE59-1EF6FD18C05E}" name="Column16136" dataCellStyle="Normal 2"/>
    <tableColumn id="16152" xr3:uid="{43A8BFE7-71E7-44D3-8F67-2AB8A6F12397}" name="Column16137" dataCellStyle="Normal 2"/>
    <tableColumn id="16153" xr3:uid="{439B7CD8-99ED-41BB-84C4-7FB15DD8DFDB}" name="Column16138" dataCellStyle="Normal 2"/>
    <tableColumn id="16154" xr3:uid="{6B1EE6C4-2B44-4751-BB12-AB1D212CB798}" name="Column16139" dataCellStyle="Normal 2"/>
    <tableColumn id="16155" xr3:uid="{0E92DB85-1F97-4CC8-B7A7-BE184B463564}" name="Column16140" dataCellStyle="Normal 2"/>
    <tableColumn id="16156" xr3:uid="{DDBD70AF-8A54-4291-96B5-2AD7397E5528}" name="Column16141" dataCellStyle="Normal 2"/>
    <tableColumn id="16157" xr3:uid="{FAB85E3D-8BC3-4E83-827E-54335FF4584A}" name="Column16142" dataCellStyle="Normal 2"/>
    <tableColumn id="16158" xr3:uid="{B5C2FD73-C061-44AB-8B80-C998DC8B77A8}" name="Column16143" dataCellStyle="Normal 2"/>
    <tableColumn id="16159" xr3:uid="{34092253-B2F7-4BEA-90C9-340A111F14DE}" name="Column16144" dataCellStyle="Normal 2"/>
    <tableColumn id="16160" xr3:uid="{02DD9F90-530B-4FD2-A189-DB4377EDE95C}" name="Column16145" dataCellStyle="Normal 2"/>
    <tableColumn id="16161" xr3:uid="{888A5227-3519-456B-9363-5091F5089C49}" name="Column16146" dataCellStyle="Normal 2"/>
    <tableColumn id="16162" xr3:uid="{76C2AEF8-C96F-415D-9D22-32B4986FFEF6}" name="Column16147" dataCellStyle="Normal 2"/>
    <tableColumn id="16163" xr3:uid="{C3975217-98CF-4B35-95A3-9C914FE061B6}" name="Column16148" dataCellStyle="Normal 2"/>
    <tableColumn id="16164" xr3:uid="{9720FCBB-54CE-4F58-AED8-F054EF352D8F}" name="Column16149" dataCellStyle="Normal 2"/>
    <tableColumn id="16165" xr3:uid="{F291AF5D-1887-4242-9065-0DA14E398934}" name="Column16150" dataCellStyle="Normal 2"/>
    <tableColumn id="16166" xr3:uid="{8FB5D131-9A89-46B9-A248-70004CCA2150}" name="Column16151" dataCellStyle="Normal 2"/>
    <tableColumn id="16167" xr3:uid="{A3DAFEC4-A9E5-49C0-8934-F2B7AC89036E}" name="Column16152" dataCellStyle="Normal 2"/>
    <tableColumn id="16168" xr3:uid="{CAD35C76-AA00-4460-A1A7-8A68461DA737}" name="Column16153" dataCellStyle="Normal 2"/>
    <tableColumn id="16169" xr3:uid="{60F6C18C-2F18-495D-96B6-BEFE4D3EB0D0}" name="Column16154" dataCellStyle="Normal 2"/>
    <tableColumn id="16170" xr3:uid="{56538D95-60E6-411F-9B1F-8F632B0591BF}" name="Column16155" dataCellStyle="Normal 2"/>
    <tableColumn id="16171" xr3:uid="{27FCC30D-4CA0-43BD-A260-5FC44817372E}" name="Column16156" dataCellStyle="Normal 2"/>
    <tableColumn id="16172" xr3:uid="{3A6BC3EA-DAD6-45CB-B472-1059FB358C4A}" name="Column16157" dataCellStyle="Normal 2"/>
    <tableColumn id="16173" xr3:uid="{30EC4274-A9A1-4423-8D0A-C89B13C62EF1}" name="Column16158" dataCellStyle="Normal 2"/>
    <tableColumn id="16174" xr3:uid="{9D72EF97-7DAB-48A2-9B62-D57B590C8D49}" name="Column16159" dataCellStyle="Normal 2"/>
    <tableColumn id="16175" xr3:uid="{81E62EA1-60C0-47ED-AB45-6C6DC76B5886}" name="Column16160" dataCellStyle="Normal 2"/>
    <tableColumn id="16176" xr3:uid="{7C4D43BC-59BF-4743-92F0-140E41EC37A2}" name="Column16161" dataCellStyle="Normal 2"/>
    <tableColumn id="16177" xr3:uid="{6B513708-474A-4241-AA0D-FFBA0B20D399}" name="Column16162" dataCellStyle="Normal 2"/>
    <tableColumn id="16178" xr3:uid="{50E26910-C541-49BB-852A-E7298B9E4AC4}" name="Column16163" dataCellStyle="Normal 2"/>
    <tableColumn id="16179" xr3:uid="{521B7F91-0A8B-46CF-BFD8-8720074419D9}" name="Column16164" dataCellStyle="Normal 2"/>
    <tableColumn id="16180" xr3:uid="{312E06EC-ACFC-430D-A28A-1D32A5A2EAF9}" name="Column16165" dataCellStyle="Normal 2"/>
    <tableColumn id="16181" xr3:uid="{FD2F93C5-A369-4A12-8957-C444279945DD}" name="Column16166" dataCellStyle="Normal 2"/>
    <tableColumn id="16182" xr3:uid="{C5BE00C4-0203-417B-862F-04B5CA13534F}" name="Column16167" dataCellStyle="Normal 2"/>
    <tableColumn id="16183" xr3:uid="{80306716-F23F-4AA0-9054-C3F4BC356DD9}" name="Column16168" dataCellStyle="Normal 2"/>
    <tableColumn id="16184" xr3:uid="{5BBA3BD2-8851-4CD8-B38A-600AA5F3268D}" name="Column16169" dataCellStyle="Normal 2"/>
    <tableColumn id="16185" xr3:uid="{367C5B77-FBD3-4889-AA5F-0816115ADA53}" name="Column16170" dataCellStyle="Normal 2"/>
    <tableColumn id="16186" xr3:uid="{02D74F60-A4BE-41D0-9B37-2A1A16CEB705}" name="Column16171" dataCellStyle="Normal 2"/>
    <tableColumn id="16187" xr3:uid="{B976C342-3FF9-420E-A8B5-D2A0DCD302C7}" name="Column16172" dataCellStyle="Normal 2"/>
    <tableColumn id="16188" xr3:uid="{1BD36692-5F58-472C-BB25-E22775739FD4}" name="Column16173" dataCellStyle="Normal 2"/>
    <tableColumn id="16189" xr3:uid="{1795600E-956F-44EC-9847-82426479019C}" name="Column16174" dataCellStyle="Normal 2"/>
    <tableColumn id="16190" xr3:uid="{85A50013-6BE5-4A11-AA1D-45539E4E5F67}" name="Column16175" dataCellStyle="Normal 2"/>
    <tableColumn id="16191" xr3:uid="{0BACDFE7-6B42-4929-AD49-0247F7270E31}" name="Column16176" dataCellStyle="Normal 2"/>
    <tableColumn id="16192" xr3:uid="{FD793BCF-2491-4722-B95D-55E5CE687B87}" name="Column16177" dataCellStyle="Normal 2"/>
    <tableColumn id="16193" xr3:uid="{61C681DE-4314-4B2F-800F-E704ED54D1AE}" name="Column16178" dataCellStyle="Normal 2"/>
    <tableColumn id="16194" xr3:uid="{E7B73875-3B4C-4C1D-B504-47F1C699012E}" name="Column16179" dataCellStyle="Normal 2"/>
    <tableColumn id="16195" xr3:uid="{D18B4C46-F14B-4112-A4E7-4AB99B3B57D3}" name="Column16180" dataCellStyle="Normal 2"/>
    <tableColumn id="16196" xr3:uid="{DBCF4891-99C1-4E65-92D2-D22B36937203}" name="Column16181" dataCellStyle="Normal 2"/>
    <tableColumn id="16197" xr3:uid="{311D9589-70A4-4B9A-BCF9-963FF3337747}" name="Column16182" dataCellStyle="Normal 2"/>
    <tableColumn id="16198" xr3:uid="{97A8A8E4-260E-44E6-9EC2-5940C3A505AC}" name="Column16183" dataCellStyle="Normal 2"/>
    <tableColumn id="16199" xr3:uid="{F5CA068F-97C2-49B5-BEEF-E83DBBDB8BEE}" name="Column16184" dataCellStyle="Normal 2"/>
    <tableColumn id="16200" xr3:uid="{5E2ABFB9-534F-4A91-9580-FD4F9DAA319A}" name="Column16185" dataCellStyle="Normal 2"/>
    <tableColumn id="16201" xr3:uid="{16DB9487-1ABD-4521-8F35-274B8A0CB820}" name="Column16186" dataCellStyle="Normal 2"/>
    <tableColumn id="16202" xr3:uid="{1F27322D-D399-4962-ADE2-C1D0505073D9}" name="Column16187" dataCellStyle="Normal 2"/>
    <tableColumn id="16203" xr3:uid="{2A2AF869-9D5D-4122-9A6C-33D317D5E5C7}" name="Column16188" dataCellStyle="Normal 2"/>
    <tableColumn id="16204" xr3:uid="{D84EB423-529E-43BC-BCFE-1E57216DFD75}" name="Column16189" dataCellStyle="Normal 2"/>
    <tableColumn id="16205" xr3:uid="{5FC5A23B-BD0D-4B0B-82FC-7E264CE2001D}" name="Column16190" dataCellStyle="Normal 2"/>
    <tableColumn id="16206" xr3:uid="{2C66B679-95CF-48AD-AB6C-E0428F364530}" name="Column16191" dataCellStyle="Normal 2"/>
    <tableColumn id="16207" xr3:uid="{FB40883B-77AD-411B-8AC7-C71FBD684316}" name="Column16192" dataCellStyle="Normal 2"/>
    <tableColumn id="16208" xr3:uid="{C71DE9F8-D232-4DC5-807E-BE32CB699FB7}" name="Column16193" dataCellStyle="Normal 2"/>
    <tableColumn id="16209" xr3:uid="{88B72755-0DF3-4C9C-B456-5FF9DF9D0B6C}" name="Column16194" dataCellStyle="Normal 2"/>
    <tableColumn id="16210" xr3:uid="{A23CCFB9-D5DC-467D-9FC5-8DCB496EFD79}" name="Column16195" dataCellStyle="Normal 2"/>
    <tableColumn id="16211" xr3:uid="{B53A7EB7-0A98-4CBB-BDC3-33D219A76C23}" name="Column16196" dataCellStyle="Normal 2"/>
    <tableColumn id="16212" xr3:uid="{C4E5E9D2-AF29-44E7-A08E-011D29E4AEEE}" name="Column16197" dataCellStyle="Normal 2"/>
    <tableColumn id="16213" xr3:uid="{74B7D4AF-C15B-4455-A354-72B4B5E0BC48}" name="Column16198" dataCellStyle="Normal 2"/>
    <tableColumn id="16214" xr3:uid="{AA157E41-79E9-46B5-A18A-2CEFCCBAEE93}" name="Column16199" dataCellStyle="Normal 2"/>
    <tableColumn id="16215" xr3:uid="{160013CF-ADB5-4E2B-BEC7-D8D09001A0D6}" name="Column16200" dataCellStyle="Normal 2"/>
    <tableColumn id="16216" xr3:uid="{0DDCB4FD-AE96-488F-8DFA-B7F3B73D7F61}" name="Column16201" dataCellStyle="Normal 2"/>
    <tableColumn id="16217" xr3:uid="{A932FA81-6227-4FE8-9C71-3906C0096DE0}" name="Column16202" dataCellStyle="Normal 2"/>
    <tableColumn id="16218" xr3:uid="{5F8FCE0D-3BF2-454A-954E-D792C5A12830}" name="Column16203" dataCellStyle="Normal 2"/>
    <tableColumn id="16219" xr3:uid="{A50AF371-D7C1-4CCC-A730-4E318B7DFFAF}" name="Column16204" dataCellStyle="Normal 2"/>
    <tableColumn id="16220" xr3:uid="{1D09B4F6-BC74-49EC-9F20-C043A470CAB5}" name="Column16205" dataCellStyle="Normal 2"/>
    <tableColumn id="16221" xr3:uid="{DB5FBA7A-4088-4E1A-8EBC-4F6CC7A1FC7A}" name="Column16206" dataCellStyle="Normal 2"/>
    <tableColumn id="16222" xr3:uid="{F5E5EB56-C254-43AF-8D91-1C9EF345B086}" name="Column16207" dataCellStyle="Normal 2"/>
    <tableColumn id="16223" xr3:uid="{DBFF80DC-5680-4074-8CA8-1F46DB714579}" name="Column16208" dataCellStyle="Normal 2"/>
    <tableColumn id="16224" xr3:uid="{572FAD2B-E5AD-48B1-BC33-641C1170597E}" name="Column16209" dataCellStyle="Normal 2"/>
    <tableColumn id="16225" xr3:uid="{A87DBCD1-6A4A-41E0-9845-AF4DAC19423D}" name="Column16210" dataCellStyle="Normal 2"/>
    <tableColumn id="16226" xr3:uid="{E1C9134A-4A18-4C1B-965E-C29D1CA07DBE}" name="Column16211" dataCellStyle="Normal 2"/>
    <tableColumn id="16227" xr3:uid="{A7D4D417-C579-4EF8-B062-37298CA92E28}" name="Column16212" dataCellStyle="Normal 2"/>
    <tableColumn id="16228" xr3:uid="{D894D1B9-829D-435D-A3A8-80E2B9F82999}" name="Column16213" dataCellStyle="Normal 2"/>
    <tableColumn id="16229" xr3:uid="{3CFF8CA5-4D3D-4843-B653-1F9BE2D6AE38}" name="Column16214" dataCellStyle="Normal 2"/>
    <tableColumn id="16230" xr3:uid="{C61E75D3-7316-48B4-852F-A11E3877EEE5}" name="Column16215" dataCellStyle="Normal 2"/>
    <tableColumn id="16231" xr3:uid="{EAB66ACA-8CEC-4F34-A1BF-36E11F145780}" name="Column16216" dataCellStyle="Normal 2"/>
    <tableColumn id="16232" xr3:uid="{02F5E1F7-F957-4920-AB68-E2283BAE8B1B}" name="Column16217" dataCellStyle="Normal 2"/>
    <tableColumn id="16233" xr3:uid="{DA1E4033-DC26-4A40-890A-7CC6C9198220}" name="Column16218" dataCellStyle="Normal 2"/>
    <tableColumn id="16234" xr3:uid="{068CD597-2F85-4CA7-9A1A-6240797CAA74}" name="Column16219" dataCellStyle="Normal 2"/>
    <tableColumn id="16235" xr3:uid="{820D83F7-0379-4106-AEB7-5F02EF1044B7}" name="Column16220" dataCellStyle="Normal 2"/>
    <tableColumn id="16236" xr3:uid="{8EAA7B45-54B4-4996-B614-96E3FBA98EB6}" name="Column16221" dataCellStyle="Normal 2"/>
    <tableColumn id="16237" xr3:uid="{E4F99121-652E-45E1-9690-CDCCF88FF3B1}" name="Column16222" dataCellStyle="Normal 2"/>
    <tableColumn id="16238" xr3:uid="{305F5626-7AA3-43B9-8355-A022EA1E14B3}" name="Column16223" dataCellStyle="Normal 2"/>
    <tableColumn id="16239" xr3:uid="{99BF11FA-D92C-4202-81DF-21C4A6D67758}" name="Column16224" dataCellStyle="Normal 2"/>
    <tableColumn id="16240" xr3:uid="{64441FE9-815C-4C21-97AC-8407D07FFEB0}" name="Column16225" dataCellStyle="Normal 2"/>
    <tableColumn id="16241" xr3:uid="{742581E0-DEEA-418E-8317-73BBB0769416}" name="Column16226" dataCellStyle="Normal 2"/>
    <tableColumn id="16242" xr3:uid="{78E78A2A-DC60-46AE-B225-B23A62856280}" name="Column16227" dataCellStyle="Normal 2"/>
    <tableColumn id="16243" xr3:uid="{F4B742C0-2402-4843-85B3-3FFCA5A20310}" name="Column16228" dataCellStyle="Normal 2"/>
    <tableColumn id="16244" xr3:uid="{A8E2A46C-D452-4AF4-8E33-AA331A1FC3B8}" name="Column16229" dataCellStyle="Normal 2"/>
    <tableColumn id="16245" xr3:uid="{CA55124B-12B3-490C-B084-52B5ED791576}" name="Column16230" dataCellStyle="Normal 2"/>
    <tableColumn id="16246" xr3:uid="{8AC5ED88-AD69-485E-9DFC-28E4ADAE1B3E}" name="Column16231" dataCellStyle="Normal 2"/>
    <tableColumn id="16247" xr3:uid="{562727AA-3981-4922-929F-C22C13AF890F}" name="Column16232" dataCellStyle="Normal 2"/>
    <tableColumn id="16248" xr3:uid="{65B3224C-FA12-4BC0-AB5A-62BDC65D5A2B}" name="Column16233" dataCellStyle="Normal 2"/>
    <tableColumn id="16249" xr3:uid="{E75CB812-10E3-43BF-915C-70467B524FB8}" name="Column16234" dataCellStyle="Normal 2"/>
    <tableColumn id="16250" xr3:uid="{CBCC3C02-EA39-417B-9564-62D0896038EF}" name="Column16235" dataCellStyle="Normal 2"/>
    <tableColumn id="16251" xr3:uid="{7A00D961-A0E8-4E00-B944-85811D492729}" name="Column16236" dataCellStyle="Normal 2"/>
    <tableColumn id="16252" xr3:uid="{5F51E5A4-8D66-4775-A8CC-1DEC30A5D455}" name="Column16237" dataCellStyle="Normal 2"/>
    <tableColumn id="16253" xr3:uid="{CA529D9E-C69B-4DEF-9781-82820AB43FDF}" name="Column16238" dataCellStyle="Normal 2"/>
    <tableColumn id="16254" xr3:uid="{C441861B-8DF8-49E5-9E1B-E45033497C4D}" name="Column16239" dataCellStyle="Normal 2"/>
    <tableColumn id="16255" xr3:uid="{21B5BE5A-4F60-4D5F-B0EF-2B4B03D5CD2E}" name="Column16240" dataCellStyle="Normal 2"/>
    <tableColumn id="16256" xr3:uid="{920BDED8-168C-4F3E-AC95-A7344A5C1B66}" name="Column16241" dataCellStyle="Normal 2"/>
    <tableColumn id="16257" xr3:uid="{26AB2E38-E575-41A5-A75A-D2E565CB4C01}" name="Column16242" dataCellStyle="Normal 2"/>
    <tableColumn id="16258" xr3:uid="{B693526E-2275-4907-9486-9645D451CD16}" name="Column16243" dataCellStyle="Normal 2"/>
    <tableColumn id="16259" xr3:uid="{57DD5087-5044-4C92-9E79-74007EEEA659}" name="Column16244" dataCellStyle="Normal 2"/>
    <tableColumn id="16260" xr3:uid="{C6E4DE8E-38A4-4C57-AFE7-E262B3B7935D}" name="Column16245" dataCellStyle="Normal 2"/>
    <tableColumn id="16261" xr3:uid="{EE403D67-77FA-4C46-839A-F20CE3C58C1E}" name="Column16246" dataCellStyle="Normal 2"/>
    <tableColumn id="16262" xr3:uid="{D0B4C8E2-E530-487E-A1AB-84801A775EF0}" name="Column16247" dataCellStyle="Normal 2"/>
    <tableColumn id="16263" xr3:uid="{6D92F356-FACC-42D8-B380-FBC379D31DDF}" name="Column16248" dataCellStyle="Normal 2"/>
    <tableColumn id="16264" xr3:uid="{33C04F40-D7F7-459A-BE18-E21BF6127DE8}" name="Column16249" dataCellStyle="Normal 2"/>
    <tableColumn id="16265" xr3:uid="{50CEE37E-6B02-4CA2-840A-4D2291ADFAD2}" name="Column16250" dataCellStyle="Normal 2"/>
    <tableColumn id="16266" xr3:uid="{23B23BF4-A56C-4156-AB93-8342998840BB}" name="Column16251" dataCellStyle="Normal 2"/>
    <tableColumn id="16267" xr3:uid="{120A3276-B802-4458-B168-D32E1E2859D5}" name="Column16252" dataCellStyle="Normal 2"/>
    <tableColumn id="16268" xr3:uid="{22919291-4F22-4091-A0A6-D8CF1F1A7826}" name="Column16253" dataCellStyle="Normal 2"/>
    <tableColumn id="16269" xr3:uid="{78F0F369-372C-4AE7-A021-C314D9B4ABE5}" name="Column16254" dataCellStyle="Normal 2"/>
    <tableColumn id="16270" xr3:uid="{14607F3F-A6FB-49A1-8E0D-5FFE4DEF6719}" name="Column16255" dataCellStyle="Normal 2"/>
    <tableColumn id="16271" xr3:uid="{EFC90B7F-2AA0-46C6-91E5-672698428D95}" name="Column16256" dataCellStyle="Normal 2"/>
    <tableColumn id="16272" xr3:uid="{0126630A-8977-4D9A-9529-754FA9308385}" name="Column16257" dataCellStyle="Normal 2"/>
    <tableColumn id="16273" xr3:uid="{9B5A254C-9279-4500-BFAD-F81A20F32ED4}" name="Column16258" dataCellStyle="Normal 2"/>
    <tableColumn id="16274" xr3:uid="{F1153C5C-D87D-4F62-B033-8814F1982783}" name="Column16259" dataCellStyle="Normal 2"/>
    <tableColumn id="16275" xr3:uid="{E6B79B8B-6478-4E05-9114-21FCB57C0CD4}" name="Column16260" dataCellStyle="Normal 2"/>
    <tableColumn id="16276" xr3:uid="{A038AA1F-311C-4C8C-815C-3907CC1518B5}" name="Column16261" dataCellStyle="Normal 2"/>
    <tableColumn id="16277" xr3:uid="{C6F913E1-F2AB-495F-9EB1-7B2DE243DA49}" name="Column16262" dataCellStyle="Normal 2"/>
    <tableColumn id="16278" xr3:uid="{17AEBC2E-9883-43E9-9663-2B6575F72D9D}" name="Column16263" dataCellStyle="Normal 2"/>
    <tableColumn id="16279" xr3:uid="{240C5068-45C7-4AFE-BB87-FEC6EECFD2C3}" name="Column16264" dataCellStyle="Normal 2"/>
    <tableColumn id="16280" xr3:uid="{83830D84-4E6B-42EC-BDB7-4FD8089A2064}" name="Column16265" dataCellStyle="Normal 2"/>
    <tableColumn id="16281" xr3:uid="{D20788B9-09AF-4924-82AF-42F1267E7304}" name="Column16266" dataCellStyle="Normal 2"/>
    <tableColumn id="16282" xr3:uid="{9E92A747-3595-4DFB-B06A-A8736F1D437C}" name="Column16267" dataCellStyle="Normal 2"/>
    <tableColumn id="16283" xr3:uid="{6CB3BD20-05D4-4B77-826B-AF3C3451537B}" name="Column16268" dataCellStyle="Normal 2"/>
    <tableColumn id="16284" xr3:uid="{8E7E5163-148E-4494-8AA9-85829B0979FD}" name="Column16269" dataCellStyle="Normal 2"/>
    <tableColumn id="16285" xr3:uid="{A4B53F73-739E-41DC-B695-7C30F3DF32CE}" name="Column16270" dataCellStyle="Normal 2"/>
    <tableColumn id="16286" xr3:uid="{B87EECC0-9C32-41E2-9DBF-72A8B8F28AAD}" name="Column16271" dataCellStyle="Normal 2"/>
    <tableColumn id="16287" xr3:uid="{871D0B9B-F837-493D-B909-BF4AF8C49546}" name="Column16272" dataCellStyle="Normal 2"/>
    <tableColumn id="16288" xr3:uid="{DE30F39A-9684-46D5-9A18-686C93B5EC93}" name="Column16273" dataCellStyle="Normal 2"/>
    <tableColumn id="16289" xr3:uid="{4BCD4CE9-0CFC-4515-92A9-41AB688881AD}" name="Column16274" dataCellStyle="Normal 2"/>
    <tableColumn id="16290" xr3:uid="{4D953D3C-53FA-4929-AD03-0B46AFC36C2C}" name="Column16275" dataCellStyle="Normal 2"/>
    <tableColumn id="16291" xr3:uid="{4DD4D509-BCFF-4C67-AD05-0BCE5FFC6A8A}" name="Column16276" dataCellStyle="Normal 2"/>
    <tableColumn id="16292" xr3:uid="{3A01D706-337D-4B64-B032-D5D323A67827}" name="Column16277" dataCellStyle="Normal 2"/>
    <tableColumn id="16293" xr3:uid="{8FE83321-8CD6-4BB1-8AB1-739AF003ACB4}" name="Column16278" dataCellStyle="Normal 2"/>
    <tableColumn id="16294" xr3:uid="{C7C2CB49-F00C-47D2-AC06-FD934D2F159C}" name="Column16279" dataCellStyle="Normal 2"/>
    <tableColumn id="16295" xr3:uid="{AA45495F-07C3-4570-838F-2184F5EFED79}" name="Column16280" dataCellStyle="Normal 2"/>
    <tableColumn id="16296" xr3:uid="{94C25E9F-35BA-4867-A8F5-7FE9B2B7A89B}" name="Column16281" dataCellStyle="Normal 2"/>
    <tableColumn id="16297" xr3:uid="{FAB1CB3E-3E1C-48D2-9FA5-1B0B734B9966}" name="Column16282" dataCellStyle="Normal 2"/>
    <tableColumn id="16298" xr3:uid="{9A168AF9-2B3E-4E88-BE66-3C606EB9F8FC}" name="Column16283" dataCellStyle="Normal 2"/>
    <tableColumn id="16299" xr3:uid="{ACD06BE3-DA18-40D4-A232-1E149D10D536}" name="Column16284" dataCellStyle="Normal 2"/>
    <tableColumn id="16300" xr3:uid="{1C378161-46FB-41AA-AF04-716E8F4D0E4A}" name="Column16285" dataCellStyle="Normal 2"/>
    <tableColumn id="16301" xr3:uid="{847BC61C-275C-4ACC-80CC-1944FD5479E5}" name="Column16286" dataCellStyle="Normal 2"/>
    <tableColumn id="16302" xr3:uid="{1B30BCFF-1D3C-4515-8BD4-A59929D38E04}" name="Column16287" dataCellStyle="Normal 2"/>
    <tableColumn id="16303" xr3:uid="{4C86FA64-011A-42E6-B79A-1CC060B9BFEA}" name="Column16288" dataCellStyle="Normal 2"/>
    <tableColumn id="16304" xr3:uid="{E9233E06-9745-4038-9049-CAEAF8EFD2FF}" name="Column16289" dataCellStyle="Normal 2"/>
    <tableColumn id="16305" xr3:uid="{AC059705-F1BD-40EE-94D9-3D50DBD7151F}" name="Column16290" dataCellStyle="Normal 2"/>
    <tableColumn id="16306" xr3:uid="{15EDAD16-0F59-4A55-9BAB-34F1F4BBBF82}" name="Column16291" dataCellStyle="Normal 2"/>
    <tableColumn id="16307" xr3:uid="{38AD8CF2-E026-43CD-A12B-01C9F437ACC4}" name="Column16292" dataCellStyle="Normal 2"/>
    <tableColumn id="16308" xr3:uid="{F329758B-E8C6-4991-9F8E-B3C565FBE2F7}" name="Column16293" dataCellStyle="Normal 2"/>
    <tableColumn id="16309" xr3:uid="{A87ECBC7-DE2B-4384-B2A4-F309EF3550B3}" name="Column16294" dataCellStyle="Normal 2"/>
    <tableColumn id="16310" xr3:uid="{01EC553D-638B-47BD-96EE-8DA4B5D32B50}" name="Column16295" dataCellStyle="Normal 2"/>
    <tableColumn id="16311" xr3:uid="{4551DA0A-EB5A-4B71-B030-2FC116BC161E}" name="Column16296" dataCellStyle="Normal 2"/>
    <tableColumn id="16312" xr3:uid="{BA1EBC2F-E7EB-4B84-93B9-FA60B4C42ED0}" name="Column16297" dataCellStyle="Normal 2"/>
    <tableColumn id="16313" xr3:uid="{9EBE1C10-9CA6-4175-83B4-77719F266BD7}" name="Column16298" dataCellStyle="Normal 2"/>
    <tableColumn id="16314" xr3:uid="{AA6873C9-2A56-469C-A302-BD34F4B8B27F}" name="Column16299" dataCellStyle="Normal 2"/>
    <tableColumn id="16315" xr3:uid="{14530C1D-B49D-48B0-A880-2D354EF78496}" name="Column16300" dataCellStyle="Normal 2"/>
    <tableColumn id="16316" xr3:uid="{B058F93C-ADE5-4C13-ADAA-AFAAC14B1CB4}" name="Column16301" dataCellStyle="Normal 2"/>
    <tableColumn id="16317" xr3:uid="{3300C5DB-86CB-48AF-A132-80097AC929B5}" name="Column16302" dataCellStyle="Normal 2"/>
    <tableColumn id="16318" xr3:uid="{6EFF126D-7546-4213-A59F-013FD3850C57}" name="Column16303" dataCellStyle="Normal 2"/>
    <tableColumn id="16319" xr3:uid="{4CCD647E-3AC2-4C28-977C-8544B51C5E95}" name="Column16304" dataCellStyle="Normal 2"/>
    <tableColumn id="16320" xr3:uid="{2C238604-4D0A-43E6-A0F0-36CEA757C079}" name="Column16305" dataCellStyle="Normal 2"/>
    <tableColumn id="16321" xr3:uid="{2D4A31AB-46DD-4048-A2F3-6E5D14641754}" name="Column16306" dataCellStyle="Normal 2"/>
    <tableColumn id="16322" xr3:uid="{A05ED14C-C9BF-49D8-B45C-D02DE5002088}" name="Column16307" dataCellStyle="Normal 2"/>
    <tableColumn id="16323" xr3:uid="{EE8FB399-944C-40EE-B0EA-C4E09FD64CEB}" name="Column16308" dataCellStyle="Normal 2"/>
    <tableColumn id="16324" xr3:uid="{178B7C48-1E37-4DA1-B400-D6CDD6479B0D}" name="Column16309" dataCellStyle="Normal 2"/>
    <tableColumn id="16325" xr3:uid="{1A5EAA7F-2392-4CCD-B62B-DAE819BD8F94}" name="Column16310" dataCellStyle="Normal 2"/>
    <tableColumn id="16326" xr3:uid="{97E55D1A-B08A-48A1-AC37-9B658E74C35D}" name="Column16311" dataCellStyle="Normal 2"/>
    <tableColumn id="16327" xr3:uid="{26628541-6A93-4711-9915-C5E988BC91C2}" name="Column16312" dataCellStyle="Normal 2"/>
    <tableColumn id="16328" xr3:uid="{2179BB21-70AF-45C6-AB9C-CF207495BACF}" name="Column16313" dataCellStyle="Normal 2"/>
    <tableColumn id="16329" xr3:uid="{31371DAD-E57F-4ABE-B17A-87757E74CFCD}" name="Column16314" dataCellStyle="Normal 2"/>
    <tableColumn id="16330" xr3:uid="{6FD03B0C-FFDF-479F-9D2D-8C06156410F7}" name="Column16315" dataCellStyle="Normal 2"/>
    <tableColumn id="16331" xr3:uid="{B91D385E-62E0-463A-AC1F-A2C0A1EF7837}" name="Column16316" dataCellStyle="Normal 2"/>
    <tableColumn id="16332" xr3:uid="{1D592781-73D3-484F-801D-39FA77225E93}" name="Column16317" dataCellStyle="Normal 2"/>
    <tableColumn id="16333" xr3:uid="{8200D1B6-0A95-427D-B550-7839BE2B30B8}" name="Column16318" dataCellStyle="Normal 2"/>
    <tableColumn id="16334" xr3:uid="{9A2BFE85-A1FA-40D9-B31D-FB2088F6D44F}" name="Column16319" dataCellStyle="Normal 2"/>
    <tableColumn id="16335" xr3:uid="{87C0C04C-74C5-410B-834B-3603F31B499C}" name="Column16320" dataCellStyle="Normal 2"/>
    <tableColumn id="16336" xr3:uid="{3E88F0F7-FA22-4CE5-818C-662E39E879DE}" name="Column16321" dataCellStyle="Normal 2"/>
    <tableColumn id="16337" xr3:uid="{0195281F-E284-401E-AE7D-FA6BB278E7B2}" name="Column16322" dataCellStyle="Normal 2"/>
    <tableColumn id="16338" xr3:uid="{6B9D111F-90A7-44D1-978E-9C242AB17FC0}" name="Column16323" dataCellStyle="Normal 2"/>
    <tableColumn id="16339" xr3:uid="{8C58A10F-5CF0-4FFE-B70B-A24EAD60FF27}" name="Column16324" dataCellStyle="Normal 2"/>
    <tableColumn id="16340" xr3:uid="{8F16AC2D-2B29-4061-BDC2-5FD154BE6AE2}" name="Column16325" dataCellStyle="Normal 2"/>
    <tableColumn id="16341" xr3:uid="{20188FAF-9460-4C47-9F66-B1B74C906368}" name="Column16326" dataCellStyle="Normal 2"/>
    <tableColumn id="16342" xr3:uid="{1461C945-112A-43D8-A4A2-FD841FEFCCC2}" name="Column16327" dataCellStyle="Normal 2"/>
    <tableColumn id="16343" xr3:uid="{015E549A-0D51-48A6-AE88-6AB5599CD7A6}" name="Column16328" dataCellStyle="Normal 2"/>
    <tableColumn id="16344" xr3:uid="{5319FC73-688A-4477-BAFE-29CE94036289}" name="Column16329" dataCellStyle="Normal 2"/>
    <tableColumn id="16345" xr3:uid="{FC455AEF-C597-4060-BFEE-35F12AFEA602}" name="Column16330" dataCellStyle="Normal 2"/>
    <tableColumn id="16346" xr3:uid="{4DE0C939-2351-4019-AA6C-158A0CBCC76B}" name="Column16331" dataCellStyle="Normal 2"/>
    <tableColumn id="16347" xr3:uid="{99611B1D-0DC3-4B70-BB7D-A325547C10C7}" name="Column16332" dataCellStyle="Normal 2"/>
    <tableColumn id="16348" xr3:uid="{EF9261C1-21F3-4DD7-88C2-17D130B64C5C}" name="Column16333" dataCellStyle="Normal 2"/>
    <tableColumn id="16349" xr3:uid="{343AA52B-53D3-42FC-A5CF-0F2157031DD0}" name="Column16334" dataCellStyle="Normal 2"/>
    <tableColumn id="16350" xr3:uid="{FA56F6F7-7756-4F22-9ACC-B9090CF6CE45}" name="Column16335" dataCellStyle="Normal 2"/>
    <tableColumn id="16351" xr3:uid="{D77A4F0B-DC31-4D3E-AA10-B7A7395953A0}" name="Column16336" dataCellStyle="Normal 2"/>
    <tableColumn id="16352" xr3:uid="{D5D76CD0-FDEA-42B7-B823-B82DC2A66400}" name="Column16337" dataCellStyle="Normal 2"/>
    <tableColumn id="16353" xr3:uid="{E1BC77EB-C2CC-4A21-B29A-9098AAADCE17}" name="Column16338" dataCellStyle="Normal 2"/>
    <tableColumn id="16354" xr3:uid="{E67F8A36-1037-4D32-ABE3-D053B4D519ED}" name="Column16339" dataCellStyle="Normal 2"/>
    <tableColumn id="16355" xr3:uid="{1D1A83DA-1609-4DBA-9BDF-174018E51072}" name="Column16340" dataCellStyle="Normal 2"/>
    <tableColumn id="16356" xr3:uid="{E982A0AB-A25A-446F-9EC3-B95146D84276}" name="Column16341" dataCellStyle="Normal 2"/>
    <tableColumn id="16357" xr3:uid="{0A646D26-F31A-49E0-A31C-AAFEDE96C198}" name="Column16342" dataCellStyle="Normal 2"/>
    <tableColumn id="16358" xr3:uid="{8A7C57D5-8E97-4B2A-9D46-B79BBBA93598}" name="Column16343" dataCellStyle="Normal 2"/>
    <tableColumn id="16359" xr3:uid="{90E441B1-4E53-4853-AADF-00A76E7D161C}" name="Column16344" dataCellStyle="Normal 2"/>
    <tableColumn id="16360" xr3:uid="{10E36D10-7AC2-406A-A1B3-7A545C2A1539}" name="Column16345" dataCellStyle="Normal 2"/>
    <tableColumn id="16361" xr3:uid="{FCAEE754-4BDC-4D75-BF0D-254F794BD48E}" name="Column16346" dataCellStyle="Normal 2"/>
    <tableColumn id="16362" xr3:uid="{4DE86984-00BC-4FA2-AFBF-D382F8741AA3}" name="Column16347" dataCellStyle="Normal 2"/>
    <tableColumn id="16363" xr3:uid="{7788C92C-ADA7-4D2E-B78D-AA6F6EA667A9}" name="Column16348" dataCellStyle="Normal 2"/>
    <tableColumn id="16364" xr3:uid="{9ECCF3BC-B316-48C3-80B0-43E9E1DF48E7}" name="Column16349" dataCellStyle="Normal 2"/>
    <tableColumn id="16365" xr3:uid="{CFDA461F-9BAC-4BAB-8032-18136CE4C635}" name="Column16350" dataCellStyle="Normal 2"/>
    <tableColumn id="16366" xr3:uid="{0209DF2F-B56A-4289-8EAB-7747BCAFF8FB}" name="Column16351" dataCellStyle="Normal 2"/>
    <tableColumn id="16367" xr3:uid="{72E5D0B3-D8EF-4B61-8CD7-D7BD38F06C5B}" name="Column16352" dataCellStyle="Normal 2"/>
    <tableColumn id="16368" xr3:uid="{DEED79C2-CFD6-4EF8-BEBA-F9076D4E7622}" name="Column16353" dataCellStyle="Normal 2"/>
    <tableColumn id="16369" xr3:uid="{C39AD9F0-8906-4DE5-805D-529B1F631D12}" name="Column16354" dataCellStyle="Normal 2"/>
    <tableColumn id="16370" xr3:uid="{DF6A0470-27C8-4B96-983E-F58604792F89}" name="Column16355" dataCellStyle="Normal 2"/>
    <tableColumn id="16371" xr3:uid="{17B9DA96-5B75-4BA1-956B-D075BC13AC7F}" name="Column16356" dataCellStyle="Normal 2"/>
    <tableColumn id="16372" xr3:uid="{7446A750-3743-4D9E-A6A0-2AB60827D577}" name="Column16357" dataCellStyle="Normal 2"/>
    <tableColumn id="16373" xr3:uid="{46B00CCB-F4C1-4763-B223-0E8E4AE05827}" name="Column16358" dataCellStyle="Normal 2"/>
    <tableColumn id="16374" xr3:uid="{6FEEED47-E7CF-4CD9-B4C0-041104E6215F}" name="Column16359" dataCellStyle="Normal 2"/>
    <tableColumn id="16375" xr3:uid="{D9269A1F-3F21-4F92-8E11-11F6C125C27E}" name="Column16360" dataCellStyle="Normal 2"/>
    <tableColumn id="16376" xr3:uid="{83BC9399-9307-4AB6-8232-98290C25E537}" name="Column16361" dataCellStyle="Normal 2"/>
    <tableColumn id="16377" xr3:uid="{F165BF05-3A03-45A9-B259-F644E1214458}" name="Column16362" dataCellStyle="Normal 2"/>
    <tableColumn id="16378" xr3:uid="{1F76CF00-B6E3-4400-B519-81F0BC85FBEF}" name="Column16363" dataCellStyle="Normal 2"/>
    <tableColumn id="16379" xr3:uid="{F3C1F084-69FA-44ED-826F-39B84CD64BE0}" name="Column16364" dataCellStyle="Normal 2"/>
    <tableColumn id="16380" xr3:uid="{B95A543C-7A01-400F-8925-BFB37DC181B7}" name="Column16365" dataCellStyle="Normal 2"/>
    <tableColumn id="16381" xr3:uid="{39DF0D69-AD71-4BAD-A84F-66CFA136763B}" name="Column16366" dataCellStyle="Normal 2"/>
    <tableColumn id="16382" xr3:uid="{EA92F231-421C-475E-AB59-CFF202786BBD}" name="Column16367" dataCellStyle="Normal 2"/>
    <tableColumn id="16383" xr3:uid="{26BA4DDD-983D-4CB4-942C-F392A7971884}" name="Column16368" dataCellStyle="Normal 2"/>
    <tableColumn id="16384" xr3:uid="{738876A4-12F6-41ED-8BD8-93CE3249A157}" name="Column16369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0518-E076-4C42-BF4C-B4CC7864BEB2}">
  <dimension ref="A1:XFD101"/>
  <sheetViews>
    <sheetView workbookViewId="0">
      <selection activeCell="A32" sqref="A32"/>
    </sheetView>
  </sheetViews>
  <sheetFormatPr defaultRowHeight="14.4" x14ac:dyDescent="0.3"/>
  <cols>
    <col min="2" max="2" width="10.88671875" customWidth="1"/>
    <col min="4" max="4" width="11" customWidth="1"/>
    <col min="5" max="5" width="15.21875" customWidth="1"/>
    <col min="6" max="6" width="14.21875" customWidth="1"/>
    <col min="7" max="7" width="12" customWidth="1"/>
    <col min="8" max="8" width="12.44140625" customWidth="1"/>
    <col min="11" max="11" width="12.33203125" customWidth="1"/>
    <col min="12" max="12" width="12.109375" customWidth="1"/>
    <col min="13" max="13" width="15.77734375" customWidth="1"/>
    <col min="14" max="14" width="14.77734375" customWidth="1"/>
    <col min="16" max="24" width="10.109375" customWidth="1"/>
    <col min="25" max="114" width="11.109375" customWidth="1"/>
    <col min="115" max="1014" width="12.109375" customWidth="1"/>
    <col min="1015" max="10014" width="13.109375" customWidth="1"/>
    <col min="10015" max="16384" width="14.109375" customWidth="1"/>
  </cols>
  <sheetData>
    <row r="1" spans="1:16384" s="9" customForma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77</v>
      </c>
      <c r="Q1" s="9" t="s">
        <v>78</v>
      </c>
      <c r="R1" s="9" t="s">
        <v>79</v>
      </c>
      <c r="S1" s="9" t="s">
        <v>80</v>
      </c>
      <c r="T1" s="9" t="s">
        <v>81</v>
      </c>
      <c r="U1" s="9" t="s">
        <v>82</v>
      </c>
      <c r="V1" s="9" t="s">
        <v>83</v>
      </c>
      <c r="W1" s="9" t="s">
        <v>84</v>
      </c>
      <c r="X1" s="9" t="s">
        <v>85</v>
      </c>
      <c r="Y1" s="9" t="s">
        <v>86</v>
      </c>
      <c r="Z1" s="9" t="s">
        <v>87</v>
      </c>
      <c r="AA1" s="9" t="s">
        <v>88</v>
      </c>
      <c r="AB1" s="9" t="s">
        <v>89</v>
      </c>
      <c r="AC1" s="9" t="s">
        <v>90</v>
      </c>
      <c r="AD1" s="9" t="s">
        <v>91</v>
      </c>
      <c r="AE1" s="9" t="s">
        <v>92</v>
      </c>
      <c r="AF1" s="9" t="s">
        <v>93</v>
      </c>
      <c r="AG1" s="9" t="s">
        <v>94</v>
      </c>
      <c r="AH1" s="9" t="s">
        <v>95</v>
      </c>
      <c r="AI1" s="9" t="s">
        <v>96</v>
      </c>
      <c r="AJ1" s="9" t="s">
        <v>97</v>
      </c>
      <c r="AK1" s="9" t="s">
        <v>98</v>
      </c>
      <c r="AL1" s="9" t="s">
        <v>99</v>
      </c>
      <c r="AM1" s="9" t="s">
        <v>100</v>
      </c>
      <c r="AN1" s="9" t="s">
        <v>101</v>
      </c>
      <c r="AO1" s="9" t="s">
        <v>102</v>
      </c>
      <c r="AP1" s="9" t="s">
        <v>103</v>
      </c>
      <c r="AQ1" s="9" t="s">
        <v>104</v>
      </c>
      <c r="AR1" s="9" t="s">
        <v>105</v>
      </c>
      <c r="AS1" s="9" t="s">
        <v>106</v>
      </c>
      <c r="AT1" s="9" t="s">
        <v>107</v>
      </c>
      <c r="AU1" s="9" t="s">
        <v>108</v>
      </c>
      <c r="AV1" s="9" t="s">
        <v>109</v>
      </c>
      <c r="AW1" s="9" t="s">
        <v>110</v>
      </c>
      <c r="AX1" s="9" t="s">
        <v>111</v>
      </c>
      <c r="AY1" s="9" t="s">
        <v>112</v>
      </c>
      <c r="AZ1" s="9" t="s">
        <v>113</v>
      </c>
      <c r="BA1" s="9" t="s">
        <v>114</v>
      </c>
      <c r="BB1" s="9" t="s">
        <v>115</v>
      </c>
      <c r="BC1" s="9" t="s">
        <v>116</v>
      </c>
      <c r="BD1" s="9" t="s">
        <v>117</v>
      </c>
      <c r="BE1" s="9" t="s">
        <v>118</v>
      </c>
      <c r="BF1" s="9" t="s">
        <v>119</v>
      </c>
      <c r="BG1" s="9" t="s">
        <v>120</v>
      </c>
      <c r="BH1" s="9" t="s">
        <v>121</v>
      </c>
      <c r="BI1" s="9" t="s">
        <v>122</v>
      </c>
      <c r="BJ1" s="9" t="s">
        <v>123</v>
      </c>
      <c r="BK1" s="9" t="s">
        <v>124</v>
      </c>
      <c r="BL1" s="9" t="s">
        <v>125</v>
      </c>
      <c r="BM1" s="9" t="s">
        <v>126</v>
      </c>
      <c r="BN1" s="9" t="s">
        <v>127</v>
      </c>
      <c r="BO1" s="9" t="s">
        <v>128</v>
      </c>
      <c r="BP1" s="9" t="s">
        <v>129</v>
      </c>
      <c r="BQ1" s="9" t="s">
        <v>130</v>
      </c>
      <c r="BR1" s="9" t="s">
        <v>131</v>
      </c>
      <c r="BS1" s="9" t="s">
        <v>132</v>
      </c>
      <c r="BT1" s="9" t="s">
        <v>133</v>
      </c>
      <c r="BU1" s="9" t="s">
        <v>134</v>
      </c>
      <c r="BV1" s="9" t="s">
        <v>135</v>
      </c>
      <c r="BW1" s="9" t="s">
        <v>136</v>
      </c>
      <c r="BX1" s="9" t="s">
        <v>137</v>
      </c>
      <c r="BY1" s="9" t="s">
        <v>138</v>
      </c>
      <c r="BZ1" s="9" t="s">
        <v>139</v>
      </c>
      <c r="CA1" s="9" t="s">
        <v>140</v>
      </c>
      <c r="CB1" s="9" t="s">
        <v>141</v>
      </c>
      <c r="CC1" s="9" t="s">
        <v>142</v>
      </c>
      <c r="CD1" s="9" t="s">
        <v>143</v>
      </c>
      <c r="CE1" s="9" t="s">
        <v>144</v>
      </c>
      <c r="CF1" s="9" t="s">
        <v>145</v>
      </c>
      <c r="CG1" s="9" t="s">
        <v>146</v>
      </c>
      <c r="CH1" s="9" t="s">
        <v>147</v>
      </c>
      <c r="CI1" s="9" t="s">
        <v>148</v>
      </c>
      <c r="CJ1" s="9" t="s">
        <v>149</v>
      </c>
      <c r="CK1" s="9" t="s">
        <v>150</v>
      </c>
      <c r="CL1" s="9" t="s">
        <v>151</v>
      </c>
      <c r="CM1" s="9" t="s">
        <v>152</v>
      </c>
      <c r="CN1" s="9" t="s">
        <v>153</v>
      </c>
      <c r="CO1" s="9" t="s">
        <v>154</v>
      </c>
      <c r="CP1" s="9" t="s">
        <v>155</v>
      </c>
      <c r="CQ1" s="9" t="s">
        <v>156</v>
      </c>
      <c r="CR1" s="9" t="s">
        <v>157</v>
      </c>
      <c r="CS1" s="9" t="s">
        <v>158</v>
      </c>
      <c r="CT1" s="9" t="s">
        <v>159</v>
      </c>
      <c r="CU1" s="9" t="s">
        <v>160</v>
      </c>
      <c r="CV1" s="9" t="s">
        <v>161</v>
      </c>
      <c r="CW1" s="9" t="s">
        <v>162</v>
      </c>
      <c r="CX1" s="9" t="s">
        <v>163</v>
      </c>
      <c r="CY1" s="9" t="s">
        <v>164</v>
      </c>
      <c r="CZ1" s="9" t="s">
        <v>165</v>
      </c>
      <c r="DA1" s="9" t="s">
        <v>166</v>
      </c>
      <c r="DB1" s="9" t="s">
        <v>167</v>
      </c>
      <c r="DC1" s="9" t="s">
        <v>168</v>
      </c>
      <c r="DD1" s="9" t="s">
        <v>169</v>
      </c>
      <c r="DE1" s="9" t="s">
        <v>170</v>
      </c>
      <c r="DF1" s="9" t="s">
        <v>171</v>
      </c>
      <c r="DG1" s="9" t="s">
        <v>172</v>
      </c>
      <c r="DH1" s="9" t="s">
        <v>173</v>
      </c>
      <c r="DI1" s="9" t="s">
        <v>174</v>
      </c>
      <c r="DJ1" s="9" t="s">
        <v>175</v>
      </c>
      <c r="DK1" s="9" t="s">
        <v>176</v>
      </c>
      <c r="DL1" s="9" t="s">
        <v>177</v>
      </c>
      <c r="DM1" s="9" t="s">
        <v>178</v>
      </c>
      <c r="DN1" s="9" t="s">
        <v>179</v>
      </c>
      <c r="DO1" s="9" t="s">
        <v>180</v>
      </c>
      <c r="DP1" s="9" t="s">
        <v>181</v>
      </c>
      <c r="DQ1" s="9" t="s">
        <v>182</v>
      </c>
      <c r="DR1" s="9" t="s">
        <v>183</v>
      </c>
      <c r="DS1" s="9" t="s">
        <v>184</v>
      </c>
      <c r="DT1" s="9" t="s">
        <v>185</v>
      </c>
      <c r="DU1" s="9" t="s">
        <v>186</v>
      </c>
      <c r="DV1" s="9" t="s">
        <v>187</v>
      </c>
      <c r="DW1" s="9" t="s">
        <v>188</v>
      </c>
      <c r="DX1" s="9" t="s">
        <v>189</v>
      </c>
      <c r="DY1" s="9" t="s">
        <v>190</v>
      </c>
      <c r="DZ1" s="9" t="s">
        <v>191</v>
      </c>
      <c r="EA1" s="9" t="s">
        <v>192</v>
      </c>
      <c r="EB1" s="9" t="s">
        <v>193</v>
      </c>
      <c r="EC1" s="9" t="s">
        <v>194</v>
      </c>
      <c r="ED1" s="9" t="s">
        <v>195</v>
      </c>
      <c r="EE1" s="9" t="s">
        <v>196</v>
      </c>
      <c r="EF1" s="9" t="s">
        <v>197</v>
      </c>
      <c r="EG1" s="9" t="s">
        <v>198</v>
      </c>
      <c r="EH1" s="9" t="s">
        <v>199</v>
      </c>
      <c r="EI1" s="9" t="s">
        <v>200</v>
      </c>
      <c r="EJ1" s="9" t="s">
        <v>201</v>
      </c>
      <c r="EK1" s="9" t="s">
        <v>202</v>
      </c>
      <c r="EL1" s="9" t="s">
        <v>203</v>
      </c>
      <c r="EM1" s="9" t="s">
        <v>204</v>
      </c>
      <c r="EN1" s="9" t="s">
        <v>205</v>
      </c>
      <c r="EO1" s="9" t="s">
        <v>206</v>
      </c>
      <c r="EP1" s="9" t="s">
        <v>207</v>
      </c>
      <c r="EQ1" s="9" t="s">
        <v>208</v>
      </c>
      <c r="ER1" s="9" t="s">
        <v>209</v>
      </c>
      <c r="ES1" s="9" t="s">
        <v>210</v>
      </c>
      <c r="ET1" s="9" t="s">
        <v>211</v>
      </c>
      <c r="EU1" s="9" t="s">
        <v>212</v>
      </c>
      <c r="EV1" s="9" t="s">
        <v>213</v>
      </c>
      <c r="EW1" s="9" t="s">
        <v>214</v>
      </c>
      <c r="EX1" s="9" t="s">
        <v>215</v>
      </c>
      <c r="EY1" s="9" t="s">
        <v>216</v>
      </c>
      <c r="EZ1" s="9" t="s">
        <v>217</v>
      </c>
      <c r="FA1" s="9" t="s">
        <v>218</v>
      </c>
      <c r="FB1" s="9" t="s">
        <v>219</v>
      </c>
      <c r="FC1" s="9" t="s">
        <v>220</v>
      </c>
      <c r="FD1" s="9" t="s">
        <v>221</v>
      </c>
      <c r="FE1" s="9" t="s">
        <v>222</v>
      </c>
      <c r="FF1" s="9" t="s">
        <v>223</v>
      </c>
      <c r="FG1" s="9" t="s">
        <v>224</v>
      </c>
      <c r="FH1" s="9" t="s">
        <v>225</v>
      </c>
      <c r="FI1" s="9" t="s">
        <v>226</v>
      </c>
      <c r="FJ1" s="9" t="s">
        <v>227</v>
      </c>
      <c r="FK1" s="9" t="s">
        <v>228</v>
      </c>
      <c r="FL1" s="9" t="s">
        <v>229</v>
      </c>
      <c r="FM1" s="9" t="s">
        <v>230</v>
      </c>
      <c r="FN1" s="9" t="s">
        <v>231</v>
      </c>
      <c r="FO1" s="9" t="s">
        <v>232</v>
      </c>
      <c r="FP1" s="9" t="s">
        <v>233</v>
      </c>
      <c r="FQ1" s="9" t="s">
        <v>234</v>
      </c>
      <c r="FR1" s="9" t="s">
        <v>235</v>
      </c>
      <c r="FS1" s="9" t="s">
        <v>236</v>
      </c>
      <c r="FT1" s="9" t="s">
        <v>237</v>
      </c>
      <c r="FU1" s="9" t="s">
        <v>238</v>
      </c>
      <c r="FV1" s="9" t="s">
        <v>239</v>
      </c>
      <c r="FW1" s="9" t="s">
        <v>240</v>
      </c>
      <c r="FX1" s="9" t="s">
        <v>241</v>
      </c>
      <c r="FY1" s="9" t="s">
        <v>242</v>
      </c>
      <c r="FZ1" s="9" t="s">
        <v>243</v>
      </c>
      <c r="GA1" s="9" t="s">
        <v>244</v>
      </c>
      <c r="GB1" s="9" t="s">
        <v>245</v>
      </c>
      <c r="GC1" s="9" t="s">
        <v>246</v>
      </c>
      <c r="GD1" s="9" t="s">
        <v>247</v>
      </c>
      <c r="GE1" s="9" t="s">
        <v>248</v>
      </c>
      <c r="GF1" s="9" t="s">
        <v>249</v>
      </c>
      <c r="GG1" s="9" t="s">
        <v>250</v>
      </c>
      <c r="GH1" s="9" t="s">
        <v>251</v>
      </c>
      <c r="GI1" s="9" t="s">
        <v>252</v>
      </c>
      <c r="GJ1" s="9" t="s">
        <v>253</v>
      </c>
      <c r="GK1" s="9" t="s">
        <v>254</v>
      </c>
      <c r="GL1" s="9" t="s">
        <v>255</v>
      </c>
      <c r="GM1" s="9" t="s">
        <v>256</v>
      </c>
      <c r="GN1" s="9" t="s">
        <v>257</v>
      </c>
      <c r="GO1" s="9" t="s">
        <v>258</v>
      </c>
      <c r="GP1" s="9" t="s">
        <v>259</v>
      </c>
      <c r="GQ1" s="9" t="s">
        <v>260</v>
      </c>
      <c r="GR1" s="9" t="s">
        <v>261</v>
      </c>
      <c r="GS1" s="9" t="s">
        <v>262</v>
      </c>
      <c r="GT1" s="9" t="s">
        <v>263</v>
      </c>
      <c r="GU1" s="9" t="s">
        <v>264</v>
      </c>
      <c r="GV1" s="9" t="s">
        <v>265</v>
      </c>
      <c r="GW1" s="9" t="s">
        <v>266</v>
      </c>
      <c r="GX1" s="9" t="s">
        <v>267</v>
      </c>
      <c r="GY1" s="9" t="s">
        <v>268</v>
      </c>
      <c r="GZ1" s="9" t="s">
        <v>269</v>
      </c>
      <c r="HA1" s="9" t="s">
        <v>270</v>
      </c>
      <c r="HB1" s="9" t="s">
        <v>271</v>
      </c>
      <c r="HC1" s="9" t="s">
        <v>272</v>
      </c>
      <c r="HD1" s="9" t="s">
        <v>273</v>
      </c>
      <c r="HE1" s="9" t="s">
        <v>274</v>
      </c>
      <c r="HF1" s="9" t="s">
        <v>275</v>
      </c>
      <c r="HG1" s="9" t="s">
        <v>276</v>
      </c>
      <c r="HH1" s="9" t="s">
        <v>277</v>
      </c>
      <c r="HI1" s="9" t="s">
        <v>278</v>
      </c>
      <c r="HJ1" s="9" t="s">
        <v>279</v>
      </c>
      <c r="HK1" s="9" t="s">
        <v>280</v>
      </c>
      <c r="HL1" s="9" t="s">
        <v>281</v>
      </c>
      <c r="HM1" s="9" t="s">
        <v>282</v>
      </c>
      <c r="HN1" s="9" t="s">
        <v>283</v>
      </c>
      <c r="HO1" s="9" t="s">
        <v>284</v>
      </c>
      <c r="HP1" s="9" t="s">
        <v>285</v>
      </c>
      <c r="HQ1" s="9" t="s">
        <v>286</v>
      </c>
      <c r="HR1" s="9" t="s">
        <v>287</v>
      </c>
      <c r="HS1" s="9" t="s">
        <v>288</v>
      </c>
      <c r="HT1" s="9" t="s">
        <v>289</v>
      </c>
      <c r="HU1" s="9" t="s">
        <v>290</v>
      </c>
      <c r="HV1" s="9" t="s">
        <v>291</v>
      </c>
      <c r="HW1" s="9" t="s">
        <v>292</v>
      </c>
      <c r="HX1" s="9" t="s">
        <v>293</v>
      </c>
      <c r="HY1" s="9" t="s">
        <v>294</v>
      </c>
      <c r="HZ1" s="9" t="s">
        <v>295</v>
      </c>
      <c r="IA1" s="9" t="s">
        <v>296</v>
      </c>
      <c r="IB1" s="9" t="s">
        <v>297</v>
      </c>
      <c r="IC1" s="9" t="s">
        <v>298</v>
      </c>
      <c r="ID1" s="9" t="s">
        <v>299</v>
      </c>
      <c r="IE1" s="9" t="s">
        <v>300</v>
      </c>
      <c r="IF1" s="9" t="s">
        <v>301</v>
      </c>
      <c r="IG1" s="9" t="s">
        <v>302</v>
      </c>
      <c r="IH1" s="9" t="s">
        <v>303</v>
      </c>
      <c r="II1" s="9" t="s">
        <v>304</v>
      </c>
      <c r="IJ1" s="9" t="s">
        <v>305</v>
      </c>
      <c r="IK1" s="9" t="s">
        <v>306</v>
      </c>
      <c r="IL1" s="9" t="s">
        <v>307</v>
      </c>
      <c r="IM1" s="9" t="s">
        <v>308</v>
      </c>
      <c r="IN1" s="9" t="s">
        <v>309</v>
      </c>
      <c r="IO1" s="9" t="s">
        <v>310</v>
      </c>
      <c r="IP1" s="9" t="s">
        <v>311</v>
      </c>
      <c r="IQ1" s="9" t="s">
        <v>312</v>
      </c>
      <c r="IR1" s="9" t="s">
        <v>313</v>
      </c>
      <c r="IS1" s="9" t="s">
        <v>314</v>
      </c>
      <c r="IT1" s="9" t="s">
        <v>315</v>
      </c>
      <c r="IU1" s="9" t="s">
        <v>316</v>
      </c>
      <c r="IV1" s="9" t="s">
        <v>317</v>
      </c>
      <c r="IW1" s="9" t="s">
        <v>318</v>
      </c>
      <c r="IX1" s="9" t="s">
        <v>319</v>
      </c>
      <c r="IY1" s="9" t="s">
        <v>320</v>
      </c>
      <c r="IZ1" s="9" t="s">
        <v>321</v>
      </c>
      <c r="JA1" s="9" t="s">
        <v>322</v>
      </c>
      <c r="JB1" s="9" t="s">
        <v>323</v>
      </c>
      <c r="JC1" s="9" t="s">
        <v>324</v>
      </c>
      <c r="JD1" s="9" t="s">
        <v>325</v>
      </c>
      <c r="JE1" s="9" t="s">
        <v>326</v>
      </c>
      <c r="JF1" s="9" t="s">
        <v>327</v>
      </c>
      <c r="JG1" s="9" t="s">
        <v>328</v>
      </c>
      <c r="JH1" s="9" t="s">
        <v>329</v>
      </c>
      <c r="JI1" s="9" t="s">
        <v>330</v>
      </c>
      <c r="JJ1" s="9" t="s">
        <v>331</v>
      </c>
      <c r="JK1" s="9" t="s">
        <v>332</v>
      </c>
      <c r="JL1" s="9" t="s">
        <v>333</v>
      </c>
      <c r="JM1" s="9" t="s">
        <v>334</v>
      </c>
      <c r="JN1" s="9" t="s">
        <v>335</v>
      </c>
      <c r="JO1" s="9" t="s">
        <v>336</v>
      </c>
      <c r="JP1" s="9" t="s">
        <v>337</v>
      </c>
      <c r="JQ1" s="9" t="s">
        <v>338</v>
      </c>
      <c r="JR1" s="9" t="s">
        <v>339</v>
      </c>
      <c r="JS1" s="9" t="s">
        <v>340</v>
      </c>
      <c r="JT1" s="9" t="s">
        <v>341</v>
      </c>
      <c r="JU1" s="9" t="s">
        <v>342</v>
      </c>
      <c r="JV1" s="9" t="s">
        <v>343</v>
      </c>
      <c r="JW1" s="9" t="s">
        <v>344</v>
      </c>
      <c r="JX1" s="9" t="s">
        <v>345</v>
      </c>
      <c r="JY1" s="9" t="s">
        <v>346</v>
      </c>
      <c r="JZ1" s="9" t="s">
        <v>347</v>
      </c>
      <c r="KA1" s="9" t="s">
        <v>348</v>
      </c>
      <c r="KB1" s="9" t="s">
        <v>349</v>
      </c>
      <c r="KC1" s="9" t="s">
        <v>350</v>
      </c>
      <c r="KD1" s="9" t="s">
        <v>351</v>
      </c>
      <c r="KE1" s="9" t="s">
        <v>352</v>
      </c>
      <c r="KF1" s="9" t="s">
        <v>353</v>
      </c>
      <c r="KG1" s="9" t="s">
        <v>354</v>
      </c>
      <c r="KH1" s="9" t="s">
        <v>355</v>
      </c>
      <c r="KI1" s="9" t="s">
        <v>356</v>
      </c>
      <c r="KJ1" s="9" t="s">
        <v>357</v>
      </c>
      <c r="KK1" s="9" t="s">
        <v>358</v>
      </c>
      <c r="KL1" s="9" t="s">
        <v>359</v>
      </c>
      <c r="KM1" s="9" t="s">
        <v>360</v>
      </c>
      <c r="KN1" s="9" t="s">
        <v>361</v>
      </c>
      <c r="KO1" s="9" t="s">
        <v>362</v>
      </c>
      <c r="KP1" s="9" t="s">
        <v>363</v>
      </c>
      <c r="KQ1" s="9" t="s">
        <v>364</v>
      </c>
      <c r="KR1" s="9" t="s">
        <v>365</v>
      </c>
      <c r="KS1" s="9" t="s">
        <v>366</v>
      </c>
      <c r="KT1" s="9" t="s">
        <v>367</v>
      </c>
      <c r="KU1" s="9" t="s">
        <v>368</v>
      </c>
      <c r="KV1" s="9" t="s">
        <v>369</v>
      </c>
      <c r="KW1" s="9" t="s">
        <v>370</v>
      </c>
      <c r="KX1" s="9" t="s">
        <v>371</v>
      </c>
      <c r="KY1" s="9" t="s">
        <v>372</v>
      </c>
      <c r="KZ1" s="9" t="s">
        <v>373</v>
      </c>
      <c r="LA1" s="9" t="s">
        <v>374</v>
      </c>
      <c r="LB1" s="9" t="s">
        <v>375</v>
      </c>
      <c r="LC1" s="9" t="s">
        <v>376</v>
      </c>
      <c r="LD1" s="9" t="s">
        <v>377</v>
      </c>
      <c r="LE1" s="9" t="s">
        <v>378</v>
      </c>
      <c r="LF1" s="9" t="s">
        <v>379</v>
      </c>
      <c r="LG1" s="9" t="s">
        <v>380</v>
      </c>
      <c r="LH1" s="9" t="s">
        <v>381</v>
      </c>
      <c r="LI1" s="9" t="s">
        <v>382</v>
      </c>
      <c r="LJ1" s="9" t="s">
        <v>383</v>
      </c>
      <c r="LK1" s="9" t="s">
        <v>384</v>
      </c>
      <c r="LL1" s="9" t="s">
        <v>385</v>
      </c>
      <c r="LM1" s="9" t="s">
        <v>386</v>
      </c>
      <c r="LN1" s="9" t="s">
        <v>387</v>
      </c>
      <c r="LO1" s="9" t="s">
        <v>388</v>
      </c>
      <c r="LP1" s="9" t="s">
        <v>389</v>
      </c>
      <c r="LQ1" s="9" t="s">
        <v>390</v>
      </c>
      <c r="LR1" s="9" t="s">
        <v>391</v>
      </c>
      <c r="LS1" s="9" t="s">
        <v>392</v>
      </c>
      <c r="LT1" s="9" t="s">
        <v>393</v>
      </c>
      <c r="LU1" s="9" t="s">
        <v>394</v>
      </c>
      <c r="LV1" s="9" t="s">
        <v>395</v>
      </c>
      <c r="LW1" s="9" t="s">
        <v>396</v>
      </c>
      <c r="LX1" s="9" t="s">
        <v>397</v>
      </c>
      <c r="LY1" s="9" t="s">
        <v>398</v>
      </c>
      <c r="LZ1" s="9" t="s">
        <v>399</v>
      </c>
      <c r="MA1" s="9" t="s">
        <v>400</v>
      </c>
      <c r="MB1" s="9" t="s">
        <v>401</v>
      </c>
      <c r="MC1" s="9" t="s">
        <v>402</v>
      </c>
      <c r="MD1" s="9" t="s">
        <v>403</v>
      </c>
      <c r="ME1" s="9" t="s">
        <v>404</v>
      </c>
      <c r="MF1" s="9" t="s">
        <v>405</v>
      </c>
      <c r="MG1" s="9" t="s">
        <v>406</v>
      </c>
      <c r="MH1" s="9" t="s">
        <v>407</v>
      </c>
      <c r="MI1" s="9" t="s">
        <v>408</v>
      </c>
      <c r="MJ1" s="9" t="s">
        <v>409</v>
      </c>
      <c r="MK1" s="9" t="s">
        <v>410</v>
      </c>
      <c r="ML1" s="9" t="s">
        <v>411</v>
      </c>
      <c r="MM1" s="9" t="s">
        <v>412</v>
      </c>
      <c r="MN1" s="9" t="s">
        <v>413</v>
      </c>
      <c r="MO1" s="9" t="s">
        <v>414</v>
      </c>
      <c r="MP1" s="9" t="s">
        <v>415</v>
      </c>
      <c r="MQ1" s="9" t="s">
        <v>416</v>
      </c>
      <c r="MR1" s="9" t="s">
        <v>417</v>
      </c>
      <c r="MS1" s="9" t="s">
        <v>418</v>
      </c>
      <c r="MT1" s="9" t="s">
        <v>419</v>
      </c>
      <c r="MU1" s="9" t="s">
        <v>420</v>
      </c>
      <c r="MV1" s="9" t="s">
        <v>421</v>
      </c>
      <c r="MW1" s="9" t="s">
        <v>422</v>
      </c>
      <c r="MX1" s="9" t="s">
        <v>423</v>
      </c>
      <c r="MY1" s="9" t="s">
        <v>424</v>
      </c>
      <c r="MZ1" s="9" t="s">
        <v>425</v>
      </c>
      <c r="NA1" s="9" t="s">
        <v>426</v>
      </c>
      <c r="NB1" s="9" t="s">
        <v>427</v>
      </c>
      <c r="NC1" s="9" t="s">
        <v>428</v>
      </c>
      <c r="ND1" s="9" t="s">
        <v>429</v>
      </c>
      <c r="NE1" s="9" t="s">
        <v>430</v>
      </c>
      <c r="NF1" s="9" t="s">
        <v>431</v>
      </c>
      <c r="NG1" s="9" t="s">
        <v>432</v>
      </c>
      <c r="NH1" s="9" t="s">
        <v>433</v>
      </c>
      <c r="NI1" s="9" t="s">
        <v>434</v>
      </c>
      <c r="NJ1" s="9" t="s">
        <v>435</v>
      </c>
      <c r="NK1" s="9" t="s">
        <v>436</v>
      </c>
      <c r="NL1" s="9" t="s">
        <v>437</v>
      </c>
      <c r="NM1" s="9" t="s">
        <v>438</v>
      </c>
      <c r="NN1" s="9" t="s">
        <v>439</v>
      </c>
      <c r="NO1" s="9" t="s">
        <v>440</v>
      </c>
      <c r="NP1" s="9" t="s">
        <v>441</v>
      </c>
      <c r="NQ1" s="9" t="s">
        <v>442</v>
      </c>
      <c r="NR1" s="9" t="s">
        <v>443</v>
      </c>
      <c r="NS1" s="9" t="s">
        <v>444</v>
      </c>
      <c r="NT1" s="9" t="s">
        <v>445</v>
      </c>
      <c r="NU1" s="9" t="s">
        <v>446</v>
      </c>
      <c r="NV1" s="9" t="s">
        <v>447</v>
      </c>
      <c r="NW1" s="9" t="s">
        <v>448</v>
      </c>
      <c r="NX1" s="9" t="s">
        <v>449</v>
      </c>
      <c r="NY1" s="9" t="s">
        <v>450</v>
      </c>
      <c r="NZ1" s="9" t="s">
        <v>451</v>
      </c>
      <c r="OA1" s="9" t="s">
        <v>452</v>
      </c>
      <c r="OB1" s="9" t="s">
        <v>453</v>
      </c>
      <c r="OC1" s="9" t="s">
        <v>454</v>
      </c>
      <c r="OD1" s="9" t="s">
        <v>455</v>
      </c>
      <c r="OE1" s="9" t="s">
        <v>456</v>
      </c>
      <c r="OF1" s="9" t="s">
        <v>457</v>
      </c>
      <c r="OG1" s="9" t="s">
        <v>458</v>
      </c>
      <c r="OH1" s="9" t="s">
        <v>459</v>
      </c>
      <c r="OI1" s="9" t="s">
        <v>460</v>
      </c>
      <c r="OJ1" s="9" t="s">
        <v>461</v>
      </c>
      <c r="OK1" s="9" t="s">
        <v>462</v>
      </c>
      <c r="OL1" s="9" t="s">
        <v>463</v>
      </c>
      <c r="OM1" s="9" t="s">
        <v>464</v>
      </c>
      <c r="ON1" s="9" t="s">
        <v>465</v>
      </c>
      <c r="OO1" s="9" t="s">
        <v>466</v>
      </c>
      <c r="OP1" s="9" t="s">
        <v>467</v>
      </c>
      <c r="OQ1" s="9" t="s">
        <v>468</v>
      </c>
      <c r="OR1" s="9" t="s">
        <v>469</v>
      </c>
      <c r="OS1" s="9" t="s">
        <v>470</v>
      </c>
      <c r="OT1" s="9" t="s">
        <v>471</v>
      </c>
      <c r="OU1" s="9" t="s">
        <v>472</v>
      </c>
      <c r="OV1" s="9" t="s">
        <v>473</v>
      </c>
      <c r="OW1" s="9" t="s">
        <v>474</v>
      </c>
      <c r="OX1" s="9" t="s">
        <v>475</v>
      </c>
      <c r="OY1" s="9" t="s">
        <v>476</v>
      </c>
      <c r="OZ1" s="9" t="s">
        <v>477</v>
      </c>
      <c r="PA1" s="9" t="s">
        <v>478</v>
      </c>
      <c r="PB1" s="9" t="s">
        <v>479</v>
      </c>
      <c r="PC1" s="9" t="s">
        <v>480</v>
      </c>
      <c r="PD1" s="9" t="s">
        <v>481</v>
      </c>
      <c r="PE1" s="9" t="s">
        <v>482</v>
      </c>
      <c r="PF1" s="9" t="s">
        <v>483</v>
      </c>
      <c r="PG1" s="9" t="s">
        <v>484</v>
      </c>
      <c r="PH1" s="9" t="s">
        <v>485</v>
      </c>
      <c r="PI1" s="9" t="s">
        <v>486</v>
      </c>
      <c r="PJ1" s="9" t="s">
        <v>487</v>
      </c>
      <c r="PK1" s="9" t="s">
        <v>488</v>
      </c>
      <c r="PL1" s="9" t="s">
        <v>489</v>
      </c>
      <c r="PM1" s="9" t="s">
        <v>490</v>
      </c>
      <c r="PN1" s="9" t="s">
        <v>491</v>
      </c>
      <c r="PO1" s="9" t="s">
        <v>492</v>
      </c>
      <c r="PP1" s="9" t="s">
        <v>493</v>
      </c>
      <c r="PQ1" s="9" t="s">
        <v>494</v>
      </c>
      <c r="PR1" s="9" t="s">
        <v>495</v>
      </c>
      <c r="PS1" s="9" t="s">
        <v>496</v>
      </c>
      <c r="PT1" s="9" t="s">
        <v>497</v>
      </c>
      <c r="PU1" s="9" t="s">
        <v>498</v>
      </c>
      <c r="PV1" s="9" t="s">
        <v>499</v>
      </c>
      <c r="PW1" s="9" t="s">
        <v>500</v>
      </c>
      <c r="PX1" s="9" t="s">
        <v>501</v>
      </c>
      <c r="PY1" s="9" t="s">
        <v>502</v>
      </c>
      <c r="PZ1" s="9" t="s">
        <v>503</v>
      </c>
      <c r="QA1" s="9" t="s">
        <v>504</v>
      </c>
      <c r="QB1" s="9" t="s">
        <v>505</v>
      </c>
      <c r="QC1" s="9" t="s">
        <v>506</v>
      </c>
      <c r="QD1" s="9" t="s">
        <v>507</v>
      </c>
      <c r="QE1" s="9" t="s">
        <v>508</v>
      </c>
      <c r="QF1" s="9" t="s">
        <v>509</v>
      </c>
      <c r="QG1" s="9" t="s">
        <v>510</v>
      </c>
      <c r="QH1" s="9" t="s">
        <v>511</v>
      </c>
      <c r="QI1" s="9" t="s">
        <v>512</v>
      </c>
      <c r="QJ1" s="9" t="s">
        <v>513</v>
      </c>
      <c r="QK1" s="9" t="s">
        <v>514</v>
      </c>
      <c r="QL1" s="9" t="s">
        <v>515</v>
      </c>
      <c r="QM1" s="9" t="s">
        <v>516</v>
      </c>
      <c r="QN1" s="9" t="s">
        <v>517</v>
      </c>
      <c r="QO1" s="9" t="s">
        <v>518</v>
      </c>
      <c r="QP1" s="9" t="s">
        <v>519</v>
      </c>
      <c r="QQ1" s="9" t="s">
        <v>520</v>
      </c>
      <c r="QR1" s="9" t="s">
        <v>521</v>
      </c>
      <c r="QS1" s="9" t="s">
        <v>522</v>
      </c>
      <c r="QT1" s="9" t="s">
        <v>523</v>
      </c>
      <c r="QU1" s="9" t="s">
        <v>524</v>
      </c>
      <c r="QV1" s="9" t="s">
        <v>525</v>
      </c>
      <c r="QW1" s="9" t="s">
        <v>526</v>
      </c>
      <c r="QX1" s="9" t="s">
        <v>527</v>
      </c>
      <c r="QY1" s="9" t="s">
        <v>528</v>
      </c>
      <c r="QZ1" s="9" t="s">
        <v>529</v>
      </c>
      <c r="RA1" s="9" t="s">
        <v>530</v>
      </c>
      <c r="RB1" s="9" t="s">
        <v>531</v>
      </c>
      <c r="RC1" s="9" t="s">
        <v>532</v>
      </c>
      <c r="RD1" s="9" t="s">
        <v>533</v>
      </c>
      <c r="RE1" s="9" t="s">
        <v>534</v>
      </c>
      <c r="RF1" s="9" t="s">
        <v>535</v>
      </c>
      <c r="RG1" s="9" t="s">
        <v>536</v>
      </c>
      <c r="RH1" s="9" t="s">
        <v>537</v>
      </c>
      <c r="RI1" s="9" t="s">
        <v>538</v>
      </c>
      <c r="RJ1" s="9" t="s">
        <v>539</v>
      </c>
      <c r="RK1" s="9" t="s">
        <v>540</v>
      </c>
      <c r="RL1" s="9" t="s">
        <v>541</v>
      </c>
      <c r="RM1" s="9" t="s">
        <v>542</v>
      </c>
      <c r="RN1" s="9" t="s">
        <v>543</v>
      </c>
      <c r="RO1" s="9" t="s">
        <v>544</v>
      </c>
      <c r="RP1" s="9" t="s">
        <v>545</v>
      </c>
      <c r="RQ1" s="9" t="s">
        <v>546</v>
      </c>
      <c r="RR1" s="9" t="s">
        <v>547</v>
      </c>
      <c r="RS1" s="9" t="s">
        <v>548</v>
      </c>
      <c r="RT1" s="9" t="s">
        <v>549</v>
      </c>
      <c r="RU1" s="9" t="s">
        <v>550</v>
      </c>
      <c r="RV1" s="9" t="s">
        <v>551</v>
      </c>
      <c r="RW1" s="9" t="s">
        <v>552</v>
      </c>
      <c r="RX1" s="9" t="s">
        <v>553</v>
      </c>
      <c r="RY1" s="9" t="s">
        <v>554</v>
      </c>
      <c r="RZ1" s="9" t="s">
        <v>555</v>
      </c>
      <c r="SA1" s="9" t="s">
        <v>556</v>
      </c>
      <c r="SB1" s="9" t="s">
        <v>557</v>
      </c>
      <c r="SC1" s="9" t="s">
        <v>558</v>
      </c>
      <c r="SD1" s="9" t="s">
        <v>559</v>
      </c>
      <c r="SE1" s="9" t="s">
        <v>560</v>
      </c>
      <c r="SF1" s="9" t="s">
        <v>561</v>
      </c>
      <c r="SG1" s="9" t="s">
        <v>562</v>
      </c>
      <c r="SH1" s="9" t="s">
        <v>563</v>
      </c>
      <c r="SI1" s="9" t="s">
        <v>564</v>
      </c>
      <c r="SJ1" s="9" t="s">
        <v>565</v>
      </c>
      <c r="SK1" s="9" t="s">
        <v>566</v>
      </c>
      <c r="SL1" s="9" t="s">
        <v>567</v>
      </c>
      <c r="SM1" s="9" t="s">
        <v>568</v>
      </c>
      <c r="SN1" s="9" t="s">
        <v>569</v>
      </c>
      <c r="SO1" s="9" t="s">
        <v>570</v>
      </c>
      <c r="SP1" s="9" t="s">
        <v>571</v>
      </c>
      <c r="SQ1" s="9" t="s">
        <v>572</v>
      </c>
      <c r="SR1" s="9" t="s">
        <v>573</v>
      </c>
      <c r="SS1" s="9" t="s">
        <v>574</v>
      </c>
      <c r="ST1" s="9" t="s">
        <v>575</v>
      </c>
      <c r="SU1" s="9" t="s">
        <v>576</v>
      </c>
      <c r="SV1" s="9" t="s">
        <v>577</v>
      </c>
      <c r="SW1" s="9" t="s">
        <v>578</v>
      </c>
      <c r="SX1" s="9" t="s">
        <v>579</v>
      </c>
      <c r="SY1" s="9" t="s">
        <v>580</v>
      </c>
      <c r="SZ1" s="9" t="s">
        <v>581</v>
      </c>
      <c r="TA1" s="9" t="s">
        <v>582</v>
      </c>
      <c r="TB1" s="9" t="s">
        <v>583</v>
      </c>
      <c r="TC1" s="9" t="s">
        <v>584</v>
      </c>
      <c r="TD1" s="9" t="s">
        <v>585</v>
      </c>
      <c r="TE1" s="9" t="s">
        <v>586</v>
      </c>
      <c r="TF1" s="9" t="s">
        <v>587</v>
      </c>
      <c r="TG1" s="9" t="s">
        <v>588</v>
      </c>
      <c r="TH1" s="9" t="s">
        <v>589</v>
      </c>
      <c r="TI1" s="9" t="s">
        <v>590</v>
      </c>
      <c r="TJ1" s="9" t="s">
        <v>591</v>
      </c>
      <c r="TK1" s="9" t="s">
        <v>592</v>
      </c>
      <c r="TL1" s="9" t="s">
        <v>593</v>
      </c>
      <c r="TM1" s="9" t="s">
        <v>594</v>
      </c>
      <c r="TN1" s="9" t="s">
        <v>595</v>
      </c>
      <c r="TO1" s="9" t="s">
        <v>596</v>
      </c>
      <c r="TP1" s="9" t="s">
        <v>597</v>
      </c>
      <c r="TQ1" s="9" t="s">
        <v>598</v>
      </c>
      <c r="TR1" s="9" t="s">
        <v>599</v>
      </c>
      <c r="TS1" s="9" t="s">
        <v>600</v>
      </c>
      <c r="TT1" s="9" t="s">
        <v>601</v>
      </c>
      <c r="TU1" s="9" t="s">
        <v>602</v>
      </c>
      <c r="TV1" s="9" t="s">
        <v>603</v>
      </c>
      <c r="TW1" s="9" t="s">
        <v>604</v>
      </c>
      <c r="TX1" s="9" t="s">
        <v>605</v>
      </c>
      <c r="TY1" s="9" t="s">
        <v>606</v>
      </c>
      <c r="TZ1" s="9" t="s">
        <v>607</v>
      </c>
      <c r="UA1" s="9" t="s">
        <v>608</v>
      </c>
      <c r="UB1" s="9" t="s">
        <v>609</v>
      </c>
      <c r="UC1" s="9" t="s">
        <v>610</v>
      </c>
      <c r="UD1" s="9" t="s">
        <v>611</v>
      </c>
      <c r="UE1" s="9" t="s">
        <v>612</v>
      </c>
      <c r="UF1" s="9" t="s">
        <v>613</v>
      </c>
      <c r="UG1" s="9" t="s">
        <v>614</v>
      </c>
      <c r="UH1" s="9" t="s">
        <v>615</v>
      </c>
      <c r="UI1" s="9" t="s">
        <v>616</v>
      </c>
      <c r="UJ1" s="9" t="s">
        <v>617</v>
      </c>
      <c r="UK1" s="9" t="s">
        <v>618</v>
      </c>
      <c r="UL1" s="9" t="s">
        <v>619</v>
      </c>
      <c r="UM1" s="9" t="s">
        <v>620</v>
      </c>
      <c r="UN1" s="9" t="s">
        <v>621</v>
      </c>
      <c r="UO1" s="9" t="s">
        <v>622</v>
      </c>
      <c r="UP1" s="9" t="s">
        <v>623</v>
      </c>
      <c r="UQ1" s="9" t="s">
        <v>624</v>
      </c>
      <c r="UR1" s="9" t="s">
        <v>625</v>
      </c>
      <c r="US1" s="9" t="s">
        <v>626</v>
      </c>
      <c r="UT1" s="9" t="s">
        <v>627</v>
      </c>
      <c r="UU1" s="9" t="s">
        <v>628</v>
      </c>
      <c r="UV1" s="9" t="s">
        <v>629</v>
      </c>
      <c r="UW1" s="9" t="s">
        <v>630</v>
      </c>
      <c r="UX1" s="9" t="s">
        <v>631</v>
      </c>
      <c r="UY1" s="9" t="s">
        <v>632</v>
      </c>
      <c r="UZ1" s="9" t="s">
        <v>633</v>
      </c>
      <c r="VA1" s="9" t="s">
        <v>634</v>
      </c>
      <c r="VB1" s="9" t="s">
        <v>635</v>
      </c>
      <c r="VC1" s="9" t="s">
        <v>636</v>
      </c>
      <c r="VD1" s="9" t="s">
        <v>637</v>
      </c>
      <c r="VE1" s="9" t="s">
        <v>638</v>
      </c>
      <c r="VF1" s="9" t="s">
        <v>639</v>
      </c>
      <c r="VG1" s="9" t="s">
        <v>640</v>
      </c>
      <c r="VH1" s="9" t="s">
        <v>641</v>
      </c>
      <c r="VI1" s="9" t="s">
        <v>642</v>
      </c>
      <c r="VJ1" s="9" t="s">
        <v>643</v>
      </c>
      <c r="VK1" s="9" t="s">
        <v>644</v>
      </c>
      <c r="VL1" s="9" t="s">
        <v>645</v>
      </c>
      <c r="VM1" s="9" t="s">
        <v>646</v>
      </c>
      <c r="VN1" s="9" t="s">
        <v>647</v>
      </c>
      <c r="VO1" s="9" t="s">
        <v>648</v>
      </c>
      <c r="VP1" s="9" t="s">
        <v>649</v>
      </c>
      <c r="VQ1" s="9" t="s">
        <v>650</v>
      </c>
      <c r="VR1" s="9" t="s">
        <v>651</v>
      </c>
      <c r="VS1" s="9" t="s">
        <v>652</v>
      </c>
      <c r="VT1" s="9" t="s">
        <v>653</v>
      </c>
      <c r="VU1" s="9" t="s">
        <v>654</v>
      </c>
      <c r="VV1" s="9" t="s">
        <v>655</v>
      </c>
      <c r="VW1" s="9" t="s">
        <v>656</v>
      </c>
      <c r="VX1" s="9" t="s">
        <v>657</v>
      </c>
      <c r="VY1" s="9" t="s">
        <v>658</v>
      </c>
      <c r="VZ1" s="9" t="s">
        <v>659</v>
      </c>
      <c r="WA1" s="9" t="s">
        <v>660</v>
      </c>
      <c r="WB1" s="9" t="s">
        <v>661</v>
      </c>
      <c r="WC1" s="9" t="s">
        <v>662</v>
      </c>
      <c r="WD1" s="9" t="s">
        <v>663</v>
      </c>
      <c r="WE1" s="9" t="s">
        <v>664</v>
      </c>
      <c r="WF1" s="9" t="s">
        <v>665</v>
      </c>
      <c r="WG1" s="9" t="s">
        <v>666</v>
      </c>
      <c r="WH1" s="9" t="s">
        <v>667</v>
      </c>
      <c r="WI1" s="9" t="s">
        <v>668</v>
      </c>
      <c r="WJ1" s="9" t="s">
        <v>669</v>
      </c>
      <c r="WK1" s="9" t="s">
        <v>670</v>
      </c>
      <c r="WL1" s="9" t="s">
        <v>671</v>
      </c>
      <c r="WM1" s="9" t="s">
        <v>672</v>
      </c>
      <c r="WN1" s="9" t="s">
        <v>673</v>
      </c>
      <c r="WO1" s="9" t="s">
        <v>674</v>
      </c>
      <c r="WP1" s="9" t="s">
        <v>675</v>
      </c>
      <c r="WQ1" s="9" t="s">
        <v>676</v>
      </c>
      <c r="WR1" s="9" t="s">
        <v>677</v>
      </c>
      <c r="WS1" s="9" t="s">
        <v>678</v>
      </c>
      <c r="WT1" s="9" t="s">
        <v>679</v>
      </c>
      <c r="WU1" s="9" t="s">
        <v>680</v>
      </c>
      <c r="WV1" s="9" t="s">
        <v>681</v>
      </c>
      <c r="WW1" s="9" t="s">
        <v>682</v>
      </c>
      <c r="WX1" s="9" t="s">
        <v>683</v>
      </c>
      <c r="WY1" s="9" t="s">
        <v>684</v>
      </c>
      <c r="WZ1" s="9" t="s">
        <v>685</v>
      </c>
      <c r="XA1" s="9" t="s">
        <v>686</v>
      </c>
      <c r="XB1" s="9" t="s">
        <v>687</v>
      </c>
      <c r="XC1" s="9" t="s">
        <v>688</v>
      </c>
      <c r="XD1" s="9" t="s">
        <v>689</v>
      </c>
      <c r="XE1" s="9" t="s">
        <v>690</v>
      </c>
      <c r="XF1" s="9" t="s">
        <v>691</v>
      </c>
      <c r="XG1" s="9" t="s">
        <v>692</v>
      </c>
      <c r="XH1" s="9" t="s">
        <v>693</v>
      </c>
      <c r="XI1" s="9" t="s">
        <v>694</v>
      </c>
      <c r="XJ1" s="9" t="s">
        <v>695</v>
      </c>
      <c r="XK1" s="9" t="s">
        <v>696</v>
      </c>
      <c r="XL1" s="9" t="s">
        <v>697</v>
      </c>
      <c r="XM1" s="9" t="s">
        <v>698</v>
      </c>
      <c r="XN1" s="9" t="s">
        <v>699</v>
      </c>
      <c r="XO1" s="9" t="s">
        <v>700</v>
      </c>
      <c r="XP1" s="9" t="s">
        <v>701</v>
      </c>
      <c r="XQ1" s="9" t="s">
        <v>702</v>
      </c>
      <c r="XR1" s="9" t="s">
        <v>703</v>
      </c>
      <c r="XS1" s="9" t="s">
        <v>704</v>
      </c>
      <c r="XT1" s="9" t="s">
        <v>705</v>
      </c>
      <c r="XU1" s="9" t="s">
        <v>706</v>
      </c>
      <c r="XV1" s="9" t="s">
        <v>707</v>
      </c>
      <c r="XW1" s="9" t="s">
        <v>708</v>
      </c>
      <c r="XX1" s="9" t="s">
        <v>709</v>
      </c>
      <c r="XY1" s="9" t="s">
        <v>710</v>
      </c>
      <c r="XZ1" s="9" t="s">
        <v>711</v>
      </c>
      <c r="YA1" s="9" t="s">
        <v>712</v>
      </c>
      <c r="YB1" s="9" t="s">
        <v>713</v>
      </c>
      <c r="YC1" s="9" t="s">
        <v>714</v>
      </c>
      <c r="YD1" s="9" t="s">
        <v>715</v>
      </c>
      <c r="YE1" s="9" t="s">
        <v>716</v>
      </c>
      <c r="YF1" s="9" t="s">
        <v>717</v>
      </c>
      <c r="YG1" s="9" t="s">
        <v>718</v>
      </c>
      <c r="YH1" s="9" t="s">
        <v>719</v>
      </c>
      <c r="YI1" s="9" t="s">
        <v>720</v>
      </c>
      <c r="YJ1" s="9" t="s">
        <v>721</v>
      </c>
      <c r="YK1" s="9" t="s">
        <v>722</v>
      </c>
      <c r="YL1" s="9" t="s">
        <v>723</v>
      </c>
      <c r="YM1" s="9" t="s">
        <v>724</v>
      </c>
      <c r="YN1" s="9" t="s">
        <v>725</v>
      </c>
      <c r="YO1" s="9" t="s">
        <v>726</v>
      </c>
      <c r="YP1" s="9" t="s">
        <v>727</v>
      </c>
      <c r="YQ1" s="9" t="s">
        <v>728</v>
      </c>
      <c r="YR1" s="9" t="s">
        <v>729</v>
      </c>
      <c r="YS1" s="9" t="s">
        <v>730</v>
      </c>
      <c r="YT1" s="9" t="s">
        <v>731</v>
      </c>
      <c r="YU1" s="9" t="s">
        <v>732</v>
      </c>
      <c r="YV1" s="9" t="s">
        <v>733</v>
      </c>
      <c r="YW1" s="9" t="s">
        <v>734</v>
      </c>
      <c r="YX1" s="9" t="s">
        <v>735</v>
      </c>
      <c r="YY1" s="9" t="s">
        <v>736</v>
      </c>
      <c r="YZ1" s="9" t="s">
        <v>737</v>
      </c>
      <c r="ZA1" s="9" t="s">
        <v>738</v>
      </c>
      <c r="ZB1" s="9" t="s">
        <v>739</v>
      </c>
      <c r="ZC1" s="9" t="s">
        <v>740</v>
      </c>
      <c r="ZD1" s="9" t="s">
        <v>741</v>
      </c>
      <c r="ZE1" s="9" t="s">
        <v>742</v>
      </c>
      <c r="ZF1" s="9" t="s">
        <v>743</v>
      </c>
      <c r="ZG1" s="9" t="s">
        <v>744</v>
      </c>
      <c r="ZH1" s="9" t="s">
        <v>745</v>
      </c>
      <c r="ZI1" s="9" t="s">
        <v>746</v>
      </c>
      <c r="ZJ1" s="9" t="s">
        <v>747</v>
      </c>
      <c r="ZK1" s="9" t="s">
        <v>748</v>
      </c>
      <c r="ZL1" s="9" t="s">
        <v>749</v>
      </c>
      <c r="ZM1" s="9" t="s">
        <v>750</v>
      </c>
      <c r="ZN1" s="9" t="s">
        <v>751</v>
      </c>
      <c r="ZO1" s="9" t="s">
        <v>752</v>
      </c>
      <c r="ZP1" s="9" t="s">
        <v>753</v>
      </c>
      <c r="ZQ1" s="9" t="s">
        <v>754</v>
      </c>
      <c r="ZR1" s="9" t="s">
        <v>755</v>
      </c>
      <c r="ZS1" s="9" t="s">
        <v>756</v>
      </c>
      <c r="ZT1" s="9" t="s">
        <v>757</v>
      </c>
      <c r="ZU1" s="9" t="s">
        <v>758</v>
      </c>
      <c r="ZV1" s="9" t="s">
        <v>759</v>
      </c>
      <c r="ZW1" s="9" t="s">
        <v>760</v>
      </c>
      <c r="ZX1" s="9" t="s">
        <v>761</v>
      </c>
      <c r="ZY1" s="9" t="s">
        <v>762</v>
      </c>
      <c r="ZZ1" s="9" t="s">
        <v>763</v>
      </c>
      <c r="AAA1" s="9" t="s">
        <v>764</v>
      </c>
      <c r="AAB1" s="9" t="s">
        <v>765</v>
      </c>
      <c r="AAC1" s="9" t="s">
        <v>766</v>
      </c>
      <c r="AAD1" s="9" t="s">
        <v>767</v>
      </c>
      <c r="AAE1" s="9" t="s">
        <v>768</v>
      </c>
      <c r="AAF1" s="9" t="s">
        <v>769</v>
      </c>
      <c r="AAG1" s="9" t="s">
        <v>770</v>
      </c>
      <c r="AAH1" s="9" t="s">
        <v>771</v>
      </c>
      <c r="AAI1" s="9" t="s">
        <v>772</v>
      </c>
      <c r="AAJ1" s="9" t="s">
        <v>773</v>
      </c>
      <c r="AAK1" s="9" t="s">
        <v>774</v>
      </c>
      <c r="AAL1" s="9" t="s">
        <v>775</v>
      </c>
      <c r="AAM1" s="9" t="s">
        <v>776</v>
      </c>
      <c r="AAN1" s="9" t="s">
        <v>777</v>
      </c>
      <c r="AAO1" s="9" t="s">
        <v>778</v>
      </c>
      <c r="AAP1" s="9" t="s">
        <v>779</v>
      </c>
      <c r="AAQ1" s="9" t="s">
        <v>780</v>
      </c>
      <c r="AAR1" s="9" t="s">
        <v>781</v>
      </c>
      <c r="AAS1" s="9" t="s">
        <v>782</v>
      </c>
      <c r="AAT1" s="9" t="s">
        <v>783</v>
      </c>
      <c r="AAU1" s="9" t="s">
        <v>784</v>
      </c>
      <c r="AAV1" s="9" t="s">
        <v>785</v>
      </c>
      <c r="AAW1" s="9" t="s">
        <v>786</v>
      </c>
      <c r="AAX1" s="9" t="s">
        <v>787</v>
      </c>
      <c r="AAY1" s="9" t="s">
        <v>788</v>
      </c>
      <c r="AAZ1" s="9" t="s">
        <v>789</v>
      </c>
      <c r="ABA1" s="9" t="s">
        <v>790</v>
      </c>
      <c r="ABB1" s="9" t="s">
        <v>791</v>
      </c>
      <c r="ABC1" s="9" t="s">
        <v>792</v>
      </c>
      <c r="ABD1" s="9" t="s">
        <v>793</v>
      </c>
      <c r="ABE1" s="9" t="s">
        <v>794</v>
      </c>
      <c r="ABF1" s="9" t="s">
        <v>795</v>
      </c>
      <c r="ABG1" s="9" t="s">
        <v>796</v>
      </c>
      <c r="ABH1" s="9" t="s">
        <v>797</v>
      </c>
      <c r="ABI1" s="9" t="s">
        <v>798</v>
      </c>
      <c r="ABJ1" s="9" t="s">
        <v>799</v>
      </c>
      <c r="ABK1" s="9" t="s">
        <v>800</v>
      </c>
      <c r="ABL1" s="9" t="s">
        <v>801</v>
      </c>
      <c r="ABM1" s="9" t="s">
        <v>802</v>
      </c>
      <c r="ABN1" s="9" t="s">
        <v>803</v>
      </c>
      <c r="ABO1" s="9" t="s">
        <v>804</v>
      </c>
      <c r="ABP1" s="9" t="s">
        <v>805</v>
      </c>
      <c r="ABQ1" s="9" t="s">
        <v>806</v>
      </c>
      <c r="ABR1" s="9" t="s">
        <v>807</v>
      </c>
      <c r="ABS1" s="9" t="s">
        <v>808</v>
      </c>
      <c r="ABT1" s="9" t="s">
        <v>809</v>
      </c>
      <c r="ABU1" s="9" t="s">
        <v>810</v>
      </c>
      <c r="ABV1" s="9" t="s">
        <v>811</v>
      </c>
      <c r="ABW1" s="9" t="s">
        <v>812</v>
      </c>
      <c r="ABX1" s="9" t="s">
        <v>813</v>
      </c>
      <c r="ABY1" s="9" t="s">
        <v>814</v>
      </c>
      <c r="ABZ1" s="9" t="s">
        <v>815</v>
      </c>
      <c r="ACA1" s="9" t="s">
        <v>816</v>
      </c>
      <c r="ACB1" s="9" t="s">
        <v>817</v>
      </c>
      <c r="ACC1" s="9" t="s">
        <v>818</v>
      </c>
      <c r="ACD1" s="9" t="s">
        <v>819</v>
      </c>
      <c r="ACE1" s="9" t="s">
        <v>820</v>
      </c>
      <c r="ACF1" s="9" t="s">
        <v>821</v>
      </c>
      <c r="ACG1" s="9" t="s">
        <v>822</v>
      </c>
      <c r="ACH1" s="9" t="s">
        <v>823</v>
      </c>
      <c r="ACI1" s="9" t="s">
        <v>824</v>
      </c>
      <c r="ACJ1" s="9" t="s">
        <v>825</v>
      </c>
      <c r="ACK1" s="9" t="s">
        <v>826</v>
      </c>
      <c r="ACL1" s="9" t="s">
        <v>827</v>
      </c>
      <c r="ACM1" s="9" t="s">
        <v>828</v>
      </c>
      <c r="ACN1" s="9" t="s">
        <v>829</v>
      </c>
      <c r="ACO1" s="9" t="s">
        <v>830</v>
      </c>
      <c r="ACP1" s="9" t="s">
        <v>831</v>
      </c>
      <c r="ACQ1" s="9" t="s">
        <v>832</v>
      </c>
      <c r="ACR1" s="9" t="s">
        <v>833</v>
      </c>
      <c r="ACS1" s="9" t="s">
        <v>834</v>
      </c>
      <c r="ACT1" s="9" t="s">
        <v>835</v>
      </c>
      <c r="ACU1" s="9" t="s">
        <v>836</v>
      </c>
      <c r="ACV1" s="9" t="s">
        <v>837</v>
      </c>
      <c r="ACW1" s="9" t="s">
        <v>838</v>
      </c>
      <c r="ACX1" s="9" t="s">
        <v>839</v>
      </c>
      <c r="ACY1" s="9" t="s">
        <v>840</v>
      </c>
      <c r="ACZ1" s="9" t="s">
        <v>841</v>
      </c>
      <c r="ADA1" s="9" t="s">
        <v>842</v>
      </c>
      <c r="ADB1" s="9" t="s">
        <v>843</v>
      </c>
      <c r="ADC1" s="9" t="s">
        <v>844</v>
      </c>
      <c r="ADD1" s="9" t="s">
        <v>845</v>
      </c>
      <c r="ADE1" s="9" t="s">
        <v>846</v>
      </c>
      <c r="ADF1" s="9" t="s">
        <v>847</v>
      </c>
      <c r="ADG1" s="9" t="s">
        <v>848</v>
      </c>
      <c r="ADH1" s="9" t="s">
        <v>849</v>
      </c>
      <c r="ADI1" s="9" t="s">
        <v>850</v>
      </c>
      <c r="ADJ1" s="9" t="s">
        <v>851</v>
      </c>
      <c r="ADK1" s="9" t="s">
        <v>852</v>
      </c>
      <c r="ADL1" s="9" t="s">
        <v>853</v>
      </c>
      <c r="ADM1" s="9" t="s">
        <v>854</v>
      </c>
      <c r="ADN1" s="9" t="s">
        <v>855</v>
      </c>
      <c r="ADO1" s="9" t="s">
        <v>856</v>
      </c>
      <c r="ADP1" s="9" t="s">
        <v>857</v>
      </c>
      <c r="ADQ1" s="9" t="s">
        <v>858</v>
      </c>
      <c r="ADR1" s="9" t="s">
        <v>859</v>
      </c>
      <c r="ADS1" s="9" t="s">
        <v>860</v>
      </c>
      <c r="ADT1" s="9" t="s">
        <v>861</v>
      </c>
      <c r="ADU1" s="9" t="s">
        <v>862</v>
      </c>
      <c r="ADV1" s="9" t="s">
        <v>863</v>
      </c>
      <c r="ADW1" s="9" t="s">
        <v>864</v>
      </c>
      <c r="ADX1" s="9" t="s">
        <v>865</v>
      </c>
      <c r="ADY1" s="9" t="s">
        <v>866</v>
      </c>
      <c r="ADZ1" s="9" t="s">
        <v>867</v>
      </c>
      <c r="AEA1" s="9" t="s">
        <v>868</v>
      </c>
      <c r="AEB1" s="9" t="s">
        <v>869</v>
      </c>
      <c r="AEC1" s="9" t="s">
        <v>870</v>
      </c>
      <c r="AED1" s="9" t="s">
        <v>871</v>
      </c>
      <c r="AEE1" s="9" t="s">
        <v>872</v>
      </c>
      <c r="AEF1" s="9" t="s">
        <v>873</v>
      </c>
      <c r="AEG1" s="9" t="s">
        <v>874</v>
      </c>
      <c r="AEH1" s="9" t="s">
        <v>875</v>
      </c>
      <c r="AEI1" s="9" t="s">
        <v>876</v>
      </c>
      <c r="AEJ1" s="9" t="s">
        <v>877</v>
      </c>
      <c r="AEK1" s="9" t="s">
        <v>878</v>
      </c>
      <c r="AEL1" s="9" t="s">
        <v>879</v>
      </c>
      <c r="AEM1" s="9" t="s">
        <v>880</v>
      </c>
      <c r="AEN1" s="9" t="s">
        <v>881</v>
      </c>
      <c r="AEO1" s="9" t="s">
        <v>882</v>
      </c>
      <c r="AEP1" s="9" t="s">
        <v>883</v>
      </c>
      <c r="AEQ1" s="9" t="s">
        <v>884</v>
      </c>
      <c r="AER1" s="9" t="s">
        <v>885</v>
      </c>
      <c r="AES1" s="9" t="s">
        <v>886</v>
      </c>
      <c r="AET1" s="9" t="s">
        <v>887</v>
      </c>
      <c r="AEU1" s="9" t="s">
        <v>888</v>
      </c>
      <c r="AEV1" s="9" t="s">
        <v>889</v>
      </c>
      <c r="AEW1" s="9" t="s">
        <v>890</v>
      </c>
      <c r="AEX1" s="9" t="s">
        <v>891</v>
      </c>
      <c r="AEY1" s="9" t="s">
        <v>892</v>
      </c>
      <c r="AEZ1" s="9" t="s">
        <v>893</v>
      </c>
      <c r="AFA1" s="9" t="s">
        <v>894</v>
      </c>
      <c r="AFB1" s="9" t="s">
        <v>895</v>
      </c>
      <c r="AFC1" s="9" t="s">
        <v>896</v>
      </c>
      <c r="AFD1" s="9" t="s">
        <v>897</v>
      </c>
      <c r="AFE1" s="9" t="s">
        <v>898</v>
      </c>
      <c r="AFF1" s="9" t="s">
        <v>899</v>
      </c>
      <c r="AFG1" s="9" t="s">
        <v>900</v>
      </c>
      <c r="AFH1" s="9" t="s">
        <v>901</v>
      </c>
      <c r="AFI1" s="9" t="s">
        <v>902</v>
      </c>
      <c r="AFJ1" s="9" t="s">
        <v>903</v>
      </c>
      <c r="AFK1" s="9" t="s">
        <v>904</v>
      </c>
      <c r="AFL1" s="9" t="s">
        <v>905</v>
      </c>
      <c r="AFM1" s="9" t="s">
        <v>906</v>
      </c>
      <c r="AFN1" s="9" t="s">
        <v>907</v>
      </c>
      <c r="AFO1" s="9" t="s">
        <v>908</v>
      </c>
      <c r="AFP1" s="9" t="s">
        <v>909</v>
      </c>
      <c r="AFQ1" s="9" t="s">
        <v>910</v>
      </c>
      <c r="AFR1" s="9" t="s">
        <v>911</v>
      </c>
      <c r="AFS1" s="9" t="s">
        <v>912</v>
      </c>
      <c r="AFT1" s="9" t="s">
        <v>913</v>
      </c>
      <c r="AFU1" s="9" t="s">
        <v>914</v>
      </c>
      <c r="AFV1" s="9" t="s">
        <v>915</v>
      </c>
      <c r="AFW1" s="9" t="s">
        <v>916</v>
      </c>
      <c r="AFX1" s="9" t="s">
        <v>917</v>
      </c>
      <c r="AFY1" s="9" t="s">
        <v>918</v>
      </c>
      <c r="AFZ1" s="9" t="s">
        <v>919</v>
      </c>
      <c r="AGA1" s="9" t="s">
        <v>920</v>
      </c>
      <c r="AGB1" s="9" t="s">
        <v>921</v>
      </c>
      <c r="AGC1" s="9" t="s">
        <v>922</v>
      </c>
      <c r="AGD1" s="9" t="s">
        <v>923</v>
      </c>
      <c r="AGE1" s="9" t="s">
        <v>924</v>
      </c>
      <c r="AGF1" s="9" t="s">
        <v>925</v>
      </c>
      <c r="AGG1" s="9" t="s">
        <v>926</v>
      </c>
      <c r="AGH1" s="9" t="s">
        <v>927</v>
      </c>
      <c r="AGI1" s="9" t="s">
        <v>928</v>
      </c>
      <c r="AGJ1" s="9" t="s">
        <v>929</v>
      </c>
      <c r="AGK1" s="9" t="s">
        <v>930</v>
      </c>
      <c r="AGL1" s="9" t="s">
        <v>931</v>
      </c>
      <c r="AGM1" s="9" t="s">
        <v>932</v>
      </c>
      <c r="AGN1" s="9" t="s">
        <v>933</v>
      </c>
      <c r="AGO1" s="9" t="s">
        <v>934</v>
      </c>
      <c r="AGP1" s="9" t="s">
        <v>935</v>
      </c>
      <c r="AGQ1" s="9" t="s">
        <v>936</v>
      </c>
      <c r="AGR1" s="9" t="s">
        <v>937</v>
      </c>
      <c r="AGS1" s="9" t="s">
        <v>938</v>
      </c>
      <c r="AGT1" s="9" t="s">
        <v>939</v>
      </c>
      <c r="AGU1" s="9" t="s">
        <v>940</v>
      </c>
      <c r="AGV1" s="9" t="s">
        <v>941</v>
      </c>
      <c r="AGW1" s="9" t="s">
        <v>942</v>
      </c>
      <c r="AGX1" s="9" t="s">
        <v>943</v>
      </c>
      <c r="AGY1" s="9" t="s">
        <v>944</v>
      </c>
      <c r="AGZ1" s="9" t="s">
        <v>945</v>
      </c>
      <c r="AHA1" s="9" t="s">
        <v>946</v>
      </c>
      <c r="AHB1" s="9" t="s">
        <v>947</v>
      </c>
      <c r="AHC1" s="9" t="s">
        <v>948</v>
      </c>
      <c r="AHD1" s="9" t="s">
        <v>949</v>
      </c>
      <c r="AHE1" s="9" t="s">
        <v>950</v>
      </c>
      <c r="AHF1" s="9" t="s">
        <v>951</v>
      </c>
      <c r="AHG1" s="9" t="s">
        <v>952</v>
      </c>
      <c r="AHH1" s="9" t="s">
        <v>953</v>
      </c>
      <c r="AHI1" s="9" t="s">
        <v>954</v>
      </c>
      <c r="AHJ1" s="9" t="s">
        <v>955</v>
      </c>
      <c r="AHK1" s="9" t="s">
        <v>956</v>
      </c>
      <c r="AHL1" s="9" t="s">
        <v>957</v>
      </c>
      <c r="AHM1" s="9" t="s">
        <v>958</v>
      </c>
      <c r="AHN1" s="9" t="s">
        <v>959</v>
      </c>
      <c r="AHO1" s="9" t="s">
        <v>960</v>
      </c>
      <c r="AHP1" s="9" t="s">
        <v>961</v>
      </c>
      <c r="AHQ1" s="9" t="s">
        <v>962</v>
      </c>
      <c r="AHR1" s="9" t="s">
        <v>963</v>
      </c>
      <c r="AHS1" s="9" t="s">
        <v>964</v>
      </c>
      <c r="AHT1" s="9" t="s">
        <v>965</v>
      </c>
      <c r="AHU1" s="9" t="s">
        <v>966</v>
      </c>
      <c r="AHV1" s="9" t="s">
        <v>967</v>
      </c>
      <c r="AHW1" s="9" t="s">
        <v>968</v>
      </c>
      <c r="AHX1" s="9" t="s">
        <v>969</v>
      </c>
      <c r="AHY1" s="9" t="s">
        <v>970</v>
      </c>
      <c r="AHZ1" s="9" t="s">
        <v>971</v>
      </c>
      <c r="AIA1" s="9" t="s">
        <v>972</v>
      </c>
      <c r="AIB1" s="9" t="s">
        <v>973</v>
      </c>
      <c r="AIC1" s="9" t="s">
        <v>974</v>
      </c>
      <c r="AID1" s="9" t="s">
        <v>975</v>
      </c>
      <c r="AIE1" s="9" t="s">
        <v>976</v>
      </c>
      <c r="AIF1" s="9" t="s">
        <v>977</v>
      </c>
      <c r="AIG1" s="9" t="s">
        <v>978</v>
      </c>
      <c r="AIH1" s="9" t="s">
        <v>979</v>
      </c>
      <c r="AII1" s="9" t="s">
        <v>980</v>
      </c>
      <c r="AIJ1" s="9" t="s">
        <v>981</v>
      </c>
      <c r="AIK1" s="9" t="s">
        <v>982</v>
      </c>
      <c r="AIL1" s="9" t="s">
        <v>983</v>
      </c>
      <c r="AIM1" s="9" t="s">
        <v>984</v>
      </c>
      <c r="AIN1" s="9" t="s">
        <v>985</v>
      </c>
      <c r="AIO1" s="9" t="s">
        <v>986</v>
      </c>
      <c r="AIP1" s="9" t="s">
        <v>987</v>
      </c>
      <c r="AIQ1" s="9" t="s">
        <v>988</v>
      </c>
      <c r="AIR1" s="9" t="s">
        <v>989</v>
      </c>
      <c r="AIS1" s="9" t="s">
        <v>990</v>
      </c>
      <c r="AIT1" s="9" t="s">
        <v>991</v>
      </c>
      <c r="AIU1" s="9" t="s">
        <v>992</v>
      </c>
      <c r="AIV1" s="9" t="s">
        <v>993</v>
      </c>
      <c r="AIW1" s="9" t="s">
        <v>994</v>
      </c>
      <c r="AIX1" s="9" t="s">
        <v>995</v>
      </c>
      <c r="AIY1" s="9" t="s">
        <v>996</v>
      </c>
      <c r="AIZ1" s="9" t="s">
        <v>997</v>
      </c>
      <c r="AJA1" s="9" t="s">
        <v>998</v>
      </c>
      <c r="AJB1" s="9" t="s">
        <v>999</v>
      </c>
      <c r="AJC1" s="9" t="s">
        <v>1000</v>
      </c>
      <c r="AJD1" s="9" t="s">
        <v>1001</v>
      </c>
      <c r="AJE1" s="9" t="s">
        <v>1002</v>
      </c>
      <c r="AJF1" s="9" t="s">
        <v>1003</v>
      </c>
      <c r="AJG1" s="9" t="s">
        <v>1004</v>
      </c>
      <c r="AJH1" s="9" t="s">
        <v>1005</v>
      </c>
      <c r="AJI1" s="9" t="s">
        <v>1006</v>
      </c>
      <c r="AJJ1" s="9" t="s">
        <v>1007</v>
      </c>
      <c r="AJK1" s="9" t="s">
        <v>1008</v>
      </c>
      <c r="AJL1" s="9" t="s">
        <v>1009</v>
      </c>
      <c r="AJM1" s="9" t="s">
        <v>1010</v>
      </c>
      <c r="AJN1" s="9" t="s">
        <v>1011</v>
      </c>
      <c r="AJO1" s="9" t="s">
        <v>1012</v>
      </c>
      <c r="AJP1" s="9" t="s">
        <v>1013</v>
      </c>
      <c r="AJQ1" s="9" t="s">
        <v>1014</v>
      </c>
      <c r="AJR1" s="9" t="s">
        <v>1015</v>
      </c>
      <c r="AJS1" s="9" t="s">
        <v>1016</v>
      </c>
      <c r="AJT1" s="9" t="s">
        <v>1017</v>
      </c>
      <c r="AJU1" s="9" t="s">
        <v>1018</v>
      </c>
      <c r="AJV1" s="9" t="s">
        <v>1019</v>
      </c>
      <c r="AJW1" s="9" t="s">
        <v>1020</v>
      </c>
      <c r="AJX1" s="9" t="s">
        <v>1021</v>
      </c>
      <c r="AJY1" s="9" t="s">
        <v>1022</v>
      </c>
      <c r="AJZ1" s="9" t="s">
        <v>1023</v>
      </c>
      <c r="AKA1" s="9" t="s">
        <v>1024</v>
      </c>
      <c r="AKB1" s="9" t="s">
        <v>1025</v>
      </c>
      <c r="AKC1" s="9" t="s">
        <v>1026</v>
      </c>
      <c r="AKD1" s="9" t="s">
        <v>1027</v>
      </c>
      <c r="AKE1" s="9" t="s">
        <v>1028</v>
      </c>
      <c r="AKF1" s="9" t="s">
        <v>1029</v>
      </c>
      <c r="AKG1" s="9" t="s">
        <v>1030</v>
      </c>
      <c r="AKH1" s="9" t="s">
        <v>1031</v>
      </c>
      <c r="AKI1" s="9" t="s">
        <v>1032</v>
      </c>
      <c r="AKJ1" s="9" t="s">
        <v>1033</v>
      </c>
      <c r="AKK1" s="9" t="s">
        <v>1034</v>
      </c>
      <c r="AKL1" s="9" t="s">
        <v>1035</v>
      </c>
      <c r="AKM1" s="9" t="s">
        <v>1036</v>
      </c>
      <c r="AKN1" s="9" t="s">
        <v>1037</v>
      </c>
      <c r="AKO1" s="9" t="s">
        <v>1038</v>
      </c>
      <c r="AKP1" s="9" t="s">
        <v>1039</v>
      </c>
      <c r="AKQ1" s="9" t="s">
        <v>1040</v>
      </c>
      <c r="AKR1" s="9" t="s">
        <v>1041</v>
      </c>
      <c r="AKS1" s="9" t="s">
        <v>1042</v>
      </c>
      <c r="AKT1" s="9" t="s">
        <v>1043</v>
      </c>
      <c r="AKU1" s="9" t="s">
        <v>1044</v>
      </c>
      <c r="AKV1" s="9" t="s">
        <v>1045</v>
      </c>
      <c r="AKW1" s="9" t="s">
        <v>1046</v>
      </c>
      <c r="AKX1" s="9" t="s">
        <v>1047</v>
      </c>
      <c r="AKY1" s="9" t="s">
        <v>1048</v>
      </c>
      <c r="AKZ1" s="9" t="s">
        <v>1049</v>
      </c>
      <c r="ALA1" s="9" t="s">
        <v>1050</v>
      </c>
      <c r="ALB1" s="9" t="s">
        <v>1051</v>
      </c>
      <c r="ALC1" s="9" t="s">
        <v>1052</v>
      </c>
      <c r="ALD1" s="9" t="s">
        <v>1053</v>
      </c>
      <c r="ALE1" s="9" t="s">
        <v>1054</v>
      </c>
      <c r="ALF1" s="9" t="s">
        <v>1055</v>
      </c>
      <c r="ALG1" s="9" t="s">
        <v>1056</v>
      </c>
      <c r="ALH1" s="9" t="s">
        <v>1057</v>
      </c>
      <c r="ALI1" s="9" t="s">
        <v>1058</v>
      </c>
      <c r="ALJ1" s="9" t="s">
        <v>1059</v>
      </c>
      <c r="ALK1" s="9" t="s">
        <v>1060</v>
      </c>
      <c r="ALL1" s="9" t="s">
        <v>1061</v>
      </c>
      <c r="ALM1" s="9" t="s">
        <v>1062</v>
      </c>
      <c r="ALN1" s="9" t="s">
        <v>1063</v>
      </c>
      <c r="ALO1" s="9" t="s">
        <v>1064</v>
      </c>
      <c r="ALP1" s="9" t="s">
        <v>1065</v>
      </c>
      <c r="ALQ1" s="9" t="s">
        <v>1066</v>
      </c>
      <c r="ALR1" s="9" t="s">
        <v>1067</v>
      </c>
      <c r="ALS1" s="9" t="s">
        <v>1068</v>
      </c>
      <c r="ALT1" s="9" t="s">
        <v>1069</v>
      </c>
      <c r="ALU1" s="9" t="s">
        <v>1070</v>
      </c>
      <c r="ALV1" s="9" t="s">
        <v>1071</v>
      </c>
      <c r="ALW1" s="9" t="s">
        <v>1072</v>
      </c>
      <c r="ALX1" s="9" t="s">
        <v>1073</v>
      </c>
      <c r="ALY1" s="9" t="s">
        <v>1074</v>
      </c>
      <c r="ALZ1" s="9" t="s">
        <v>1075</v>
      </c>
      <c r="AMA1" s="9" t="s">
        <v>1076</v>
      </c>
      <c r="AMB1" s="9" t="s">
        <v>1077</v>
      </c>
      <c r="AMC1" s="9" t="s">
        <v>1078</v>
      </c>
      <c r="AMD1" s="9" t="s">
        <v>1079</v>
      </c>
      <c r="AME1" s="9" t="s">
        <v>1080</v>
      </c>
      <c r="AMF1" s="9" t="s">
        <v>1081</v>
      </c>
      <c r="AMG1" s="9" t="s">
        <v>1082</v>
      </c>
      <c r="AMH1" s="9" t="s">
        <v>1083</v>
      </c>
      <c r="AMI1" s="9" t="s">
        <v>1084</v>
      </c>
      <c r="AMJ1" s="9" t="s">
        <v>1085</v>
      </c>
      <c r="AMK1" s="9" t="s">
        <v>1086</v>
      </c>
      <c r="AML1" s="9" t="s">
        <v>1087</v>
      </c>
      <c r="AMM1" s="9" t="s">
        <v>1088</v>
      </c>
      <c r="AMN1" s="9" t="s">
        <v>1089</v>
      </c>
      <c r="AMO1" s="9" t="s">
        <v>1090</v>
      </c>
      <c r="AMP1" s="9" t="s">
        <v>1091</v>
      </c>
      <c r="AMQ1" s="9" t="s">
        <v>1092</v>
      </c>
      <c r="AMR1" s="9" t="s">
        <v>1093</v>
      </c>
      <c r="AMS1" s="9" t="s">
        <v>1094</v>
      </c>
      <c r="AMT1" s="9" t="s">
        <v>1095</v>
      </c>
      <c r="AMU1" s="9" t="s">
        <v>1096</v>
      </c>
      <c r="AMV1" s="9" t="s">
        <v>1097</v>
      </c>
      <c r="AMW1" s="9" t="s">
        <v>1098</v>
      </c>
      <c r="AMX1" s="9" t="s">
        <v>1099</v>
      </c>
      <c r="AMY1" s="9" t="s">
        <v>1100</v>
      </c>
      <c r="AMZ1" s="9" t="s">
        <v>1101</v>
      </c>
      <c r="ANA1" s="9" t="s">
        <v>1102</v>
      </c>
      <c r="ANB1" s="9" t="s">
        <v>1103</v>
      </c>
      <c r="ANC1" s="9" t="s">
        <v>1104</v>
      </c>
      <c r="AND1" s="9" t="s">
        <v>1105</v>
      </c>
      <c r="ANE1" s="9" t="s">
        <v>1106</v>
      </c>
      <c r="ANF1" s="9" t="s">
        <v>1107</v>
      </c>
      <c r="ANG1" s="9" t="s">
        <v>1108</v>
      </c>
      <c r="ANH1" s="9" t="s">
        <v>1109</v>
      </c>
      <c r="ANI1" s="9" t="s">
        <v>1110</v>
      </c>
      <c r="ANJ1" s="9" t="s">
        <v>1111</v>
      </c>
      <c r="ANK1" s="9" t="s">
        <v>1112</v>
      </c>
      <c r="ANL1" s="9" t="s">
        <v>1113</v>
      </c>
      <c r="ANM1" s="9" t="s">
        <v>1114</v>
      </c>
      <c r="ANN1" s="9" t="s">
        <v>1115</v>
      </c>
      <c r="ANO1" s="9" t="s">
        <v>1116</v>
      </c>
      <c r="ANP1" s="9" t="s">
        <v>1117</v>
      </c>
      <c r="ANQ1" s="9" t="s">
        <v>1118</v>
      </c>
      <c r="ANR1" s="9" t="s">
        <v>1119</v>
      </c>
      <c r="ANS1" s="9" t="s">
        <v>1120</v>
      </c>
      <c r="ANT1" s="9" t="s">
        <v>1121</v>
      </c>
      <c r="ANU1" s="9" t="s">
        <v>1122</v>
      </c>
      <c r="ANV1" s="9" t="s">
        <v>1123</v>
      </c>
      <c r="ANW1" s="9" t="s">
        <v>1124</v>
      </c>
      <c r="ANX1" s="9" t="s">
        <v>1125</v>
      </c>
      <c r="ANY1" s="9" t="s">
        <v>1126</v>
      </c>
      <c r="ANZ1" s="9" t="s">
        <v>1127</v>
      </c>
      <c r="AOA1" s="9" t="s">
        <v>1128</v>
      </c>
      <c r="AOB1" s="9" t="s">
        <v>1129</v>
      </c>
      <c r="AOC1" s="9" t="s">
        <v>1130</v>
      </c>
      <c r="AOD1" s="9" t="s">
        <v>1131</v>
      </c>
      <c r="AOE1" s="9" t="s">
        <v>1132</v>
      </c>
      <c r="AOF1" s="9" t="s">
        <v>1133</v>
      </c>
      <c r="AOG1" s="9" t="s">
        <v>1134</v>
      </c>
      <c r="AOH1" s="9" t="s">
        <v>1135</v>
      </c>
      <c r="AOI1" s="9" t="s">
        <v>1136</v>
      </c>
      <c r="AOJ1" s="9" t="s">
        <v>1137</v>
      </c>
      <c r="AOK1" s="9" t="s">
        <v>1138</v>
      </c>
      <c r="AOL1" s="9" t="s">
        <v>1139</v>
      </c>
      <c r="AOM1" s="9" t="s">
        <v>1140</v>
      </c>
      <c r="AON1" s="9" t="s">
        <v>1141</v>
      </c>
      <c r="AOO1" s="9" t="s">
        <v>1142</v>
      </c>
      <c r="AOP1" s="9" t="s">
        <v>1143</v>
      </c>
      <c r="AOQ1" s="9" t="s">
        <v>1144</v>
      </c>
      <c r="AOR1" s="9" t="s">
        <v>1145</v>
      </c>
      <c r="AOS1" s="9" t="s">
        <v>1146</v>
      </c>
      <c r="AOT1" s="9" t="s">
        <v>1147</v>
      </c>
      <c r="AOU1" s="9" t="s">
        <v>1148</v>
      </c>
      <c r="AOV1" s="9" t="s">
        <v>1149</v>
      </c>
      <c r="AOW1" s="9" t="s">
        <v>1150</v>
      </c>
      <c r="AOX1" s="9" t="s">
        <v>1151</v>
      </c>
      <c r="AOY1" s="9" t="s">
        <v>1152</v>
      </c>
      <c r="AOZ1" s="9" t="s">
        <v>1153</v>
      </c>
      <c r="APA1" s="9" t="s">
        <v>1154</v>
      </c>
      <c r="APB1" s="9" t="s">
        <v>1155</v>
      </c>
      <c r="APC1" s="9" t="s">
        <v>1156</v>
      </c>
      <c r="APD1" s="9" t="s">
        <v>1157</v>
      </c>
      <c r="APE1" s="9" t="s">
        <v>1158</v>
      </c>
      <c r="APF1" s="9" t="s">
        <v>1159</v>
      </c>
      <c r="APG1" s="9" t="s">
        <v>1160</v>
      </c>
      <c r="APH1" s="9" t="s">
        <v>1161</v>
      </c>
      <c r="API1" s="9" t="s">
        <v>1162</v>
      </c>
      <c r="APJ1" s="9" t="s">
        <v>1163</v>
      </c>
      <c r="APK1" s="9" t="s">
        <v>1164</v>
      </c>
      <c r="APL1" s="9" t="s">
        <v>1165</v>
      </c>
      <c r="APM1" s="9" t="s">
        <v>1166</v>
      </c>
      <c r="APN1" s="9" t="s">
        <v>1167</v>
      </c>
      <c r="APO1" s="9" t="s">
        <v>1168</v>
      </c>
      <c r="APP1" s="9" t="s">
        <v>1169</v>
      </c>
      <c r="APQ1" s="9" t="s">
        <v>1170</v>
      </c>
      <c r="APR1" s="9" t="s">
        <v>1171</v>
      </c>
      <c r="APS1" s="9" t="s">
        <v>1172</v>
      </c>
      <c r="APT1" s="9" t="s">
        <v>1173</v>
      </c>
      <c r="APU1" s="9" t="s">
        <v>1174</v>
      </c>
      <c r="APV1" s="9" t="s">
        <v>1175</v>
      </c>
      <c r="APW1" s="9" t="s">
        <v>1176</v>
      </c>
      <c r="APX1" s="9" t="s">
        <v>1177</v>
      </c>
      <c r="APY1" s="9" t="s">
        <v>1178</v>
      </c>
      <c r="APZ1" s="9" t="s">
        <v>1179</v>
      </c>
      <c r="AQA1" s="9" t="s">
        <v>1180</v>
      </c>
      <c r="AQB1" s="9" t="s">
        <v>1181</v>
      </c>
      <c r="AQC1" s="9" t="s">
        <v>1182</v>
      </c>
      <c r="AQD1" s="9" t="s">
        <v>1183</v>
      </c>
      <c r="AQE1" s="9" t="s">
        <v>1184</v>
      </c>
      <c r="AQF1" s="9" t="s">
        <v>1185</v>
      </c>
      <c r="AQG1" s="9" t="s">
        <v>1186</v>
      </c>
      <c r="AQH1" s="9" t="s">
        <v>1187</v>
      </c>
      <c r="AQI1" s="9" t="s">
        <v>1188</v>
      </c>
      <c r="AQJ1" s="9" t="s">
        <v>1189</v>
      </c>
      <c r="AQK1" s="9" t="s">
        <v>1190</v>
      </c>
      <c r="AQL1" s="9" t="s">
        <v>1191</v>
      </c>
      <c r="AQM1" s="9" t="s">
        <v>1192</v>
      </c>
      <c r="AQN1" s="9" t="s">
        <v>1193</v>
      </c>
      <c r="AQO1" s="9" t="s">
        <v>1194</v>
      </c>
      <c r="AQP1" s="9" t="s">
        <v>1195</v>
      </c>
      <c r="AQQ1" s="9" t="s">
        <v>1196</v>
      </c>
      <c r="AQR1" s="9" t="s">
        <v>1197</v>
      </c>
      <c r="AQS1" s="9" t="s">
        <v>1198</v>
      </c>
      <c r="AQT1" s="9" t="s">
        <v>1199</v>
      </c>
      <c r="AQU1" s="9" t="s">
        <v>1200</v>
      </c>
      <c r="AQV1" s="9" t="s">
        <v>1201</v>
      </c>
      <c r="AQW1" s="9" t="s">
        <v>1202</v>
      </c>
      <c r="AQX1" s="9" t="s">
        <v>1203</v>
      </c>
      <c r="AQY1" s="9" t="s">
        <v>1204</v>
      </c>
      <c r="AQZ1" s="9" t="s">
        <v>1205</v>
      </c>
      <c r="ARA1" s="9" t="s">
        <v>1206</v>
      </c>
      <c r="ARB1" s="9" t="s">
        <v>1207</v>
      </c>
      <c r="ARC1" s="9" t="s">
        <v>1208</v>
      </c>
      <c r="ARD1" s="9" t="s">
        <v>1209</v>
      </c>
      <c r="ARE1" s="9" t="s">
        <v>1210</v>
      </c>
      <c r="ARF1" s="9" t="s">
        <v>1211</v>
      </c>
      <c r="ARG1" s="9" t="s">
        <v>1212</v>
      </c>
      <c r="ARH1" s="9" t="s">
        <v>1213</v>
      </c>
      <c r="ARI1" s="9" t="s">
        <v>1214</v>
      </c>
      <c r="ARJ1" s="9" t="s">
        <v>1215</v>
      </c>
      <c r="ARK1" s="9" t="s">
        <v>1216</v>
      </c>
      <c r="ARL1" s="9" t="s">
        <v>1217</v>
      </c>
      <c r="ARM1" s="9" t="s">
        <v>1218</v>
      </c>
      <c r="ARN1" s="9" t="s">
        <v>1219</v>
      </c>
      <c r="ARO1" s="9" t="s">
        <v>1220</v>
      </c>
      <c r="ARP1" s="9" t="s">
        <v>1221</v>
      </c>
      <c r="ARQ1" s="9" t="s">
        <v>1222</v>
      </c>
      <c r="ARR1" s="9" t="s">
        <v>1223</v>
      </c>
      <c r="ARS1" s="9" t="s">
        <v>1224</v>
      </c>
      <c r="ART1" s="9" t="s">
        <v>1225</v>
      </c>
      <c r="ARU1" s="9" t="s">
        <v>1226</v>
      </c>
      <c r="ARV1" s="9" t="s">
        <v>1227</v>
      </c>
      <c r="ARW1" s="9" t="s">
        <v>1228</v>
      </c>
      <c r="ARX1" s="9" t="s">
        <v>1229</v>
      </c>
      <c r="ARY1" s="9" t="s">
        <v>1230</v>
      </c>
      <c r="ARZ1" s="9" t="s">
        <v>1231</v>
      </c>
      <c r="ASA1" s="9" t="s">
        <v>1232</v>
      </c>
      <c r="ASB1" s="9" t="s">
        <v>1233</v>
      </c>
      <c r="ASC1" s="9" t="s">
        <v>1234</v>
      </c>
      <c r="ASD1" s="9" t="s">
        <v>1235</v>
      </c>
      <c r="ASE1" s="9" t="s">
        <v>1236</v>
      </c>
      <c r="ASF1" s="9" t="s">
        <v>1237</v>
      </c>
      <c r="ASG1" s="9" t="s">
        <v>1238</v>
      </c>
      <c r="ASH1" s="9" t="s">
        <v>1239</v>
      </c>
      <c r="ASI1" s="9" t="s">
        <v>1240</v>
      </c>
      <c r="ASJ1" s="9" t="s">
        <v>1241</v>
      </c>
      <c r="ASK1" s="9" t="s">
        <v>1242</v>
      </c>
      <c r="ASL1" s="9" t="s">
        <v>1243</v>
      </c>
      <c r="ASM1" s="9" t="s">
        <v>1244</v>
      </c>
      <c r="ASN1" s="9" t="s">
        <v>1245</v>
      </c>
      <c r="ASO1" s="9" t="s">
        <v>1246</v>
      </c>
      <c r="ASP1" s="9" t="s">
        <v>1247</v>
      </c>
      <c r="ASQ1" s="9" t="s">
        <v>1248</v>
      </c>
      <c r="ASR1" s="9" t="s">
        <v>1249</v>
      </c>
      <c r="ASS1" s="9" t="s">
        <v>1250</v>
      </c>
      <c r="AST1" s="9" t="s">
        <v>1251</v>
      </c>
      <c r="ASU1" s="9" t="s">
        <v>1252</v>
      </c>
      <c r="ASV1" s="9" t="s">
        <v>1253</v>
      </c>
      <c r="ASW1" s="9" t="s">
        <v>1254</v>
      </c>
      <c r="ASX1" s="9" t="s">
        <v>1255</v>
      </c>
      <c r="ASY1" s="9" t="s">
        <v>1256</v>
      </c>
      <c r="ASZ1" s="9" t="s">
        <v>1257</v>
      </c>
      <c r="ATA1" s="9" t="s">
        <v>1258</v>
      </c>
      <c r="ATB1" s="9" t="s">
        <v>1259</v>
      </c>
      <c r="ATC1" s="9" t="s">
        <v>1260</v>
      </c>
      <c r="ATD1" s="9" t="s">
        <v>1261</v>
      </c>
      <c r="ATE1" s="9" t="s">
        <v>1262</v>
      </c>
      <c r="ATF1" s="9" t="s">
        <v>1263</v>
      </c>
      <c r="ATG1" s="9" t="s">
        <v>1264</v>
      </c>
      <c r="ATH1" s="9" t="s">
        <v>1265</v>
      </c>
      <c r="ATI1" s="9" t="s">
        <v>1266</v>
      </c>
      <c r="ATJ1" s="9" t="s">
        <v>1267</v>
      </c>
      <c r="ATK1" s="9" t="s">
        <v>1268</v>
      </c>
      <c r="ATL1" s="9" t="s">
        <v>1269</v>
      </c>
      <c r="ATM1" s="9" t="s">
        <v>1270</v>
      </c>
      <c r="ATN1" s="9" t="s">
        <v>1271</v>
      </c>
      <c r="ATO1" s="9" t="s">
        <v>1272</v>
      </c>
      <c r="ATP1" s="9" t="s">
        <v>1273</v>
      </c>
      <c r="ATQ1" s="9" t="s">
        <v>1274</v>
      </c>
      <c r="ATR1" s="9" t="s">
        <v>1275</v>
      </c>
      <c r="ATS1" s="9" t="s">
        <v>1276</v>
      </c>
      <c r="ATT1" s="9" t="s">
        <v>1277</v>
      </c>
      <c r="ATU1" s="9" t="s">
        <v>1278</v>
      </c>
      <c r="ATV1" s="9" t="s">
        <v>1279</v>
      </c>
      <c r="ATW1" s="9" t="s">
        <v>1280</v>
      </c>
      <c r="ATX1" s="9" t="s">
        <v>1281</v>
      </c>
      <c r="ATY1" s="9" t="s">
        <v>1282</v>
      </c>
      <c r="ATZ1" s="9" t="s">
        <v>1283</v>
      </c>
      <c r="AUA1" s="9" t="s">
        <v>1284</v>
      </c>
      <c r="AUB1" s="9" t="s">
        <v>1285</v>
      </c>
      <c r="AUC1" s="9" t="s">
        <v>1286</v>
      </c>
      <c r="AUD1" s="9" t="s">
        <v>1287</v>
      </c>
      <c r="AUE1" s="9" t="s">
        <v>1288</v>
      </c>
      <c r="AUF1" s="9" t="s">
        <v>1289</v>
      </c>
      <c r="AUG1" s="9" t="s">
        <v>1290</v>
      </c>
      <c r="AUH1" s="9" t="s">
        <v>1291</v>
      </c>
      <c r="AUI1" s="9" t="s">
        <v>1292</v>
      </c>
      <c r="AUJ1" s="9" t="s">
        <v>1293</v>
      </c>
      <c r="AUK1" s="9" t="s">
        <v>1294</v>
      </c>
      <c r="AUL1" s="9" t="s">
        <v>1295</v>
      </c>
      <c r="AUM1" s="9" t="s">
        <v>1296</v>
      </c>
      <c r="AUN1" s="9" t="s">
        <v>1297</v>
      </c>
      <c r="AUO1" s="9" t="s">
        <v>1298</v>
      </c>
      <c r="AUP1" s="9" t="s">
        <v>1299</v>
      </c>
      <c r="AUQ1" s="9" t="s">
        <v>1300</v>
      </c>
      <c r="AUR1" s="9" t="s">
        <v>1301</v>
      </c>
      <c r="AUS1" s="9" t="s">
        <v>1302</v>
      </c>
      <c r="AUT1" s="9" t="s">
        <v>1303</v>
      </c>
      <c r="AUU1" s="9" t="s">
        <v>1304</v>
      </c>
      <c r="AUV1" s="9" t="s">
        <v>1305</v>
      </c>
      <c r="AUW1" s="9" t="s">
        <v>1306</v>
      </c>
      <c r="AUX1" s="9" t="s">
        <v>1307</v>
      </c>
      <c r="AUY1" s="9" t="s">
        <v>1308</v>
      </c>
      <c r="AUZ1" s="9" t="s">
        <v>1309</v>
      </c>
      <c r="AVA1" s="9" t="s">
        <v>1310</v>
      </c>
      <c r="AVB1" s="9" t="s">
        <v>1311</v>
      </c>
      <c r="AVC1" s="9" t="s">
        <v>1312</v>
      </c>
      <c r="AVD1" s="9" t="s">
        <v>1313</v>
      </c>
      <c r="AVE1" s="9" t="s">
        <v>1314</v>
      </c>
      <c r="AVF1" s="9" t="s">
        <v>1315</v>
      </c>
      <c r="AVG1" s="9" t="s">
        <v>1316</v>
      </c>
      <c r="AVH1" s="9" t="s">
        <v>1317</v>
      </c>
      <c r="AVI1" s="9" t="s">
        <v>1318</v>
      </c>
      <c r="AVJ1" s="9" t="s">
        <v>1319</v>
      </c>
      <c r="AVK1" s="9" t="s">
        <v>1320</v>
      </c>
      <c r="AVL1" s="9" t="s">
        <v>1321</v>
      </c>
      <c r="AVM1" s="9" t="s">
        <v>1322</v>
      </c>
      <c r="AVN1" s="9" t="s">
        <v>1323</v>
      </c>
      <c r="AVO1" s="9" t="s">
        <v>1324</v>
      </c>
      <c r="AVP1" s="9" t="s">
        <v>1325</v>
      </c>
      <c r="AVQ1" s="9" t="s">
        <v>1326</v>
      </c>
      <c r="AVR1" s="9" t="s">
        <v>1327</v>
      </c>
      <c r="AVS1" s="9" t="s">
        <v>1328</v>
      </c>
      <c r="AVT1" s="9" t="s">
        <v>1329</v>
      </c>
      <c r="AVU1" s="9" t="s">
        <v>1330</v>
      </c>
      <c r="AVV1" s="9" t="s">
        <v>1331</v>
      </c>
      <c r="AVW1" s="9" t="s">
        <v>1332</v>
      </c>
      <c r="AVX1" s="9" t="s">
        <v>1333</v>
      </c>
      <c r="AVY1" s="9" t="s">
        <v>1334</v>
      </c>
      <c r="AVZ1" s="9" t="s">
        <v>1335</v>
      </c>
      <c r="AWA1" s="9" t="s">
        <v>1336</v>
      </c>
      <c r="AWB1" s="9" t="s">
        <v>1337</v>
      </c>
      <c r="AWC1" s="9" t="s">
        <v>1338</v>
      </c>
      <c r="AWD1" s="9" t="s">
        <v>1339</v>
      </c>
      <c r="AWE1" s="9" t="s">
        <v>1340</v>
      </c>
      <c r="AWF1" s="9" t="s">
        <v>1341</v>
      </c>
      <c r="AWG1" s="9" t="s">
        <v>1342</v>
      </c>
      <c r="AWH1" s="9" t="s">
        <v>1343</v>
      </c>
      <c r="AWI1" s="9" t="s">
        <v>1344</v>
      </c>
      <c r="AWJ1" s="9" t="s">
        <v>1345</v>
      </c>
      <c r="AWK1" s="9" t="s">
        <v>1346</v>
      </c>
      <c r="AWL1" s="9" t="s">
        <v>1347</v>
      </c>
      <c r="AWM1" s="9" t="s">
        <v>1348</v>
      </c>
      <c r="AWN1" s="9" t="s">
        <v>1349</v>
      </c>
      <c r="AWO1" s="9" t="s">
        <v>1350</v>
      </c>
      <c r="AWP1" s="9" t="s">
        <v>1351</v>
      </c>
      <c r="AWQ1" s="9" t="s">
        <v>1352</v>
      </c>
      <c r="AWR1" s="9" t="s">
        <v>1353</v>
      </c>
      <c r="AWS1" s="9" t="s">
        <v>1354</v>
      </c>
      <c r="AWT1" s="9" t="s">
        <v>1355</v>
      </c>
      <c r="AWU1" s="9" t="s">
        <v>1356</v>
      </c>
      <c r="AWV1" s="9" t="s">
        <v>1357</v>
      </c>
      <c r="AWW1" s="9" t="s">
        <v>1358</v>
      </c>
      <c r="AWX1" s="9" t="s">
        <v>1359</v>
      </c>
      <c r="AWY1" s="9" t="s">
        <v>1360</v>
      </c>
      <c r="AWZ1" s="9" t="s">
        <v>1361</v>
      </c>
      <c r="AXA1" s="9" t="s">
        <v>1362</v>
      </c>
      <c r="AXB1" s="9" t="s">
        <v>1363</v>
      </c>
      <c r="AXC1" s="9" t="s">
        <v>1364</v>
      </c>
      <c r="AXD1" s="9" t="s">
        <v>1365</v>
      </c>
      <c r="AXE1" s="9" t="s">
        <v>1366</v>
      </c>
      <c r="AXF1" s="9" t="s">
        <v>1367</v>
      </c>
      <c r="AXG1" s="9" t="s">
        <v>1368</v>
      </c>
      <c r="AXH1" s="9" t="s">
        <v>1369</v>
      </c>
      <c r="AXI1" s="9" t="s">
        <v>1370</v>
      </c>
      <c r="AXJ1" s="9" t="s">
        <v>1371</v>
      </c>
      <c r="AXK1" s="9" t="s">
        <v>1372</v>
      </c>
      <c r="AXL1" s="9" t="s">
        <v>1373</v>
      </c>
      <c r="AXM1" s="9" t="s">
        <v>1374</v>
      </c>
      <c r="AXN1" s="9" t="s">
        <v>1375</v>
      </c>
      <c r="AXO1" s="9" t="s">
        <v>1376</v>
      </c>
      <c r="AXP1" s="9" t="s">
        <v>1377</v>
      </c>
      <c r="AXQ1" s="9" t="s">
        <v>1378</v>
      </c>
      <c r="AXR1" s="9" t="s">
        <v>1379</v>
      </c>
      <c r="AXS1" s="9" t="s">
        <v>1380</v>
      </c>
      <c r="AXT1" s="9" t="s">
        <v>1381</v>
      </c>
      <c r="AXU1" s="9" t="s">
        <v>1382</v>
      </c>
      <c r="AXV1" s="9" t="s">
        <v>1383</v>
      </c>
      <c r="AXW1" s="9" t="s">
        <v>1384</v>
      </c>
      <c r="AXX1" s="9" t="s">
        <v>1385</v>
      </c>
      <c r="AXY1" s="9" t="s">
        <v>1386</v>
      </c>
      <c r="AXZ1" s="9" t="s">
        <v>1387</v>
      </c>
      <c r="AYA1" s="9" t="s">
        <v>1388</v>
      </c>
      <c r="AYB1" s="9" t="s">
        <v>1389</v>
      </c>
      <c r="AYC1" s="9" t="s">
        <v>1390</v>
      </c>
      <c r="AYD1" s="9" t="s">
        <v>1391</v>
      </c>
      <c r="AYE1" s="9" t="s">
        <v>1392</v>
      </c>
      <c r="AYF1" s="9" t="s">
        <v>1393</v>
      </c>
      <c r="AYG1" s="9" t="s">
        <v>1394</v>
      </c>
      <c r="AYH1" s="9" t="s">
        <v>1395</v>
      </c>
      <c r="AYI1" s="9" t="s">
        <v>1396</v>
      </c>
      <c r="AYJ1" s="9" t="s">
        <v>1397</v>
      </c>
      <c r="AYK1" s="9" t="s">
        <v>1398</v>
      </c>
      <c r="AYL1" s="9" t="s">
        <v>1399</v>
      </c>
      <c r="AYM1" s="9" t="s">
        <v>1400</v>
      </c>
      <c r="AYN1" s="9" t="s">
        <v>1401</v>
      </c>
      <c r="AYO1" s="9" t="s">
        <v>1402</v>
      </c>
      <c r="AYP1" s="9" t="s">
        <v>1403</v>
      </c>
      <c r="AYQ1" s="9" t="s">
        <v>1404</v>
      </c>
      <c r="AYR1" s="9" t="s">
        <v>1405</v>
      </c>
      <c r="AYS1" s="9" t="s">
        <v>1406</v>
      </c>
      <c r="AYT1" s="9" t="s">
        <v>1407</v>
      </c>
      <c r="AYU1" s="9" t="s">
        <v>1408</v>
      </c>
      <c r="AYV1" s="9" t="s">
        <v>1409</v>
      </c>
      <c r="AYW1" s="9" t="s">
        <v>1410</v>
      </c>
      <c r="AYX1" s="9" t="s">
        <v>1411</v>
      </c>
      <c r="AYY1" s="9" t="s">
        <v>1412</v>
      </c>
      <c r="AYZ1" s="9" t="s">
        <v>1413</v>
      </c>
      <c r="AZA1" s="9" t="s">
        <v>1414</v>
      </c>
      <c r="AZB1" s="9" t="s">
        <v>1415</v>
      </c>
      <c r="AZC1" s="9" t="s">
        <v>1416</v>
      </c>
      <c r="AZD1" s="9" t="s">
        <v>1417</v>
      </c>
      <c r="AZE1" s="9" t="s">
        <v>1418</v>
      </c>
      <c r="AZF1" s="9" t="s">
        <v>1419</v>
      </c>
      <c r="AZG1" s="9" t="s">
        <v>1420</v>
      </c>
      <c r="AZH1" s="9" t="s">
        <v>1421</v>
      </c>
      <c r="AZI1" s="9" t="s">
        <v>1422</v>
      </c>
      <c r="AZJ1" s="9" t="s">
        <v>1423</v>
      </c>
      <c r="AZK1" s="9" t="s">
        <v>1424</v>
      </c>
      <c r="AZL1" s="9" t="s">
        <v>1425</v>
      </c>
      <c r="AZM1" s="9" t="s">
        <v>1426</v>
      </c>
      <c r="AZN1" s="9" t="s">
        <v>1427</v>
      </c>
      <c r="AZO1" s="9" t="s">
        <v>1428</v>
      </c>
      <c r="AZP1" s="9" t="s">
        <v>1429</v>
      </c>
      <c r="AZQ1" s="9" t="s">
        <v>1430</v>
      </c>
      <c r="AZR1" s="9" t="s">
        <v>1431</v>
      </c>
      <c r="AZS1" s="9" t="s">
        <v>1432</v>
      </c>
      <c r="AZT1" s="9" t="s">
        <v>1433</v>
      </c>
      <c r="AZU1" s="9" t="s">
        <v>1434</v>
      </c>
      <c r="AZV1" s="9" t="s">
        <v>1435</v>
      </c>
      <c r="AZW1" s="9" t="s">
        <v>1436</v>
      </c>
      <c r="AZX1" s="9" t="s">
        <v>1437</v>
      </c>
      <c r="AZY1" s="9" t="s">
        <v>1438</v>
      </c>
      <c r="AZZ1" s="9" t="s">
        <v>1439</v>
      </c>
      <c r="BAA1" s="9" t="s">
        <v>1440</v>
      </c>
      <c r="BAB1" s="9" t="s">
        <v>1441</v>
      </c>
      <c r="BAC1" s="9" t="s">
        <v>1442</v>
      </c>
      <c r="BAD1" s="9" t="s">
        <v>1443</v>
      </c>
      <c r="BAE1" s="9" t="s">
        <v>1444</v>
      </c>
      <c r="BAF1" s="9" t="s">
        <v>1445</v>
      </c>
      <c r="BAG1" s="9" t="s">
        <v>1446</v>
      </c>
      <c r="BAH1" s="9" t="s">
        <v>1447</v>
      </c>
      <c r="BAI1" s="9" t="s">
        <v>1448</v>
      </c>
      <c r="BAJ1" s="9" t="s">
        <v>1449</v>
      </c>
      <c r="BAK1" s="9" t="s">
        <v>1450</v>
      </c>
      <c r="BAL1" s="9" t="s">
        <v>1451</v>
      </c>
      <c r="BAM1" s="9" t="s">
        <v>1452</v>
      </c>
      <c r="BAN1" s="9" t="s">
        <v>1453</v>
      </c>
      <c r="BAO1" s="9" t="s">
        <v>1454</v>
      </c>
      <c r="BAP1" s="9" t="s">
        <v>1455</v>
      </c>
      <c r="BAQ1" s="9" t="s">
        <v>1456</v>
      </c>
      <c r="BAR1" s="9" t="s">
        <v>1457</v>
      </c>
      <c r="BAS1" s="9" t="s">
        <v>1458</v>
      </c>
      <c r="BAT1" s="9" t="s">
        <v>1459</v>
      </c>
      <c r="BAU1" s="9" t="s">
        <v>1460</v>
      </c>
      <c r="BAV1" s="9" t="s">
        <v>1461</v>
      </c>
      <c r="BAW1" s="9" t="s">
        <v>1462</v>
      </c>
      <c r="BAX1" s="9" t="s">
        <v>1463</v>
      </c>
      <c r="BAY1" s="9" t="s">
        <v>1464</v>
      </c>
      <c r="BAZ1" s="9" t="s">
        <v>1465</v>
      </c>
      <c r="BBA1" s="9" t="s">
        <v>1466</v>
      </c>
      <c r="BBB1" s="9" t="s">
        <v>1467</v>
      </c>
      <c r="BBC1" s="9" t="s">
        <v>1468</v>
      </c>
      <c r="BBD1" s="9" t="s">
        <v>1469</v>
      </c>
      <c r="BBE1" s="9" t="s">
        <v>1470</v>
      </c>
      <c r="BBF1" s="9" t="s">
        <v>1471</v>
      </c>
      <c r="BBG1" s="9" t="s">
        <v>1472</v>
      </c>
      <c r="BBH1" s="9" t="s">
        <v>1473</v>
      </c>
      <c r="BBI1" s="9" t="s">
        <v>1474</v>
      </c>
      <c r="BBJ1" s="9" t="s">
        <v>1475</v>
      </c>
      <c r="BBK1" s="9" t="s">
        <v>1476</v>
      </c>
      <c r="BBL1" s="9" t="s">
        <v>1477</v>
      </c>
      <c r="BBM1" s="9" t="s">
        <v>1478</v>
      </c>
      <c r="BBN1" s="9" t="s">
        <v>1479</v>
      </c>
      <c r="BBO1" s="9" t="s">
        <v>1480</v>
      </c>
      <c r="BBP1" s="9" t="s">
        <v>1481</v>
      </c>
      <c r="BBQ1" s="9" t="s">
        <v>1482</v>
      </c>
      <c r="BBR1" s="9" t="s">
        <v>1483</v>
      </c>
      <c r="BBS1" s="9" t="s">
        <v>1484</v>
      </c>
      <c r="BBT1" s="9" t="s">
        <v>1485</v>
      </c>
      <c r="BBU1" s="9" t="s">
        <v>1486</v>
      </c>
      <c r="BBV1" s="9" t="s">
        <v>1487</v>
      </c>
      <c r="BBW1" s="9" t="s">
        <v>1488</v>
      </c>
      <c r="BBX1" s="9" t="s">
        <v>1489</v>
      </c>
      <c r="BBY1" s="9" t="s">
        <v>1490</v>
      </c>
      <c r="BBZ1" s="9" t="s">
        <v>1491</v>
      </c>
      <c r="BCA1" s="9" t="s">
        <v>1492</v>
      </c>
      <c r="BCB1" s="9" t="s">
        <v>1493</v>
      </c>
      <c r="BCC1" s="9" t="s">
        <v>1494</v>
      </c>
      <c r="BCD1" s="9" t="s">
        <v>1495</v>
      </c>
      <c r="BCE1" s="9" t="s">
        <v>1496</v>
      </c>
      <c r="BCF1" s="9" t="s">
        <v>1497</v>
      </c>
      <c r="BCG1" s="9" t="s">
        <v>1498</v>
      </c>
      <c r="BCH1" s="9" t="s">
        <v>1499</v>
      </c>
      <c r="BCI1" s="9" t="s">
        <v>1500</v>
      </c>
      <c r="BCJ1" s="9" t="s">
        <v>1501</v>
      </c>
      <c r="BCK1" s="9" t="s">
        <v>1502</v>
      </c>
      <c r="BCL1" s="9" t="s">
        <v>1503</v>
      </c>
      <c r="BCM1" s="9" t="s">
        <v>1504</v>
      </c>
      <c r="BCN1" s="9" t="s">
        <v>1505</v>
      </c>
      <c r="BCO1" s="9" t="s">
        <v>1506</v>
      </c>
      <c r="BCP1" s="9" t="s">
        <v>1507</v>
      </c>
      <c r="BCQ1" s="9" t="s">
        <v>1508</v>
      </c>
      <c r="BCR1" s="9" t="s">
        <v>1509</v>
      </c>
      <c r="BCS1" s="9" t="s">
        <v>1510</v>
      </c>
      <c r="BCT1" s="9" t="s">
        <v>1511</v>
      </c>
      <c r="BCU1" s="9" t="s">
        <v>1512</v>
      </c>
      <c r="BCV1" s="9" t="s">
        <v>1513</v>
      </c>
      <c r="BCW1" s="9" t="s">
        <v>1514</v>
      </c>
      <c r="BCX1" s="9" t="s">
        <v>1515</v>
      </c>
      <c r="BCY1" s="9" t="s">
        <v>1516</v>
      </c>
      <c r="BCZ1" s="9" t="s">
        <v>1517</v>
      </c>
      <c r="BDA1" s="9" t="s">
        <v>1518</v>
      </c>
      <c r="BDB1" s="9" t="s">
        <v>1519</v>
      </c>
      <c r="BDC1" s="9" t="s">
        <v>1520</v>
      </c>
      <c r="BDD1" s="9" t="s">
        <v>1521</v>
      </c>
      <c r="BDE1" s="9" t="s">
        <v>1522</v>
      </c>
      <c r="BDF1" s="9" t="s">
        <v>1523</v>
      </c>
      <c r="BDG1" s="9" t="s">
        <v>1524</v>
      </c>
      <c r="BDH1" s="9" t="s">
        <v>1525</v>
      </c>
      <c r="BDI1" s="9" t="s">
        <v>1526</v>
      </c>
      <c r="BDJ1" s="9" t="s">
        <v>1527</v>
      </c>
      <c r="BDK1" s="9" t="s">
        <v>1528</v>
      </c>
      <c r="BDL1" s="9" t="s">
        <v>1529</v>
      </c>
      <c r="BDM1" s="9" t="s">
        <v>1530</v>
      </c>
      <c r="BDN1" s="9" t="s">
        <v>1531</v>
      </c>
      <c r="BDO1" s="9" t="s">
        <v>1532</v>
      </c>
      <c r="BDP1" s="9" t="s">
        <v>1533</v>
      </c>
      <c r="BDQ1" s="9" t="s">
        <v>1534</v>
      </c>
      <c r="BDR1" s="9" t="s">
        <v>1535</v>
      </c>
      <c r="BDS1" s="9" t="s">
        <v>1536</v>
      </c>
      <c r="BDT1" s="9" t="s">
        <v>1537</v>
      </c>
      <c r="BDU1" s="9" t="s">
        <v>1538</v>
      </c>
      <c r="BDV1" s="9" t="s">
        <v>1539</v>
      </c>
      <c r="BDW1" s="9" t="s">
        <v>1540</v>
      </c>
      <c r="BDX1" s="9" t="s">
        <v>1541</v>
      </c>
      <c r="BDY1" s="9" t="s">
        <v>1542</v>
      </c>
      <c r="BDZ1" s="9" t="s">
        <v>1543</v>
      </c>
      <c r="BEA1" s="9" t="s">
        <v>1544</v>
      </c>
      <c r="BEB1" s="9" t="s">
        <v>1545</v>
      </c>
      <c r="BEC1" s="9" t="s">
        <v>1546</v>
      </c>
      <c r="BED1" s="9" t="s">
        <v>1547</v>
      </c>
      <c r="BEE1" s="9" t="s">
        <v>1548</v>
      </c>
      <c r="BEF1" s="9" t="s">
        <v>1549</v>
      </c>
      <c r="BEG1" s="9" t="s">
        <v>1550</v>
      </c>
      <c r="BEH1" s="9" t="s">
        <v>1551</v>
      </c>
      <c r="BEI1" s="9" t="s">
        <v>1552</v>
      </c>
      <c r="BEJ1" s="9" t="s">
        <v>1553</v>
      </c>
      <c r="BEK1" s="9" t="s">
        <v>1554</v>
      </c>
      <c r="BEL1" s="9" t="s">
        <v>1555</v>
      </c>
      <c r="BEM1" s="9" t="s">
        <v>1556</v>
      </c>
      <c r="BEN1" s="9" t="s">
        <v>1557</v>
      </c>
      <c r="BEO1" s="9" t="s">
        <v>1558</v>
      </c>
      <c r="BEP1" s="9" t="s">
        <v>1559</v>
      </c>
      <c r="BEQ1" s="9" t="s">
        <v>1560</v>
      </c>
      <c r="BER1" s="9" t="s">
        <v>1561</v>
      </c>
      <c r="BES1" s="9" t="s">
        <v>1562</v>
      </c>
      <c r="BET1" s="9" t="s">
        <v>1563</v>
      </c>
      <c r="BEU1" s="9" t="s">
        <v>1564</v>
      </c>
      <c r="BEV1" s="9" t="s">
        <v>1565</v>
      </c>
      <c r="BEW1" s="9" t="s">
        <v>1566</v>
      </c>
      <c r="BEX1" s="9" t="s">
        <v>1567</v>
      </c>
      <c r="BEY1" s="9" t="s">
        <v>1568</v>
      </c>
      <c r="BEZ1" s="9" t="s">
        <v>1569</v>
      </c>
      <c r="BFA1" s="9" t="s">
        <v>1570</v>
      </c>
      <c r="BFB1" s="9" t="s">
        <v>1571</v>
      </c>
      <c r="BFC1" s="9" t="s">
        <v>1572</v>
      </c>
      <c r="BFD1" s="9" t="s">
        <v>1573</v>
      </c>
      <c r="BFE1" s="9" t="s">
        <v>1574</v>
      </c>
      <c r="BFF1" s="9" t="s">
        <v>1575</v>
      </c>
      <c r="BFG1" s="9" t="s">
        <v>1576</v>
      </c>
      <c r="BFH1" s="9" t="s">
        <v>1577</v>
      </c>
      <c r="BFI1" s="9" t="s">
        <v>1578</v>
      </c>
      <c r="BFJ1" s="9" t="s">
        <v>1579</v>
      </c>
      <c r="BFK1" s="9" t="s">
        <v>1580</v>
      </c>
      <c r="BFL1" s="9" t="s">
        <v>1581</v>
      </c>
      <c r="BFM1" s="9" t="s">
        <v>1582</v>
      </c>
      <c r="BFN1" s="9" t="s">
        <v>1583</v>
      </c>
      <c r="BFO1" s="9" t="s">
        <v>1584</v>
      </c>
      <c r="BFP1" s="9" t="s">
        <v>1585</v>
      </c>
      <c r="BFQ1" s="9" t="s">
        <v>1586</v>
      </c>
      <c r="BFR1" s="9" t="s">
        <v>1587</v>
      </c>
      <c r="BFS1" s="9" t="s">
        <v>1588</v>
      </c>
      <c r="BFT1" s="9" t="s">
        <v>1589</v>
      </c>
      <c r="BFU1" s="9" t="s">
        <v>1590</v>
      </c>
      <c r="BFV1" s="9" t="s">
        <v>1591</v>
      </c>
      <c r="BFW1" s="9" t="s">
        <v>1592</v>
      </c>
      <c r="BFX1" s="9" t="s">
        <v>1593</v>
      </c>
      <c r="BFY1" s="9" t="s">
        <v>1594</v>
      </c>
      <c r="BFZ1" s="9" t="s">
        <v>1595</v>
      </c>
      <c r="BGA1" s="9" t="s">
        <v>1596</v>
      </c>
      <c r="BGB1" s="9" t="s">
        <v>1597</v>
      </c>
      <c r="BGC1" s="9" t="s">
        <v>1598</v>
      </c>
      <c r="BGD1" s="9" t="s">
        <v>1599</v>
      </c>
      <c r="BGE1" s="9" t="s">
        <v>1600</v>
      </c>
      <c r="BGF1" s="9" t="s">
        <v>1601</v>
      </c>
      <c r="BGG1" s="9" t="s">
        <v>1602</v>
      </c>
      <c r="BGH1" s="9" t="s">
        <v>1603</v>
      </c>
      <c r="BGI1" s="9" t="s">
        <v>1604</v>
      </c>
      <c r="BGJ1" s="9" t="s">
        <v>1605</v>
      </c>
      <c r="BGK1" s="9" t="s">
        <v>1606</v>
      </c>
      <c r="BGL1" s="9" t="s">
        <v>1607</v>
      </c>
      <c r="BGM1" s="9" t="s">
        <v>1608</v>
      </c>
      <c r="BGN1" s="9" t="s">
        <v>1609</v>
      </c>
      <c r="BGO1" s="9" t="s">
        <v>1610</v>
      </c>
      <c r="BGP1" s="9" t="s">
        <v>1611</v>
      </c>
      <c r="BGQ1" s="9" t="s">
        <v>1612</v>
      </c>
      <c r="BGR1" s="9" t="s">
        <v>1613</v>
      </c>
      <c r="BGS1" s="9" t="s">
        <v>1614</v>
      </c>
      <c r="BGT1" s="9" t="s">
        <v>1615</v>
      </c>
      <c r="BGU1" s="9" t="s">
        <v>1616</v>
      </c>
      <c r="BGV1" s="9" t="s">
        <v>1617</v>
      </c>
      <c r="BGW1" s="9" t="s">
        <v>1618</v>
      </c>
      <c r="BGX1" s="9" t="s">
        <v>1619</v>
      </c>
      <c r="BGY1" s="9" t="s">
        <v>1620</v>
      </c>
      <c r="BGZ1" s="9" t="s">
        <v>1621</v>
      </c>
      <c r="BHA1" s="9" t="s">
        <v>1622</v>
      </c>
      <c r="BHB1" s="9" t="s">
        <v>1623</v>
      </c>
      <c r="BHC1" s="9" t="s">
        <v>1624</v>
      </c>
      <c r="BHD1" s="9" t="s">
        <v>1625</v>
      </c>
      <c r="BHE1" s="9" t="s">
        <v>1626</v>
      </c>
      <c r="BHF1" s="9" t="s">
        <v>1627</v>
      </c>
      <c r="BHG1" s="9" t="s">
        <v>1628</v>
      </c>
      <c r="BHH1" s="9" t="s">
        <v>1629</v>
      </c>
      <c r="BHI1" s="9" t="s">
        <v>1630</v>
      </c>
      <c r="BHJ1" s="9" t="s">
        <v>1631</v>
      </c>
      <c r="BHK1" s="9" t="s">
        <v>1632</v>
      </c>
      <c r="BHL1" s="9" t="s">
        <v>1633</v>
      </c>
      <c r="BHM1" s="9" t="s">
        <v>1634</v>
      </c>
      <c r="BHN1" s="9" t="s">
        <v>1635</v>
      </c>
      <c r="BHO1" s="9" t="s">
        <v>1636</v>
      </c>
      <c r="BHP1" s="9" t="s">
        <v>1637</v>
      </c>
      <c r="BHQ1" s="9" t="s">
        <v>1638</v>
      </c>
      <c r="BHR1" s="9" t="s">
        <v>1639</v>
      </c>
      <c r="BHS1" s="9" t="s">
        <v>1640</v>
      </c>
      <c r="BHT1" s="9" t="s">
        <v>1641</v>
      </c>
      <c r="BHU1" s="9" t="s">
        <v>1642</v>
      </c>
      <c r="BHV1" s="9" t="s">
        <v>1643</v>
      </c>
      <c r="BHW1" s="9" t="s">
        <v>1644</v>
      </c>
      <c r="BHX1" s="9" t="s">
        <v>1645</v>
      </c>
      <c r="BHY1" s="9" t="s">
        <v>1646</v>
      </c>
      <c r="BHZ1" s="9" t="s">
        <v>1647</v>
      </c>
      <c r="BIA1" s="9" t="s">
        <v>1648</v>
      </c>
      <c r="BIB1" s="9" t="s">
        <v>1649</v>
      </c>
      <c r="BIC1" s="9" t="s">
        <v>1650</v>
      </c>
      <c r="BID1" s="9" t="s">
        <v>1651</v>
      </c>
      <c r="BIE1" s="9" t="s">
        <v>1652</v>
      </c>
      <c r="BIF1" s="9" t="s">
        <v>1653</v>
      </c>
      <c r="BIG1" s="9" t="s">
        <v>1654</v>
      </c>
      <c r="BIH1" s="9" t="s">
        <v>1655</v>
      </c>
      <c r="BII1" s="9" t="s">
        <v>1656</v>
      </c>
      <c r="BIJ1" s="9" t="s">
        <v>1657</v>
      </c>
      <c r="BIK1" s="9" t="s">
        <v>1658</v>
      </c>
      <c r="BIL1" s="9" t="s">
        <v>1659</v>
      </c>
      <c r="BIM1" s="9" t="s">
        <v>1660</v>
      </c>
      <c r="BIN1" s="9" t="s">
        <v>1661</v>
      </c>
      <c r="BIO1" s="9" t="s">
        <v>1662</v>
      </c>
      <c r="BIP1" s="9" t="s">
        <v>1663</v>
      </c>
      <c r="BIQ1" s="9" t="s">
        <v>1664</v>
      </c>
      <c r="BIR1" s="9" t="s">
        <v>1665</v>
      </c>
      <c r="BIS1" s="9" t="s">
        <v>1666</v>
      </c>
      <c r="BIT1" s="9" t="s">
        <v>1667</v>
      </c>
      <c r="BIU1" s="9" t="s">
        <v>1668</v>
      </c>
      <c r="BIV1" s="9" t="s">
        <v>1669</v>
      </c>
      <c r="BIW1" s="9" t="s">
        <v>1670</v>
      </c>
      <c r="BIX1" s="9" t="s">
        <v>1671</v>
      </c>
      <c r="BIY1" s="9" t="s">
        <v>1672</v>
      </c>
      <c r="BIZ1" s="9" t="s">
        <v>1673</v>
      </c>
      <c r="BJA1" s="9" t="s">
        <v>1674</v>
      </c>
      <c r="BJB1" s="9" t="s">
        <v>1675</v>
      </c>
      <c r="BJC1" s="9" t="s">
        <v>1676</v>
      </c>
      <c r="BJD1" s="9" t="s">
        <v>1677</v>
      </c>
      <c r="BJE1" s="9" t="s">
        <v>1678</v>
      </c>
      <c r="BJF1" s="9" t="s">
        <v>1679</v>
      </c>
      <c r="BJG1" s="9" t="s">
        <v>1680</v>
      </c>
      <c r="BJH1" s="9" t="s">
        <v>1681</v>
      </c>
      <c r="BJI1" s="9" t="s">
        <v>1682</v>
      </c>
      <c r="BJJ1" s="9" t="s">
        <v>1683</v>
      </c>
      <c r="BJK1" s="9" t="s">
        <v>1684</v>
      </c>
      <c r="BJL1" s="9" t="s">
        <v>1685</v>
      </c>
      <c r="BJM1" s="9" t="s">
        <v>1686</v>
      </c>
      <c r="BJN1" s="9" t="s">
        <v>1687</v>
      </c>
      <c r="BJO1" s="9" t="s">
        <v>1688</v>
      </c>
      <c r="BJP1" s="9" t="s">
        <v>1689</v>
      </c>
      <c r="BJQ1" s="9" t="s">
        <v>1690</v>
      </c>
      <c r="BJR1" s="9" t="s">
        <v>1691</v>
      </c>
      <c r="BJS1" s="9" t="s">
        <v>1692</v>
      </c>
      <c r="BJT1" s="9" t="s">
        <v>1693</v>
      </c>
      <c r="BJU1" s="9" t="s">
        <v>1694</v>
      </c>
      <c r="BJV1" s="9" t="s">
        <v>1695</v>
      </c>
      <c r="BJW1" s="9" t="s">
        <v>1696</v>
      </c>
      <c r="BJX1" s="9" t="s">
        <v>1697</v>
      </c>
      <c r="BJY1" s="9" t="s">
        <v>1698</v>
      </c>
      <c r="BJZ1" s="9" t="s">
        <v>1699</v>
      </c>
      <c r="BKA1" s="9" t="s">
        <v>1700</v>
      </c>
      <c r="BKB1" s="9" t="s">
        <v>1701</v>
      </c>
      <c r="BKC1" s="9" t="s">
        <v>1702</v>
      </c>
      <c r="BKD1" s="9" t="s">
        <v>1703</v>
      </c>
      <c r="BKE1" s="9" t="s">
        <v>1704</v>
      </c>
      <c r="BKF1" s="9" t="s">
        <v>1705</v>
      </c>
      <c r="BKG1" s="9" t="s">
        <v>1706</v>
      </c>
      <c r="BKH1" s="9" t="s">
        <v>1707</v>
      </c>
      <c r="BKI1" s="9" t="s">
        <v>1708</v>
      </c>
      <c r="BKJ1" s="9" t="s">
        <v>1709</v>
      </c>
      <c r="BKK1" s="9" t="s">
        <v>1710</v>
      </c>
      <c r="BKL1" s="9" t="s">
        <v>1711</v>
      </c>
      <c r="BKM1" s="9" t="s">
        <v>1712</v>
      </c>
      <c r="BKN1" s="9" t="s">
        <v>1713</v>
      </c>
      <c r="BKO1" s="9" t="s">
        <v>1714</v>
      </c>
      <c r="BKP1" s="9" t="s">
        <v>1715</v>
      </c>
      <c r="BKQ1" s="9" t="s">
        <v>1716</v>
      </c>
      <c r="BKR1" s="9" t="s">
        <v>1717</v>
      </c>
      <c r="BKS1" s="9" t="s">
        <v>1718</v>
      </c>
      <c r="BKT1" s="9" t="s">
        <v>1719</v>
      </c>
      <c r="BKU1" s="9" t="s">
        <v>1720</v>
      </c>
      <c r="BKV1" s="9" t="s">
        <v>1721</v>
      </c>
      <c r="BKW1" s="9" t="s">
        <v>1722</v>
      </c>
      <c r="BKX1" s="9" t="s">
        <v>1723</v>
      </c>
      <c r="BKY1" s="9" t="s">
        <v>1724</v>
      </c>
      <c r="BKZ1" s="9" t="s">
        <v>1725</v>
      </c>
      <c r="BLA1" s="9" t="s">
        <v>1726</v>
      </c>
      <c r="BLB1" s="9" t="s">
        <v>1727</v>
      </c>
      <c r="BLC1" s="9" t="s">
        <v>1728</v>
      </c>
      <c r="BLD1" s="9" t="s">
        <v>1729</v>
      </c>
      <c r="BLE1" s="9" t="s">
        <v>1730</v>
      </c>
      <c r="BLF1" s="9" t="s">
        <v>1731</v>
      </c>
      <c r="BLG1" s="9" t="s">
        <v>1732</v>
      </c>
      <c r="BLH1" s="9" t="s">
        <v>1733</v>
      </c>
      <c r="BLI1" s="9" t="s">
        <v>1734</v>
      </c>
      <c r="BLJ1" s="9" t="s">
        <v>1735</v>
      </c>
      <c r="BLK1" s="9" t="s">
        <v>1736</v>
      </c>
      <c r="BLL1" s="9" t="s">
        <v>1737</v>
      </c>
      <c r="BLM1" s="9" t="s">
        <v>1738</v>
      </c>
      <c r="BLN1" s="9" t="s">
        <v>1739</v>
      </c>
      <c r="BLO1" s="9" t="s">
        <v>1740</v>
      </c>
      <c r="BLP1" s="9" t="s">
        <v>1741</v>
      </c>
      <c r="BLQ1" s="9" t="s">
        <v>1742</v>
      </c>
      <c r="BLR1" s="9" t="s">
        <v>1743</v>
      </c>
      <c r="BLS1" s="9" t="s">
        <v>1744</v>
      </c>
      <c r="BLT1" s="9" t="s">
        <v>1745</v>
      </c>
      <c r="BLU1" s="9" t="s">
        <v>1746</v>
      </c>
      <c r="BLV1" s="9" t="s">
        <v>1747</v>
      </c>
      <c r="BLW1" s="9" t="s">
        <v>1748</v>
      </c>
      <c r="BLX1" s="9" t="s">
        <v>1749</v>
      </c>
      <c r="BLY1" s="9" t="s">
        <v>1750</v>
      </c>
      <c r="BLZ1" s="9" t="s">
        <v>1751</v>
      </c>
      <c r="BMA1" s="9" t="s">
        <v>1752</v>
      </c>
      <c r="BMB1" s="9" t="s">
        <v>1753</v>
      </c>
      <c r="BMC1" s="9" t="s">
        <v>1754</v>
      </c>
      <c r="BMD1" s="9" t="s">
        <v>1755</v>
      </c>
      <c r="BME1" s="9" t="s">
        <v>1756</v>
      </c>
      <c r="BMF1" s="9" t="s">
        <v>1757</v>
      </c>
      <c r="BMG1" s="9" t="s">
        <v>1758</v>
      </c>
      <c r="BMH1" s="9" t="s">
        <v>1759</v>
      </c>
      <c r="BMI1" s="9" t="s">
        <v>1760</v>
      </c>
      <c r="BMJ1" s="9" t="s">
        <v>1761</v>
      </c>
      <c r="BMK1" s="9" t="s">
        <v>1762</v>
      </c>
      <c r="BML1" s="9" t="s">
        <v>1763</v>
      </c>
      <c r="BMM1" s="9" t="s">
        <v>1764</v>
      </c>
      <c r="BMN1" s="9" t="s">
        <v>1765</v>
      </c>
      <c r="BMO1" s="9" t="s">
        <v>1766</v>
      </c>
      <c r="BMP1" s="9" t="s">
        <v>1767</v>
      </c>
      <c r="BMQ1" s="9" t="s">
        <v>1768</v>
      </c>
      <c r="BMR1" s="9" t="s">
        <v>1769</v>
      </c>
      <c r="BMS1" s="9" t="s">
        <v>1770</v>
      </c>
      <c r="BMT1" s="9" t="s">
        <v>1771</v>
      </c>
      <c r="BMU1" s="9" t="s">
        <v>1772</v>
      </c>
      <c r="BMV1" s="9" t="s">
        <v>1773</v>
      </c>
      <c r="BMW1" s="9" t="s">
        <v>1774</v>
      </c>
      <c r="BMX1" s="9" t="s">
        <v>1775</v>
      </c>
      <c r="BMY1" s="9" t="s">
        <v>1776</v>
      </c>
      <c r="BMZ1" s="9" t="s">
        <v>1777</v>
      </c>
      <c r="BNA1" s="9" t="s">
        <v>1778</v>
      </c>
      <c r="BNB1" s="9" t="s">
        <v>1779</v>
      </c>
      <c r="BNC1" s="9" t="s">
        <v>1780</v>
      </c>
      <c r="BND1" s="9" t="s">
        <v>1781</v>
      </c>
      <c r="BNE1" s="9" t="s">
        <v>1782</v>
      </c>
      <c r="BNF1" s="9" t="s">
        <v>1783</v>
      </c>
      <c r="BNG1" s="9" t="s">
        <v>1784</v>
      </c>
      <c r="BNH1" s="9" t="s">
        <v>1785</v>
      </c>
      <c r="BNI1" s="9" t="s">
        <v>1786</v>
      </c>
      <c r="BNJ1" s="9" t="s">
        <v>1787</v>
      </c>
      <c r="BNK1" s="9" t="s">
        <v>1788</v>
      </c>
      <c r="BNL1" s="9" t="s">
        <v>1789</v>
      </c>
      <c r="BNM1" s="9" t="s">
        <v>1790</v>
      </c>
      <c r="BNN1" s="9" t="s">
        <v>1791</v>
      </c>
      <c r="BNO1" s="9" t="s">
        <v>1792</v>
      </c>
      <c r="BNP1" s="9" t="s">
        <v>1793</v>
      </c>
      <c r="BNQ1" s="9" t="s">
        <v>1794</v>
      </c>
      <c r="BNR1" s="9" t="s">
        <v>1795</v>
      </c>
      <c r="BNS1" s="9" t="s">
        <v>1796</v>
      </c>
      <c r="BNT1" s="9" t="s">
        <v>1797</v>
      </c>
      <c r="BNU1" s="9" t="s">
        <v>1798</v>
      </c>
      <c r="BNV1" s="9" t="s">
        <v>1799</v>
      </c>
      <c r="BNW1" s="9" t="s">
        <v>1800</v>
      </c>
      <c r="BNX1" s="9" t="s">
        <v>1801</v>
      </c>
      <c r="BNY1" s="9" t="s">
        <v>1802</v>
      </c>
      <c r="BNZ1" s="9" t="s">
        <v>1803</v>
      </c>
      <c r="BOA1" s="9" t="s">
        <v>1804</v>
      </c>
      <c r="BOB1" s="9" t="s">
        <v>1805</v>
      </c>
      <c r="BOC1" s="9" t="s">
        <v>1806</v>
      </c>
      <c r="BOD1" s="9" t="s">
        <v>1807</v>
      </c>
      <c r="BOE1" s="9" t="s">
        <v>1808</v>
      </c>
      <c r="BOF1" s="9" t="s">
        <v>1809</v>
      </c>
      <c r="BOG1" s="9" t="s">
        <v>1810</v>
      </c>
      <c r="BOH1" s="9" t="s">
        <v>1811</v>
      </c>
      <c r="BOI1" s="9" t="s">
        <v>1812</v>
      </c>
      <c r="BOJ1" s="9" t="s">
        <v>1813</v>
      </c>
      <c r="BOK1" s="9" t="s">
        <v>1814</v>
      </c>
      <c r="BOL1" s="9" t="s">
        <v>1815</v>
      </c>
      <c r="BOM1" s="9" t="s">
        <v>1816</v>
      </c>
      <c r="BON1" s="9" t="s">
        <v>1817</v>
      </c>
      <c r="BOO1" s="9" t="s">
        <v>1818</v>
      </c>
      <c r="BOP1" s="9" t="s">
        <v>1819</v>
      </c>
      <c r="BOQ1" s="9" t="s">
        <v>1820</v>
      </c>
      <c r="BOR1" s="9" t="s">
        <v>1821</v>
      </c>
      <c r="BOS1" s="9" t="s">
        <v>1822</v>
      </c>
      <c r="BOT1" s="9" t="s">
        <v>1823</v>
      </c>
      <c r="BOU1" s="9" t="s">
        <v>1824</v>
      </c>
      <c r="BOV1" s="9" t="s">
        <v>1825</v>
      </c>
      <c r="BOW1" s="9" t="s">
        <v>1826</v>
      </c>
      <c r="BOX1" s="9" t="s">
        <v>1827</v>
      </c>
      <c r="BOY1" s="9" t="s">
        <v>1828</v>
      </c>
      <c r="BOZ1" s="9" t="s">
        <v>1829</v>
      </c>
      <c r="BPA1" s="9" t="s">
        <v>1830</v>
      </c>
      <c r="BPB1" s="9" t="s">
        <v>1831</v>
      </c>
      <c r="BPC1" s="9" t="s">
        <v>1832</v>
      </c>
      <c r="BPD1" s="9" t="s">
        <v>1833</v>
      </c>
      <c r="BPE1" s="9" t="s">
        <v>1834</v>
      </c>
      <c r="BPF1" s="9" t="s">
        <v>1835</v>
      </c>
      <c r="BPG1" s="9" t="s">
        <v>1836</v>
      </c>
      <c r="BPH1" s="9" t="s">
        <v>1837</v>
      </c>
      <c r="BPI1" s="9" t="s">
        <v>1838</v>
      </c>
      <c r="BPJ1" s="9" t="s">
        <v>1839</v>
      </c>
      <c r="BPK1" s="9" t="s">
        <v>1840</v>
      </c>
      <c r="BPL1" s="9" t="s">
        <v>1841</v>
      </c>
      <c r="BPM1" s="9" t="s">
        <v>1842</v>
      </c>
      <c r="BPN1" s="9" t="s">
        <v>1843</v>
      </c>
      <c r="BPO1" s="9" t="s">
        <v>1844</v>
      </c>
      <c r="BPP1" s="9" t="s">
        <v>1845</v>
      </c>
      <c r="BPQ1" s="9" t="s">
        <v>1846</v>
      </c>
      <c r="BPR1" s="9" t="s">
        <v>1847</v>
      </c>
      <c r="BPS1" s="9" t="s">
        <v>1848</v>
      </c>
      <c r="BPT1" s="9" t="s">
        <v>1849</v>
      </c>
      <c r="BPU1" s="9" t="s">
        <v>1850</v>
      </c>
      <c r="BPV1" s="9" t="s">
        <v>1851</v>
      </c>
      <c r="BPW1" s="9" t="s">
        <v>1852</v>
      </c>
      <c r="BPX1" s="9" t="s">
        <v>1853</v>
      </c>
      <c r="BPY1" s="9" t="s">
        <v>1854</v>
      </c>
      <c r="BPZ1" s="9" t="s">
        <v>1855</v>
      </c>
      <c r="BQA1" s="9" t="s">
        <v>1856</v>
      </c>
      <c r="BQB1" s="9" t="s">
        <v>1857</v>
      </c>
      <c r="BQC1" s="9" t="s">
        <v>1858</v>
      </c>
      <c r="BQD1" s="9" t="s">
        <v>1859</v>
      </c>
      <c r="BQE1" s="9" t="s">
        <v>1860</v>
      </c>
      <c r="BQF1" s="9" t="s">
        <v>1861</v>
      </c>
      <c r="BQG1" s="9" t="s">
        <v>1862</v>
      </c>
      <c r="BQH1" s="9" t="s">
        <v>1863</v>
      </c>
      <c r="BQI1" s="9" t="s">
        <v>1864</v>
      </c>
      <c r="BQJ1" s="9" t="s">
        <v>1865</v>
      </c>
      <c r="BQK1" s="9" t="s">
        <v>1866</v>
      </c>
      <c r="BQL1" s="9" t="s">
        <v>1867</v>
      </c>
      <c r="BQM1" s="9" t="s">
        <v>1868</v>
      </c>
      <c r="BQN1" s="9" t="s">
        <v>1869</v>
      </c>
      <c r="BQO1" s="9" t="s">
        <v>1870</v>
      </c>
      <c r="BQP1" s="9" t="s">
        <v>1871</v>
      </c>
      <c r="BQQ1" s="9" t="s">
        <v>1872</v>
      </c>
      <c r="BQR1" s="9" t="s">
        <v>1873</v>
      </c>
      <c r="BQS1" s="9" t="s">
        <v>1874</v>
      </c>
      <c r="BQT1" s="9" t="s">
        <v>1875</v>
      </c>
      <c r="BQU1" s="9" t="s">
        <v>1876</v>
      </c>
      <c r="BQV1" s="9" t="s">
        <v>1877</v>
      </c>
      <c r="BQW1" s="9" t="s">
        <v>1878</v>
      </c>
      <c r="BQX1" s="9" t="s">
        <v>1879</v>
      </c>
      <c r="BQY1" s="9" t="s">
        <v>1880</v>
      </c>
      <c r="BQZ1" s="9" t="s">
        <v>1881</v>
      </c>
      <c r="BRA1" s="9" t="s">
        <v>1882</v>
      </c>
      <c r="BRB1" s="9" t="s">
        <v>1883</v>
      </c>
      <c r="BRC1" s="9" t="s">
        <v>1884</v>
      </c>
      <c r="BRD1" s="9" t="s">
        <v>1885</v>
      </c>
      <c r="BRE1" s="9" t="s">
        <v>1886</v>
      </c>
      <c r="BRF1" s="9" t="s">
        <v>1887</v>
      </c>
      <c r="BRG1" s="9" t="s">
        <v>1888</v>
      </c>
      <c r="BRH1" s="9" t="s">
        <v>1889</v>
      </c>
      <c r="BRI1" s="9" t="s">
        <v>1890</v>
      </c>
      <c r="BRJ1" s="9" t="s">
        <v>1891</v>
      </c>
      <c r="BRK1" s="9" t="s">
        <v>1892</v>
      </c>
      <c r="BRL1" s="9" t="s">
        <v>1893</v>
      </c>
      <c r="BRM1" s="9" t="s">
        <v>1894</v>
      </c>
      <c r="BRN1" s="9" t="s">
        <v>1895</v>
      </c>
      <c r="BRO1" s="9" t="s">
        <v>1896</v>
      </c>
      <c r="BRP1" s="9" t="s">
        <v>1897</v>
      </c>
      <c r="BRQ1" s="9" t="s">
        <v>1898</v>
      </c>
      <c r="BRR1" s="9" t="s">
        <v>1899</v>
      </c>
      <c r="BRS1" s="9" t="s">
        <v>1900</v>
      </c>
      <c r="BRT1" s="9" t="s">
        <v>1901</v>
      </c>
      <c r="BRU1" s="9" t="s">
        <v>1902</v>
      </c>
      <c r="BRV1" s="9" t="s">
        <v>1903</v>
      </c>
      <c r="BRW1" s="9" t="s">
        <v>1904</v>
      </c>
      <c r="BRX1" s="9" t="s">
        <v>1905</v>
      </c>
      <c r="BRY1" s="9" t="s">
        <v>1906</v>
      </c>
      <c r="BRZ1" s="9" t="s">
        <v>1907</v>
      </c>
      <c r="BSA1" s="9" t="s">
        <v>1908</v>
      </c>
      <c r="BSB1" s="9" t="s">
        <v>1909</v>
      </c>
      <c r="BSC1" s="9" t="s">
        <v>1910</v>
      </c>
      <c r="BSD1" s="9" t="s">
        <v>1911</v>
      </c>
      <c r="BSE1" s="9" t="s">
        <v>1912</v>
      </c>
      <c r="BSF1" s="9" t="s">
        <v>1913</v>
      </c>
      <c r="BSG1" s="9" t="s">
        <v>1914</v>
      </c>
      <c r="BSH1" s="9" t="s">
        <v>1915</v>
      </c>
      <c r="BSI1" s="9" t="s">
        <v>1916</v>
      </c>
      <c r="BSJ1" s="9" t="s">
        <v>1917</v>
      </c>
      <c r="BSK1" s="9" t="s">
        <v>1918</v>
      </c>
      <c r="BSL1" s="9" t="s">
        <v>1919</v>
      </c>
      <c r="BSM1" s="9" t="s">
        <v>1920</v>
      </c>
      <c r="BSN1" s="9" t="s">
        <v>1921</v>
      </c>
      <c r="BSO1" s="9" t="s">
        <v>1922</v>
      </c>
      <c r="BSP1" s="9" t="s">
        <v>1923</v>
      </c>
      <c r="BSQ1" s="9" t="s">
        <v>1924</v>
      </c>
      <c r="BSR1" s="9" t="s">
        <v>1925</v>
      </c>
      <c r="BSS1" s="9" t="s">
        <v>1926</v>
      </c>
      <c r="BST1" s="9" t="s">
        <v>1927</v>
      </c>
      <c r="BSU1" s="9" t="s">
        <v>1928</v>
      </c>
      <c r="BSV1" s="9" t="s">
        <v>1929</v>
      </c>
      <c r="BSW1" s="9" t="s">
        <v>1930</v>
      </c>
      <c r="BSX1" s="9" t="s">
        <v>1931</v>
      </c>
      <c r="BSY1" s="9" t="s">
        <v>1932</v>
      </c>
      <c r="BSZ1" s="9" t="s">
        <v>1933</v>
      </c>
      <c r="BTA1" s="9" t="s">
        <v>1934</v>
      </c>
      <c r="BTB1" s="9" t="s">
        <v>1935</v>
      </c>
      <c r="BTC1" s="9" t="s">
        <v>1936</v>
      </c>
      <c r="BTD1" s="9" t="s">
        <v>1937</v>
      </c>
      <c r="BTE1" s="9" t="s">
        <v>1938</v>
      </c>
      <c r="BTF1" s="9" t="s">
        <v>1939</v>
      </c>
      <c r="BTG1" s="9" t="s">
        <v>1940</v>
      </c>
      <c r="BTH1" s="9" t="s">
        <v>1941</v>
      </c>
      <c r="BTI1" s="9" t="s">
        <v>1942</v>
      </c>
      <c r="BTJ1" s="9" t="s">
        <v>1943</v>
      </c>
      <c r="BTK1" s="9" t="s">
        <v>1944</v>
      </c>
      <c r="BTL1" s="9" t="s">
        <v>1945</v>
      </c>
      <c r="BTM1" s="9" t="s">
        <v>1946</v>
      </c>
      <c r="BTN1" s="9" t="s">
        <v>1947</v>
      </c>
      <c r="BTO1" s="9" t="s">
        <v>1948</v>
      </c>
      <c r="BTP1" s="9" t="s">
        <v>1949</v>
      </c>
      <c r="BTQ1" s="9" t="s">
        <v>1950</v>
      </c>
      <c r="BTR1" s="9" t="s">
        <v>1951</v>
      </c>
      <c r="BTS1" s="9" t="s">
        <v>1952</v>
      </c>
      <c r="BTT1" s="9" t="s">
        <v>1953</v>
      </c>
      <c r="BTU1" s="9" t="s">
        <v>1954</v>
      </c>
      <c r="BTV1" s="9" t="s">
        <v>1955</v>
      </c>
      <c r="BTW1" s="9" t="s">
        <v>1956</v>
      </c>
      <c r="BTX1" s="9" t="s">
        <v>1957</v>
      </c>
      <c r="BTY1" s="9" t="s">
        <v>1958</v>
      </c>
      <c r="BTZ1" s="9" t="s">
        <v>1959</v>
      </c>
      <c r="BUA1" s="9" t="s">
        <v>1960</v>
      </c>
      <c r="BUB1" s="9" t="s">
        <v>1961</v>
      </c>
      <c r="BUC1" s="9" t="s">
        <v>1962</v>
      </c>
      <c r="BUD1" s="9" t="s">
        <v>1963</v>
      </c>
      <c r="BUE1" s="9" t="s">
        <v>1964</v>
      </c>
      <c r="BUF1" s="9" t="s">
        <v>1965</v>
      </c>
      <c r="BUG1" s="9" t="s">
        <v>1966</v>
      </c>
      <c r="BUH1" s="9" t="s">
        <v>1967</v>
      </c>
      <c r="BUI1" s="9" t="s">
        <v>1968</v>
      </c>
      <c r="BUJ1" s="9" t="s">
        <v>1969</v>
      </c>
      <c r="BUK1" s="9" t="s">
        <v>1970</v>
      </c>
      <c r="BUL1" s="9" t="s">
        <v>1971</v>
      </c>
      <c r="BUM1" s="9" t="s">
        <v>1972</v>
      </c>
      <c r="BUN1" s="9" t="s">
        <v>1973</v>
      </c>
      <c r="BUO1" s="9" t="s">
        <v>1974</v>
      </c>
      <c r="BUP1" s="9" t="s">
        <v>1975</v>
      </c>
      <c r="BUQ1" s="9" t="s">
        <v>1976</v>
      </c>
      <c r="BUR1" s="9" t="s">
        <v>1977</v>
      </c>
      <c r="BUS1" s="9" t="s">
        <v>1978</v>
      </c>
      <c r="BUT1" s="9" t="s">
        <v>1979</v>
      </c>
      <c r="BUU1" s="9" t="s">
        <v>1980</v>
      </c>
      <c r="BUV1" s="9" t="s">
        <v>1981</v>
      </c>
      <c r="BUW1" s="9" t="s">
        <v>1982</v>
      </c>
      <c r="BUX1" s="9" t="s">
        <v>1983</v>
      </c>
      <c r="BUY1" s="9" t="s">
        <v>1984</v>
      </c>
      <c r="BUZ1" s="9" t="s">
        <v>1985</v>
      </c>
      <c r="BVA1" s="9" t="s">
        <v>1986</v>
      </c>
      <c r="BVB1" s="9" t="s">
        <v>1987</v>
      </c>
      <c r="BVC1" s="9" t="s">
        <v>1988</v>
      </c>
      <c r="BVD1" s="9" t="s">
        <v>1989</v>
      </c>
      <c r="BVE1" s="9" t="s">
        <v>1990</v>
      </c>
      <c r="BVF1" s="9" t="s">
        <v>1991</v>
      </c>
      <c r="BVG1" s="9" t="s">
        <v>1992</v>
      </c>
      <c r="BVH1" s="9" t="s">
        <v>1993</v>
      </c>
      <c r="BVI1" s="9" t="s">
        <v>1994</v>
      </c>
      <c r="BVJ1" s="9" t="s">
        <v>1995</v>
      </c>
      <c r="BVK1" s="9" t="s">
        <v>1996</v>
      </c>
      <c r="BVL1" s="9" t="s">
        <v>1997</v>
      </c>
      <c r="BVM1" s="9" t="s">
        <v>1998</v>
      </c>
      <c r="BVN1" s="9" t="s">
        <v>1999</v>
      </c>
      <c r="BVO1" s="9" t="s">
        <v>2000</v>
      </c>
      <c r="BVP1" s="9" t="s">
        <v>2001</v>
      </c>
      <c r="BVQ1" s="9" t="s">
        <v>2002</v>
      </c>
      <c r="BVR1" s="9" t="s">
        <v>2003</v>
      </c>
      <c r="BVS1" s="9" t="s">
        <v>2004</v>
      </c>
      <c r="BVT1" s="9" t="s">
        <v>2005</v>
      </c>
      <c r="BVU1" s="9" t="s">
        <v>2006</v>
      </c>
      <c r="BVV1" s="9" t="s">
        <v>2007</v>
      </c>
      <c r="BVW1" s="9" t="s">
        <v>2008</v>
      </c>
      <c r="BVX1" s="9" t="s">
        <v>2009</v>
      </c>
      <c r="BVY1" s="9" t="s">
        <v>2010</v>
      </c>
      <c r="BVZ1" s="9" t="s">
        <v>2011</v>
      </c>
      <c r="BWA1" s="9" t="s">
        <v>2012</v>
      </c>
      <c r="BWB1" s="9" t="s">
        <v>2013</v>
      </c>
      <c r="BWC1" s="9" t="s">
        <v>2014</v>
      </c>
      <c r="BWD1" s="9" t="s">
        <v>2015</v>
      </c>
      <c r="BWE1" s="9" t="s">
        <v>2016</v>
      </c>
      <c r="BWF1" s="9" t="s">
        <v>2017</v>
      </c>
      <c r="BWG1" s="9" t="s">
        <v>2018</v>
      </c>
      <c r="BWH1" s="9" t="s">
        <v>2019</v>
      </c>
      <c r="BWI1" s="9" t="s">
        <v>2020</v>
      </c>
      <c r="BWJ1" s="9" t="s">
        <v>2021</v>
      </c>
      <c r="BWK1" s="9" t="s">
        <v>2022</v>
      </c>
      <c r="BWL1" s="9" t="s">
        <v>2023</v>
      </c>
      <c r="BWM1" s="9" t="s">
        <v>2024</v>
      </c>
      <c r="BWN1" s="9" t="s">
        <v>2025</v>
      </c>
      <c r="BWO1" s="9" t="s">
        <v>2026</v>
      </c>
      <c r="BWP1" s="9" t="s">
        <v>2027</v>
      </c>
      <c r="BWQ1" s="9" t="s">
        <v>2028</v>
      </c>
      <c r="BWR1" s="9" t="s">
        <v>2029</v>
      </c>
      <c r="BWS1" s="9" t="s">
        <v>2030</v>
      </c>
      <c r="BWT1" s="9" t="s">
        <v>2031</v>
      </c>
      <c r="BWU1" s="9" t="s">
        <v>2032</v>
      </c>
      <c r="BWV1" s="9" t="s">
        <v>2033</v>
      </c>
      <c r="BWW1" s="9" t="s">
        <v>2034</v>
      </c>
      <c r="BWX1" s="9" t="s">
        <v>2035</v>
      </c>
      <c r="BWY1" s="9" t="s">
        <v>2036</v>
      </c>
      <c r="BWZ1" s="9" t="s">
        <v>2037</v>
      </c>
      <c r="BXA1" s="9" t="s">
        <v>2038</v>
      </c>
      <c r="BXB1" s="9" t="s">
        <v>2039</v>
      </c>
      <c r="BXC1" s="9" t="s">
        <v>2040</v>
      </c>
      <c r="BXD1" s="9" t="s">
        <v>2041</v>
      </c>
      <c r="BXE1" s="9" t="s">
        <v>2042</v>
      </c>
      <c r="BXF1" s="9" t="s">
        <v>2043</v>
      </c>
      <c r="BXG1" s="9" t="s">
        <v>2044</v>
      </c>
      <c r="BXH1" s="9" t="s">
        <v>2045</v>
      </c>
      <c r="BXI1" s="9" t="s">
        <v>2046</v>
      </c>
      <c r="BXJ1" s="9" t="s">
        <v>2047</v>
      </c>
      <c r="BXK1" s="9" t="s">
        <v>2048</v>
      </c>
      <c r="BXL1" s="9" t="s">
        <v>2049</v>
      </c>
      <c r="BXM1" s="9" t="s">
        <v>2050</v>
      </c>
      <c r="BXN1" s="9" t="s">
        <v>2051</v>
      </c>
      <c r="BXO1" s="9" t="s">
        <v>2052</v>
      </c>
      <c r="BXP1" s="9" t="s">
        <v>2053</v>
      </c>
      <c r="BXQ1" s="9" t="s">
        <v>2054</v>
      </c>
      <c r="BXR1" s="9" t="s">
        <v>2055</v>
      </c>
      <c r="BXS1" s="9" t="s">
        <v>2056</v>
      </c>
      <c r="BXT1" s="9" t="s">
        <v>2057</v>
      </c>
      <c r="BXU1" s="9" t="s">
        <v>2058</v>
      </c>
      <c r="BXV1" s="9" t="s">
        <v>2059</v>
      </c>
      <c r="BXW1" s="9" t="s">
        <v>2060</v>
      </c>
      <c r="BXX1" s="9" t="s">
        <v>2061</v>
      </c>
      <c r="BXY1" s="9" t="s">
        <v>2062</v>
      </c>
      <c r="BXZ1" s="9" t="s">
        <v>2063</v>
      </c>
      <c r="BYA1" s="9" t="s">
        <v>2064</v>
      </c>
      <c r="BYB1" s="9" t="s">
        <v>2065</v>
      </c>
      <c r="BYC1" s="9" t="s">
        <v>2066</v>
      </c>
      <c r="BYD1" s="9" t="s">
        <v>2067</v>
      </c>
      <c r="BYE1" s="9" t="s">
        <v>2068</v>
      </c>
      <c r="BYF1" s="9" t="s">
        <v>2069</v>
      </c>
      <c r="BYG1" s="9" t="s">
        <v>2070</v>
      </c>
      <c r="BYH1" s="9" t="s">
        <v>2071</v>
      </c>
      <c r="BYI1" s="9" t="s">
        <v>2072</v>
      </c>
      <c r="BYJ1" s="9" t="s">
        <v>2073</v>
      </c>
      <c r="BYK1" s="9" t="s">
        <v>2074</v>
      </c>
      <c r="BYL1" s="9" t="s">
        <v>2075</v>
      </c>
      <c r="BYM1" s="9" t="s">
        <v>2076</v>
      </c>
      <c r="BYN1" s="9" t="s">
        <v>2077</v>
      </c>
      <c r="BYO1" s="9" t="s">
        <v>2078</v>
      </c>
      <c r="BYP1" s="9" t="s">
        <v>2079</v>
      </c>
      <c r="BYQ1" s="9" t="s">
        <v>2080</v>
      </c>
      <c r="BYR1" s="9" t="s">
        <v>2081</v>
      </c>
      <c r="BYS1" s="9" t="s">
        <v>2082</v>
      </c>
      <c r="BYT1" s="9" t="s">
        <v>2083</v>
      </c>
      <c r="BYU1" s="9" t="s">
        <v>2084</v>
      </c>
      <c r="BYV1" s="9" t="s">
        <v>2085</v>
      </c>
      <c r="BYW1" s="9" t="s">
        <v>2086</v>
      </c>
      <c r="BYX1" s="9" t="s">
        <v>2087</v>
      </c>
      <c r="BYY1" s="9" t="s">
        <v>2088</v>
      </c>
      <c r="BYZ1" s="9" t="s">
        <v>2089</v>
      </c>
      <c r="BZA1" s="9" t="s">
        <v>2090</v>
      </c>
      <c r="BZB1" s="9" t="s">
        <v>2091</v>
      </c>
      <c r="BZC1" s="9" t="s">
        <v>2092</v>
      </c>
      <c r="BZD1" s="9" t="s">
        <v>2093</v>
      </c>
      <c r="BZE1" s="9" t="s">
        <v>2094</v>
      </c>
      <c r="BZF1" s="9" t="s">
        <v>2095</v>
      </c>
      <c r="BZG1" s="9" t="s">
        <v>2096</v>
      </c>
      <c r="BZH1" s="9" t="s">
        <v>2097</v>
      </c>
      <c r="BZI1" s="9" t="s">
        <v>2098</v>
      </c>
      <c r="BZJ1" s="9" t="s">
        <v>2099</v>
      </c>
      <c r="BZK1" s="9" t="s">
        <v>2100</v>
      </c>
      <c r="BZL1" s="9" t="s">
        <v>2101</v>
      </c>
      <c r="BZM1" s="9" t="s">
        <v>2102</v>
      </c>
      <c r="BZN1" s="9" t="s">
        <v>2103</v>
      </c>
      <c r="BZO1" s="9" t="s">
        <v>2104</v>
      </c>
      <c r="BZP1" s="9" t="s">
        <v>2105</v>
      </c>
      <c r="BZQ1" s="9" t="s">
        <v>2106</v>
      </c>
      <c r="BZR1" s="9" t="s">
        <v>2107</v>
      </c>
      <c r="BZS1" s="9" t="s">
        <v>2108</v>
      </c>
      <c r="BZT1" s="9" t="s">
        <v>2109</v>
      </c>
      <c r="BZU1" s="9" t="s">
        <v>2110</v>
      </c>
      <c r="BZV1" s="9" t="s">
        <v>2111</v>
      </c>
      <c r="BZW1" s="9" t="s">
        <v>2112</v>
      </c>
      <c r="BZX1" s="9" t="s">
        <v>2113</v>
      </c>
      <c r="BZY1" s="9" t="s">
        <v>2114</v>
      </c>
      <c r="BZZ1" s="9" t="s">
        <v>2115</v>
      </c>
      <c r="CAA1" s="9" t="s">
        <v>2116</v>
      </c>
      <c r="CAB1" s="9" t="s">
        <v>2117</v>
      </c>
      <c r="CAC1" s="9" t="s">
        <v>2118</v>
      </c>
      <c r="CAD1" s="9" t="s">
        <v>2119</v>
      </c>
      <c r="CAE1" s="9" t="s">
        <v>2120</v>
      </c>
      <c r="CAF1" s="9" t="s">
        <v>2121</v>
      </c>
      <c r="CAG1" s="9" t="s">
        <v>2122</v>
      </c>
      <c r="CAH1" s="9" t="s">
        <v>2123</v>
      </c>
      <c r="CAI1" s="9" t="s">
        <v>2124</v>
      </c>
      <c r="CAJ1" s="9" t="s">
        <v>2125</v>
      </c>
      <c r="CAK1" s="9" t="s">
        <v>2126</v>
      </c>
      <c r="CAL1" s="9" t="s">
        <v>2127</v>
      </c>
      <c r="CAM1" s="9" t="s">
        <v>2128</v>
      </c>
      <c r="CAN1" s="9" t="s">
        <v>2129</v>
      </c>
      <c r="CAO1" s="9" t="s">
        <v>2130</v>
      </c>
      <c r="CAP1" s="9" t="s">
        <v>2131</v>
      </c>
      <c r="CAQ1" s="9" t="s">
        <v>2132</v>
      </c>
      <c r="CAR1" s="9" t="s">
        <v>2133</v>
      </c>
      <c r="CAS1" s="9" t="s">
        <v>2134</v>
      </c>
      <c r="CAT1" s="9" t="s">
        <v>2135</v>
      </c>
      <c r="CAU1" s="9" t="s">
        <v>2136</v>
      </c>
      <c r="CAV1" s="9" t="s">
        <v>2137</v>
      </c>
      <c r="CAW1" s="9" t="s">
        <v>2138</v>
      </c>
      <c r="CAX1" s="9" t="s">
        <v>2139</v>
      </c>
      <c r="CAY1" s="9" t="s">
        <v>2140</v>
      </c>
      <c r="CAZ1" s="9" t="s">
        <v>2141</v>
      </c>
      <c r="CBA1" s="9" t="s">
        <v>2142</v>
      </c>
      <c r="CBB1" s="9" t="s">
        <v>2143</v>
      </c>
      <c r="CBC1" s="9" t="s">
        <v>2144</v>
      </c>
      <c r="CBD1" s="9" t="s">
        <v>2145</v>
      </c>
      <c r="CBE1" s="9" t="s">
        <v>2146</v>
      </c>
      <c r="CBF1" s="9" t="s">
        <v>2147</v>
      </c>
      <c r="CBG1" s="9" t="s">
        <v>2148</v>
      </c>
      <c r="CBH1" s="9" t="s">
        <v>2149</v>
      </c>
      <c r="CBI1" s="9" t="s">
        <v>2150</v>
      </c>
      <c r="CBJ1" s="9" t="s">
        <v>2151</v>
      </c>
      <c r="CBK1" s="9" t="s">
        <v>2152</v>
      </c>
      <c r="CBL1" s="9" t="s">
        <v>2153</v>
      </c>
      <c r="CBM1" s="9" t="s">
        <v>2154</v>
      </c>
      <c r="CBN1" s="9" t="s">
        <v>2155</v>
      </c>
      <c r="CBO1" s="9" t="s">
        <v>2156</v>
      </c>
      <c r="CBP1" s="9" t="s">
        <v>2157</v>
      </c>
      <c r="CBQ1" s="9" t="s">
        <v>2158</v>
      </c>
      <c r="CBR1" s="9" t="s">
        <v>2159</v>
      </c>
      <c r="CBS1" s="9" t="s">
        <v>2160</v>
      </c>
      <c r="CBT1" s="9" t="s">
        <v>2161</v>
      </c>
      <c r="CBU1" s="9" t="s">
        <v>2162</v>
      </c>
      <c r="CBV1" s="9" t="s">
        <v>2163</v>
      </c>
      <c r="CBW1" s="9" t="s">
        <v>2164</v>
      </c>
      <c r="CBX1" s="9" t="s">
        <v>2165</v>
      </c>
      <c r="CBY1" s="9" t="s">
        <v>2166</v>
      </c>
      <c r="CBZ1" s="9" t="s">
        <v>2167</v>
      </c>
      <c r="CCA1" s="9" t="s">
        <v>2168</v>
      </c>
      <c r="CCB1" s="9" t="s">
        <v>2169</v>
      </c>
      <c r="CCC1" s="9" t="s">
        <v>2170</v>
      </c>
      <c r="CCD1" s="9" t="s">
        <v>2171</v>
      </c>
      <c r="CCE1" s="9" t="s">
        <v>2172</v>
      </c>
      <c r="CCF1" s="9" t="s">
        <v>2173</v>
      </c>
      <c r="CCG1" s="9" t="s">
        <v>2174</v>
      </c>
      <c r="CCH1" s="9" t="s">
        <v>2175</v>
      </c>
      <c r="CCI1" s="9" t="s">
        <v>2176</v>
      </c>
      <c r="CCJ1" s="9" t="s">
        <v>2177</v>
      </c>
      <c r="CCK1" s="9" t="s">
        <v>2178</v>
      </c>
      <c r="CCL1" s="9" t="s">
        <v>2179</v>
      </c>
      <c r="CCM1" s="9" t="s">
        <v>2180</v>
      </c>
      <c r="CCN1" s="9" t="s">
        <v>2181</v>
      </c>
      <c r="CCO1" s="9" t="s">
        <v>2182</v>
      </c>
      <c r="CCP1" s="9" t="s">
        <v>2183</v>
      </c>
      <c r="CCQ1" s="9" t="s">
        <v>2184</v>
      </c>
      <c r="CCR1" s="9" t="s">
        <v>2185</v>
      </c>
      <c r="CCS1" s="9" t="s">
        <v>2186</v>
      </c>
      <c r="CCT1" s="9" t="s">
        <v>2187</v>
      </c>
      <c r="CCU1" s="9" t="s">
        <v>2188</v>
      </c>
      <c r="CCV1" s="9" t="s">
        <v>2189</v>
      </c>
      <c r="CCW1" s="9" t="s">
        <v>2190</v>
      </c>
      <c r="CCX1" s="9" t="s">
        <v>2191</v>
      </c>
      <c r="CCY1" s="9" t="s">
        <v>2192</v>
      </c>
      <c r="CCZ1" s="9" t="s">
        <v>2193</v>
      </c>
      <c r="CDA1" s="9" t="s">
        <v>2194</v>
      </c>
      <c r="CDB1" s="9" t="s">
        <v>2195</v>
      </c>
      <c r="CDC1" s="9" t="s">
        <v>2196</v>
      </c>
      <c r="CDD1" s="9" t="s">
        <v>2197</v>
      </c>
      <c r="CDE1" s="9" t="s">
        <v>2198</v>
      </c>
      <c r="CDF1" s="9" t="s">
        <v>2199</v>
      </c>
      <c r="CDG1" s="9" t="s">
        <v>2200</v>
      </c>
      <c r="CDH1" s="9" t="s">
        <v>2201</v>
      </c>
      <c r="CDI1" s="9" t="s">
        <v>2202</v>
      </c>
      <c r="CDJ1" s="9" t="s">
        <v>2203</v>
      </c>
      <c r="CDK1" s="9" t="s">
        <v>2204</v>
      </c>
      <c r="CDL1" s="9" t="s">
        <v>2205</v>
      </c>
      <c r="CDM1" s="9" t="s">
        <v>2206</v>
      </c>
      <c r="CDN1" s="9" t="s">
        <v>2207</v>
      </c>
      <c r="CDO1" s="9" t="s">
        <v>2208</v>
      </c>
      <c r="CDP1" s="9" t="s">
        <v>2209</v>
      </c>
      <c r="CDQ1" s="9" t="s">
        <v>2210</v>
      </c>
      <c r="CDR1" s="9" t="s">
        <v>2211</v>
      </c>
      <c r="CDS1" s="9" t="s">
        <v>2212</v>
      </c>
      <c r="CDT1" s="9" t="s">
        <v>2213</v>
      </c>
      <c r="CDU1" s="9" t="s">
        <v>2214</v>
      </c>
      <c r="CDV1" s="9" t="s">
        <v>2215</v>
      </c>
      <c r="CDW1" s="9" t="s">
        <v>2216</v>
      </c>
      <c r="CDX1" s="9" t="s">
        <v>2217</v>
      </c>
      <c r="CDY1" s="9" t="s">
        <v>2218</v>
      </c>
      <c r="CDZ1" s="9" t="s">
        <v>2219</v>
      </c>
      <c r="CEA1" s="9" t="s">
        <v>2220</v>
      </c>
      <c r="CEB1" s="9" t="s">
        <v>2221</v>
      </c>
      <c r="CEC1" s="9" t="s">
        <v>2222</v>
      </c>
      <c r="CED1" s="9" t="s">
        <v>2223</v>
      </c>
      <c r="CEE1" s="9" t="s">
        <v>2224</v>
      </c>
      <c r="CEF1" s="9" t="s">
        <v>2225</v>
      </c>
      <c r="CEG1" s="9" t="s">
        <v>2226</v>
      </c>
      <c r="CEH1" s="9" t="s">
        <v>2227</v>
      </c>
      <c r="CEI1" s="9" t="s">
        <v>2228</v>
      </c>
      <c r="CEJ1" s="9" t="s">
        <v>2229</v>
      </c>
      <c r="CEK1" s="9" t="s">
        <v>2230</v>
      </c>
      <c r="CEL1" s="9" t="s">
        <v>2231</v>
      </c>
      <c r="CEM1" s="9" t="s">
        <v>2232</v>
      </c>
      <c r="CEN1" s="9" t="s">
        <v>2233</v>
      </c>
      <c r="CEO1" s="9" t="s">
        <v>2234</v>
      </c>
      <c r="CEP1" s="9" t="s">
        <v>2235</v>
      </c>
      <c r="CEQ1" s="9" t="s">
        <v>2236</v>
      </c>
      <c r="CER1" s="9" t="s">
        <v>2237</v>
      </c>
      <c r="CES1" s="9" t="s">
        <v>2238</v>
      </c>
      <c r="CET1" s="9" t="s">
        <v>2239</v>
      </c>
      <c r="CEU1" s="9" t="s">
        <v>2240</v>
      </c>
      <c r="CEV1" s="9" t="s">
        <v>2241</v>
      </c>
      <c r="CEW1" s="9" t="s">
        <v>2242</v>
      </c>
      <c r="CEX1" s="9" t="s">
        <v>2243</v>
      </c>
      <c r="CEY1" s="9" t="s">
        <v>2244</v>
      </c>
      <c r="CEZ1" s="9" t="s">
        <v>2245</v>
      </c>
      <c r="CFA1" s="9" t="s">
        <v>2246</v>
      </c>
      <c r="CFB1" s="9" t="s">
        <v>2247</v>
      </c>
      <c r="CFC1" s="9" t="s">
        <v>2248</v>
      </c>
      <c r="CFD1" s="9" t="s">
        <v>2249</v>
      </c>
      <c r="CFE1" s="9" t="s">
        <v>2250</v>
      </c>
      <c r="CFF1" s="9" t="s">
        <v>2251</v>
      </c>
      <c r="CFG1" s="9" t="s">
        <v>2252</v>
      </c>
      <c r="CFH1" s="9" t="s">
        <v>2253</v>
      </c>
      <c r="CFI1" s="9" t="s">
        <v>2254</v>
      </c>
      <c r="CFJ1" s="9" t="s">
        <v>2255</v>
      </c>
      <c r="CFK1" s="9" t="s">
        <v>2256</v>
      </c>
      <c r="CFL1" s="9" t="s">
        <v>2257</v>
      </c>
      <c r="CFM1" s="9" t="s">
        <v>2258</v>
      </c>
      <c r="CFN1" s="9" t="s">
        <v>2259</v>
      </c>
      <c r="CFO1" s="9" t="s">
        <v>2260</v>
      </c>
      <c r="CFP1" s="9" t="s">
        <v>2261</v>
      </c>
      <c r="CFQ1" s="9" t="s">
        <v>2262</v>
      </c>
      <c r="CFR1" s="9" t="s">
        <v>2263</v>
      </c>
      <c r="CFS1" s="9" t="s">
        <v>2264</v>
      </c>
      <c r="CFT1" s="9" t="s">
        <v>2265</v>
      </c>
      <c r="CFU1" s="9" t="s">
        <v>2266</v>
      </c>
      <c r="CFV1" s="9" t="s">
        <v>2267</v>
      </c>
      <c r="CFW1" s="9" t="s">
        <v>2268</v>
      </c>
      <c r="CFX1" s="9" t="s">
        <v>2269</v>
      </c>
      <c r="CFY1" s="9" t="s">
        <v>2270</v>
      </c>
      <c r="CFZ1" s="9" t="s">
        <v>2271</v>
      </c>
      <c r="CGA1" s="9" t="s">
        <v>2272</v>
      </c>
      <c r="CGB1" s="9" t="s">
        <v>2273</v>
      </c>
      <c r="CGC1" s="9" t="s">
        <v>2274</v>
      </c>
      <c r="CGD1" s="9" t="s">
        <v>2275</v>
      </c>
      <c r="CGE1" s="9" t="s">
        <v>2276</v>
      </c>
      <c r="CGF1" s="9" t="s">
        <v>2277</v>
      </c>
      <c r="CGG1" s="9" t="s">
        <v>2278</v>
      </c>
      <c r="CGH1" s="9" t="s">
        <v>2279</v>
      </c>
      <c r="CGI1" s="9" t="s">
        <v>2280</v>
      </c>
      <c r="CGJ1" s="9" t="s">
        <v>2281</v>
      </c>
      <c r="CGK1" s="9" t="s">
        <v>2282</v>
      </c>
      <c r="CGL1" s="9" t="s">
        <v>2283</v>
      </c>
      <c r="CGM1" s="9" t="s">
        <v>2284</v>
      </c>
      <c r="CGN1" s="9" t="s">
        <v>2285</v>
      </c>
      <c r="CGO1" s="9" t="s">
        <v>2286</v>
      </c>
      <c r="CGP1" s="9" t="s">
        <v>2287</v>
      </c>
      <c r="CGQ1" s="9" t="s">
        <v>2288</v>
      </c>
      <c r="CGR1" s="9" t="s">
        <v>2289</v>
      </c>
      <c r="CGS1" s="9" t="s">
        <v>2290</v>
      </c>
      <c r="CGT1" s="9" t="s">
        <v>2291</v>
      </c>
      <c r="CGU1" s="9" t="s">
        <v>2292</v>
      </c>
      <c r="CGV1" s="9" t="s">
        <v>2293</v>
      </c>
      <c r="CGW1" s="9" t="s">
        <v>2294</v>
      </c>
      <c r="CGX1" s="9" t="s">
        <v>2295</v>
      </c>
      <c r="CGY1" s="9" t="s">
        <v>2296</v>
      </c>
      <c r="CGZ1" s="9" t="s">
        <v>2297</v>
      </c>
      <c r="CHA1" s="9" t="s">
        <v>2298</v>
      </c>
      <c r="CHB1" s="9" t="s">
        <v>2299</v>
      </c>
      <c r="CHC1" s="9" t="s">
        <v>2300</v>
      </c>
      <c r="CHD1" s="9" t="s">
        <v>2301</v>
      </c>
      <c r="CHE1" s="9" t="s">
        <v>2302</v>
      </c>
      <c r="CHF1" s="9" t="s">
        <v>2303</v>
      </c>
      <c r="CHG1" s="9" t="s">
        <v>2304</v>
      </c>
      <c r="CHH1" s="9" t="s">
        <v>2305</v>
      </c>
      <c r="CHI1" s="9" t="s">
        <v>2306</v>
      </c>
      <c r="CHJ1" s="9" t="s">
        <v>2307</v>
      </c>
      <c r="CHK1" s="9" t="s">
        <v>2308</v>
      </c>
      <c r="CHL1" s="9" t="s">
        <v>2309</v>
      </c>
      <c r="CHM1" s="9" t="s">
        <v>2310</v>
      </c>
      <c r="CHN1" s="9" t="s">
        <v>2311</v>
      </c>
      <c r="CHO1" s="9" t="s">
        <v>2312</v>
      </c>
      <c r="CHP1" s="9" t="s">
        <v>2313</v>
      </c>
      <c r="CHQ1" s="9" t="s">
        <v>2314</v>
      </c>
      <c r="CHR1" s="9" t="s">
        <v>2315</v>
      </c>
      <c r="CHS1" s="9" t="s">
        <v>2316</v>
      </c>
      <c r="CHT1" s="9" t="s">
        <v>2317</v>
      </c>
      <c r="CHU1" s="9" t="s">
        <v>2318</v>
      </c>
      <c r="CHV1" s="9" t="s">
        <v>2319</v>
      </c>
      <c r="CHW1" s="9" t="s">
        <v>2320</v>
      </c>
      <c r="CHX1" s="9" t="s">
        <v>2321</v>
      </c>
      <c r="CHY1" s="9" t="s">
        <v>2322</v>
      </c>
      <c r="CHZ1" s="9" t="s">
        <v>2323</v>
      </c>
      <c r="CIA1" s="9" t="s">
        <v>2324</v>
      </c>
      <c r="CIB1" s="9" t="s">
        <v>2325</v>
      </c>
      <c r="CIC1" s="9" t="s">
        <v>2326</v>
      </c>
      <c r="CID1" s="9" t="s">
        <v>2327</v>
      </c>
      <c r="CIE1" s="9" t="s">
        <v>2328</v>
      </c>
      <c r="CIF1" s="9" t="s">
        <v>2329</v>
      </c>
      <c r="CIG1" s="9" t="s">
        <v>2330</v>
      </c>
      <c r="CIH1" s="9" t="s">
        <v>2331</v>
      </c>
      <c r="CII1" s="9" t="s">
        <v>2332</v>
      </c>
      <c r="CIJ1" s="9" t="s">
        <v>2333</v>
      </c>
      <c r="CIK1" s="9" t="s">
        <v>2334</v>
      </c>
      <c r="CIL1" s="9" t="s">
        <v>2335</v>
      </c>
      <c r="CIM1" s="9" t="s">
        <v>2336</v>
      </c>
      <c r="CIN1" s="9" t="s">
        <v>2337</v>
      </c>
      <c r="CIO1" s="9" t="s">
        <v>2338</v>
      </c>
      <c r="CIP1" s="9" t="s">
        <v>2339</v>
      </c>
      <c r="CIQ1" s="9" t="s">
        <v>2340</v>
      </c>
      <c r="CIR1" s="9" t="s">
        <v>2341</v>
      </c>
      <c r="CIS1" s="9" t="s">
        <v>2342</v>
      </c>
      <c r="CIT1" s="9" t="s">
        <v>2343</v>
      </c>
      <c r="CIU1" s="9" t="s">
        <v>2344</v>
      </c>
      <c r="CIV1" s="9" t="s">
        <v>2345</v>
      </c>
      <c r="CIW1" s="9" t="s">
        <v>2346</v>
      </c>
      <c r="CIX1" s="9" t="s">
        <v>2347</v>
      </c>
      <c r="CIY1" s="9" t="s">
        <v>2348</v>
      </c>
      <c r="CIZ1" s="9" t="s">
        <v>2349</v>
      </c>
      <c r="CJA1" s="9" t="s">
        <v>2350</v>
      </c>
      <c r="CJB1" s="9" t="s">
        <v>2351</v>
      </c>
      <c r="CJC1" s="9" t="s">
        <v>2352</v>
      </c>
      <c r="CJD1" s="9" t="s">
        <v>2353</v>
      </c>
      <c r="CJE1" s="9" t="s">
        <v>2354</v>
      </c>
      <c r="CJF1" s="9" t="s">
        <v>2355</v>
      </c>
      <c r="CJG1" s="9" t="s">
        <v>2356</v>
      </c>
      <c r="CJH1" s="9" t="s">
        <v>2357</v>
      </c>
      <c r="CJI1" s="9" t="s">
        <v>2358</v>
      </c>
      <c r="CJJ1" s="9" t="s">
        <v>2359</v>
      </c>
      <c r="CJK1" s="9" t="s">
        <v>2360</v>
      </c>
      <c r="CJL1" s="9" t="s">
        <v>2361</v>
      </c>
      <c r="CJM1" s="9" t="s">
        <v>2362</v>
      </c>
      <c r="CJN1" s="9" t="s">
        <v>2363</v>
      </c>
      <c r="CJO1" s="9" t="s">
        <v>2364</v>
      </c>
      <c r="CJP1" s="9" t="s">
        <v>2365</v>
      </c>
      <c r="CJQ1" s="9" t="s">
        <v>2366</v>
      </c>
      <c r="CJR1" s="9" t="s">
        <v>2367</v>
      </c>
      <c r="CJS1" s="9" t="s">
        <v>2368</v>
      </c>
      <c r="CJT1" s="9" t="s">
        <v>2369</v>
      </c>
      <c r="CJU1" s="9" t="s">
        <v>2370</v>
      </c>
      <c r="CJV1" s="9" t="s">
        <v>2371</v>
      </c>
      <c r="CJW1" s="9" t="s">
        <v>2372</v>
      </c>
      <c r="CJX1" s="9" t="s">
        <v>2373</v>
      </c>
      <c r="CJY1" s="9" t="s">
        <v>2374</v>
      </c>
      <c r="CJZ1" s="9" t="s">
        <v>2375</v>
      </c>
      <c r="CKA1" s="9" t="s">
        <v>2376</v>
      </c>
      <c r="CKB1" s="9" t="s">
        <v>2377</v>
      </c>
      <c r="CKC1" s="9" t="s">
        <v>2378</v>
      </c>
      <c r="CKD1" s="9" t="s">
        <v>2379</v>
      </c>
      <c r="CKE1" s="9" t="s">
        <v>2380</v>
      </c>
      <c r="CKF1" s="9" t="s">
        <v>2381</v>
      </c>
      <c r="CKG1" s="9" t="s">
        <v>2382</v>
      </c>
      <c r="CKH1" s="9" t="s">
        <v>2383</v>
      </c>
      <c r="CKI1" s="9" t="s">
        <v>2384</v>
      </c>
      <c r="CKJ1" s="9" t="s">
        <v>2385</v>
      </c>
      <c r="CKK1" s="9" t="s">
        <v>2386</v>
      </c>
      <c r="CKL1" s="9" t="s">
        <v>2387</v>
      </c>
      <c r="CKM1" s="9" t="s">
        <v>2388</v>
      </c>
      <c r="CKN1" s="9" t="s">
        <v>2389</v>
      </c>
      <c r="CKO1" s="9" t="s">
        <v>2390</v>
      </c>
      <c r="CKP1" s="9" t="s">
        <v>2391</v>
      </c>
      <c r="CKQ1" s="9" t="s">
        <v>2392</v>
      </c>
      <c r="CKR1" s="9" t="s">
        <v>2393</v>
      </c>
      <c r="CKS1" s="9" t="s">
        <v>2394</v>
      </c>
      <c r="CKT1" s="9" t="s">
        <v>2395</v>
      </c>
      <c r="CKU1" s="9" t="s">
        <v>2396</v>
      </c>
      <c r="CKV1" s="9" t="s">
        <v>2397</v>
      </c>
      <c r="CKW1" s="9" t="s">
        <v>2398</v>
      </c>
      <c r="CKX1" s="9" t="s">
        <v>2399</v>
      </c>
      <c r="CKY1" s="9" t="s">
        <v>2400</v>
      </c>
      <c r="CKZ1" s="9" t="s">
        <v>2401</v>
      </c>
      <c r="CLA1" s="9" t="s">
        <v>2402</v>
      </c>
      <c r="CLB1" s="9" t="s">
        <v>2403</v>
      </c>
      <c r="CLC1" s="9" t="s">
        <v>2404</v>
      </c>
      <c r="CLD1" s="9" t="s">
        <v>2405</v>
      </c>
      <c r="CLE1" s="9" t="s">
        <v>2406</v>
      </c>
      <c r="CLF1" s="9" t="s">
        <v>2407</v>
      </c>
      <c r="CLG1" s="9" t="s">
        <v>2408</v>
      </c>
      <c r="CLH1" s="9" t="s">
        <v>2409</v>
      </c>
      <c r="CLI1" s="9" t="s">
        <v>2410</v>
      </c>
      <c r="CLJ1" s="9" t="s">
        <v>2411</v>
      </c>
      <c r="CLK1" s="9" t="s">
        <v>2412</v>
      </c>
      <c r="CLL1" s="9" t="s">
        <v>2413</v>
      </c>
      <c r="CLM1" s="9" t="s">
        <v>2414</v>
      </c>
      <c r="CLN1" s="9" t="s">
        <v>2415</v>
      </c>
      <c r="CLO1" s="9" t="s">
        <v>2416</v>
      </c>
      <c r="CLP1" s="9" t="s">
        <v>2417</v>
      </c>
      <c r="CLQ1" s="9" t="s">
        <v>2418</v>
      </c>
      <c r="CLR1" s="9" t="s">
        <v>2419</v>
      </c>
      <c r="CLS1" s="9" t="s">
        <v>2420</v>
      </c>
      <c r="CLT1" s="9" t="s">
        <v>2421</v>
      </c>
      <c r="CLU1" s="9" t="s">
        <v>2422</v>
      </c>
      <c r="CLV1" s="9" t="s">
        <v>2423</v>
      </c>
      <c r="CLW1" s="9" t="s">
        <v>2424</v>
      </c>
      <c r="CLX1" s="9" t="s">
        <v>2425</v>
      </c>
      <c r="CLY1" s="9" t="s">
        <v>2426</v>
      </c>
      <c r="CLZ1" s="9" t="s">
        <v>2427</v>
      </c>
      <c r="CMA1" s="9" t="s">
        <v>2428</v>
      </c>
      <c r="CMB1" s="9" t="s">
        <v>2429</v>
      </c>
      <c r="CMC1" s="9" t="s">
        <v>2430</v>
      </c>
      <c r="CMD1" s="9" t="s">
        <v>2431</v>
      </c>
      <c r="CME1" s="9" t="s">
        <v>2432</v>
      </c>
      <c r="CMF1" s="9" t="s">
        <v>2433</v>
      </c>
      <c r="CMG1" s="9" t="s">
        <v>2434</v>
      </c>
      <c r="CMH1" s="9" t="s">
        <v>2435</v>
      </c>
      <c r="CMI1" s="9" t="s">
        <v>2436</v>
      </c>
      <c r="CMJ1" s="9" t="s">
        <v>2437</v>
      </c>
      <c r="CMK1" s="9" t="s">
        <v>2438</v>
      </c>
      <c r="CML1" s="9" t="s">
        <v>2439</v>
      </c>
      <c r="CMM1" s="9" t="s">
        <v>2440</v>
      </c>
      <c r="CMN1" s="9" t="s">
        <v>2441</v>
      </c>
      <c r="CMO1" s="9" t="s">
        <v>2442</v>
      </c>
      <c r="CMP1" s="9" t="s">
        <v>2443</v>
      </c>
      <c r="CMQ1" s="9" t="s">
        <v>2444</v>
      </c>
      <c r="CMR1" s="9" t="s">
        <v>2445</v>
      </c>
      <c r="CMS1" s="9" t="s">
        <v>2446</v>
      </c>
      <c r="CMT1" s="9" t="s">
        <v>2447</v>
      </c>
      <c r="CMU1" s="9" t="s">
        <v>2448</v>
      </c>
      <c r="CMV1" s="9" t="s">
        <v>2449</v>
      </c>
      <c r="CMW1" s="9" t="s">
        <v>2450</v>
      </c>
      <c r="CMX1" s="9" t="s">
        <v>2451</v>
      </c>
      <c r="CMY1" s="9" t="s">
        <v>2452</v>
      </c>
      <c r="CMZ1" s="9" t="s">
        <v>2453</v>
      </c>
      <c r="CNA1" s="9" t="s">
        <v>2454</v>
      </c>
      <c r="CNB1" s="9" t="s">
        <v>2455</v>
      </c>
      <c r="CNC1" s="9" t="s">
        <v>2456</v>
      </c>
      <c r="CND1" s="9" t="s">
        <v>2457</v>
      </c>
      <c r="CNE1" s="9" t="s">
        <v>2458</v>
      </c>
      <c r="CNF1" s="9" t="s">
        <v>2459</v>
      </c>
      <c r="CNG1" s="9" t="s">
        <v>2460</v>
      </c>
      <c r="CNH1" s="9" t="s">
        <v>2461</v>
      </c>
      <c r="CNI1" s="9" t="s">
        <v>2462</v>
      </c>
      <c r="CNJ1" s="9" t="s">
        <v>2463</v>
      </c>
      <c r="CNK1" s="9" t="s">
        <v>2464</v>
      </c>
      <c r="CNL1" s="9" t="s">
        <v>2465</v>
      </c>
      <c r="CNM1" s="9" t="s">
        <v>2466</v>
      </c>
      <c r="CNN1" s="9" t="s">
        <v>2467</v>
      </c>
      <c r="CNO1" s="9" t="s">
        <v>2468</v>
      </c>
      <c r="CNP1" s="9" t="s">
        <v>2469</v>
      </c>
      <c r="CNQ1" s="9" t="s">
        <v>2470</v>
      </c>
      <c r="CNR1" s="9" t="s">
        <v>2471</v>
      </c>
      <c r="CNS1" s="9" t="s">
        <v>2472</v>
      </c>
      <c r="CNT1" s="9" t="s">
        <v>2473</v>
      </c>
      <c r="CNU1" s="9" t="s">
        <v>2474</v>
      </c>
      <c r="CNV1" s="9" t="s">
        <v>2475</v>
      </c>
      <c r="CNW1" s="9" t="s">
        <v>2476</v>
      </c>
      <c r="CNX1" s="9" t="s">
        <v>2477</v>
      </c>
      <c r="CNY1" s="9" t="s">
        <v>2478</v>
      </c>
      <c r="CNZ1" s="9" t="s">
        <v>2479</v>
      </c>
      <c r="COA1" s="9" t="s">
        <v>2480</v>
      </c>
      <c r="COB1" s="9" t="s">
        <v>2481</v>
      </c>
      <c r="COC1" s="9" t="s">
        <v>2482</v>
      </c>
      <c r="COD1" s="9" t="s">
        <v>2483</v>
      </c>
      <c r="COE1" s="9" t="s">
        <v>2484</v>
      </c>
      <c r="COF1" s="9" t="s">
        <v>2485</v>
      </c>
      <c r="COG1" s="9" t="s">
        <v>2486</v>
      </c>
      <c r="COH1" s="9" t="s">
        <v>2487</v>
      </c>
      <c r="COI1" s="9" t="s">
        <v>2488</v>
      </c>
      <c r="COJ1" s="9" t="s">
        <v>2489</v>
      </c>
      <c r="COK1" s="9" t="s">
        <v>2490</v>
      </c>
      <c r="COL1" s="9" t="s">
        <v>2491</v>
      </c>
      <c r="COM1" s="9" t="s">
        <v>2492</v>
      </c>
      <c r="CON1" s="9" t="s">
        <v>2493</v>
      </c>
      <c r="COO1" s="9" t="s">
        <v>2494</v>
      </c>
      <c r="COP1" s="9" t="s">
        <v>2495</v>
      </c>
      <c r="COQ1" s="9" t="s">
        <v>2496</v>
      </c>
      <c r="COR1" s="9" t="s">
        <v>2497</v>
      </c>
      <c r="COS1" s="9" t="s">
        <v>2498</v>
      </c>
      <c r="COT1" s="9" t="s">
        <v>2499</v>
      </c>
      <c r="COU1" s="9" t="s">
        <v>2500</v>
      </c>
      <c r="COV1" s="9" t="s">
        <v>2501</v>
      </c>
      <c r="COW1" s="9" t="s">
        <v>2502</v>
      </c>
      <c r="COX1" s="9" t="s">
        <v>2503</v>
      </c>
      <c r="COY1" s="9" t="s">
        <v>2504</v>
      </c>
      <c r="COZ1" s="9" t="s">
        <v>2505</v>
      </c>
      <c r="CPA1" s="9" t="s">
        <v>2506</v>
      </c>
      <c r="CPB1" s="9" t="s">
        <v>2507</v>
      </c>
      <c r="CPC1" s="9" t="s">
        <v>2508</v>
      </c>
      <c r="CPD1" s="9" t="s">
        <v>2509</v>
      </c>
      <c r="CPE1" s="9" t="s">
        <v>2510</v>
      </c>
      <c r="CPF1" s="9" t="s">
        <v>2511</v>
      </c>
      <c r="CPG1" s="9" t="s">
        <v>2512</v>
      </c>
      <c r="CPH1" s="9" t="s">
        <v>2513</v>
      </c>
      <c r="CPI1" s="9" t="s">
        <v>2514</v>
      </c>
      <c r="CPJ1" s="9" t="s">
        <v>2515</v>
      </c>
      <c r="CPK1" s="9" t="s">
        <v>2516</v>
      </c>
      <c r="CPL1" s="9" t="s">
        <v>2517</v>
      </c>
      <c r="CPM1" s="9" t="s">
        <v>2518</v>
      </c>
      <c r="CPN1" s="9" t="s">
        <v>2519</v>
      </c>
      <c r="CPO1" s="9" t="s">
        <v>2520</v>
      </c>
      <c r="CPP1" s="9" t="s">
        <v>2521</v>
      </c>
      <c r="CPQ1" s="9" t="s">
        <v>2522</v>
      </c>
      <c r="CPR1" s="9" t="s">
        <v>2523</v>
      </c>
      <c r="CPS1" s="9" t="s">
        <v>2524</v>
      </c>
      <c r="CPT1" s="9" t="s">
        <v>2525</v>
      </c>
      <c r="CPU1" s="9" t="s">
        <v>2526</v>
      </c>
      <c r="CPV1" s="9" t="s">
        <v>2527</v>
      </c>
      <c r="CPW1" s="9" t="s">
        <v>2528</v>
      </c>
      <c r="CPX1" s="9" t="s">
        <v>2529</v>
      </c>
      <c r="CPY1" s="9" t="s">
        <v>2530</v>
      </c>
      <c r="CPZ1" s="9" t="s">
        <v>2531</v>
      </c>
      <c r="CQA1" s="9" t="s">
        <v>2532</v>
      </c>
      <c r="CQB1" s="9" t="s">
        <v>2533</v>
      </c>
      <c r="CQC1" s="9" t="s">
        <v>2534</v>
      </c>
      <c r="CQD1" s="9" t="s">
        <v>2535</v>
      </c>
      <c r="CQE1" s="9" t="s">
        <v>2536</v>
      </c>
      <c r="CQF1" s="9" t="s">
        <v>2537</v>
      </c>
      <c r="CQG1" s="9" t="s">
        <v>2538</v>
      </c>
      <c r="CQH1" s="9" t="s">
        <v>2539</v>
      </c>
      <c r="CQI1" s="9" t="s">
        <v>2540</v>
      </c>
      <c r="CQJ1" s="9" t="s">
        <v>2541</v>
      </c>
      <c r="CQK1" s="9" t="s">
        <v>2542</v>
      </c>
      <c r="CQL1" s="9" t="s">
        <v>2543</v>
      </c>
      <c r="CQM1" s="9" t="s">
        <v>2544</v>
      </c>
      <c r="CQN1" s="9" t="s">
        <v>2545</v>
      </c>
      <c r="CQO1" s="9" t="s">
        <v>2546</v>
      </c>
      <c r="CQP1" s="9" t="s">
        <v>2547</v>
      </c>
      <c r="CQQ1" s="9" t="s">
        <v>2548</v>
      </c>
      <c r="CQR1" s="9" t="s">
        <v>2549</v>
      </c>
      <c r="CQS1" s="9" t="s">
        <v>2550</v>
      </c>
      <c r="CQT1" s="9" t="s">
        <v>2551</v>
      </c>
      <c r="CQU1" s="9" t="s">
        <v>2552</v>
      </c>
      <c r="CQV1" s="9" t="s">
        <v>2553</v>
      </c>
      <c r="CQW1" s="9" t="s">
        <v>2554</v>
      </c>
      <c r="CQX1" s="9" t="s">
        <v>2555</v>
      </c>
      <c r="CQY1" s="9" t="s">
        <v>2556</v>
      </c>
      <c r="CQZ1" s="9" t="s">
        <v>2557</v>
      </c>
      <c r="CRA1" s="9" t="s">
        <v>2558</v>
      </c>
      <c r="CRB1" s="9" t="s">
        <v>2559</v>
      </c>
      <c r="CRC1" s="9" t="s">
        <v>2560</v>
      </c>
      <c r="CRD1" s="9" t="s">
        <v>2561</v>
      </c>
      <c r="CRE1" s="9" t="s">
        <v>2562</v>
      </c>
      <c r="CRF1" s="9" t="s">
        <v>2563</v>
      </c>
      <c r="CRG1" s="9" t="s">
        <v>2564</v>
      </c>
      <c r="CRH1" s="9" t="s">
        <v>2565</v>
      </c>
      <c r="CRI1" s="9" t="s">
        <v>2566</v>
      </c>
      <c r="CRJ1" s="9" t="s">
        <v>2567</v>
      </c>
      <c r="CRK1" s="9" t="s">
        <v>2568</v>
      </c>
      <c r="CRL1" s="9" t="s">
        <v>2569</v>
      </c>
      <c r="CRM1" s="9" t="s">
        <v>2570</v>
      </c>
      <c r="CRN1" s="9" t="s">
        <v>2571</v>
      </c>
      <c r="CRO1" s="9" t="s">
        <v>2572</v>
      </c>
      <c r="CRP1" s="9" t="s">
        <v>2573</v>
      </c>
      <c r="CRQ1" s="9" t="s">
        <v>2574</v>
      </c>
      <c r="CRR1" s="9" t="s">
        <v>2575</v>
      </c>
      <c r="CRS1" s="9" t="s">
        <v>2576</v>
      </c>
      <c r="CRT1" s="9" t="s">
        <v>2577</v>
      </c>
      <c r="CRU1" s="9" t="s">
        <v>2578</v>
      </c>
      <c r="CRV1" s="9" t="s">
        <v>2579</v>
      </c>
      <c r="CRW1" s="9" t="s">
        <v>2580</v>
      </c>
      <c r="CRX1" s="9" t="s">
        <v>2581</v>
      </c>
      <c r="CRY1" s="9" t="s">
        <v>2582</v>
      </c>
      <c r="CRZ1" s="9" t="s">
        <v>2583</v>
      </c>
      <c r="CSA1" s="9" t="s">
        <v>2584</v>
      </c>
      <c r="CSB1" s="9" t="s">
        <v>2585</v>
      </c>
      <c r="CSC1" s="9" t="s">
        <v>2586</v>
      </c>
      <c r="CSD1" s="9" t="s">
        <v>2587</v>
      </c>
      <c r="CSE1" s="9" t="s">
        <v>2588</v>
      </c>
      <c r="CSF1" s="9" t="s">
        <v>2589</v>
      </c>
      <c r="CSG1" s="9" t="s">
        <v>2590</v>
      </c>
      <c r="CSH1" s="9" t="s">
        <v>2591</v>
      </c>
      <c r="CSI1" s="9" t="s">
        <v>2592</v>
      </c>
      <c r="CSJ1" s="9" t="s">
        <v>2593</v>
      </c>
      <c r="CSK1" s="9" t="s">
        <v>2594</v>
      </c>
      <c r="CSL1" s="9" t="s">
        <v>2595</v>
      </c>
      <c r="CSM1" s="9" t="s">
        <v>2596</v>
      </c>
      <c r="CSN1" s="9" t="s">
        <v>2597</v>
      </c>
      <c r="CSO1" s="9" t="s">
        <v>2598</v>
      </c>
      <c r="CSP1" s="9" t="s">
        <v>2599</v>
      </c>
      <c r="CSQ1" s="9" t="s">
        <v>2600</v>
      </c>
      <c r="CSR1" s="9" t="s">
        <v>2601</v>
      </c>
      <c r="CSS1" s="9" t="s">
        <v>2602</v>
      </c>
      <c r="CST1" s="9" t="s">
        <v>2603</v>
      </c>
      <c r="CSU1" s="9" t="s">
        <v>2604</v>
      </c>
      <c r="CSV1" s="9" t="s">
        <v>2605</v>
      </c>
      <c r="CSW1" s="9" t="s">
        <v>2606</v>
      </c>
      <c r="CSX1" s="9" t="s">
        <v>2607</v>
      </c>
      <c r="CSY1" s="9" t="s">
        <v>2608</v>
      </c>
      <c r="CSZ1" s="9" t="s">
        <v>2609</v>
      </c>
      <c r="CTA1" s="9" t="s">
        <v>2610</v>
      </c>
      <c r="CTB1" s="9" t="s">
        <v>2611</v>
      </c>
      <c r="CTC1" s="9" t="s">
        <v>2612</v>
      </c>
      <c r="CTD1" s="9" t="s">
        <v>2613</v>
      </c>
      <c r="CTE1" s="9" t="s">
        <v>2614</v>
      </c>
      <c r="CTF1" s="9" t="s">
        <v>2615</v>
      </c>
      <c r="CTG1" s="9" t="s">
        <v>2616</v>
      </c>
      <c r="CTH1" s="9" t="s">
        <v>2617</v>
      </c>
      <c r="CTI1" s="9" t="s">
        <v>2618</v>
      </c>
      <c r="CTJ1" s="9" t="s">
        <v>2619</v>
      </c>
      <c r="CTK1" s="9" t="s">
        <v>2620</v>
      </c>
      <c r="CTL1" s="9" t="s">
        <v>2621</v>
      </c>
      <c r="CTM1" s="9" t="s">
        <v>2622</v>
      </c>
      <c r="CTN1" s="9" t="s">
        <v>2623</v>
      </c>
      <c r="CTO1" s="9" t="s">
        <v>2624</v>
      </c>
      <c r="CTP1" s="9" t="s">
        <v>2625</v>
      </c>
      <c r="CTQ1" s="9" t="s">
        <v>2626</v>
      </c>
      <c r="CTR1" s="9" t="s">
        <v>2627</v>
      </c>
      <c r="CTS1" s="9" t="s">
        <v>2628</v>
      </c>
      <c r="CTT1" s="9" t="s">
        <v>2629</v>
      </c>
      <c r="CTU1" s="9" t="s">
        <v>2630</v>
      </c>
      <c r="CTV1" s="9" t="s">
        <v>2631</v>
      </c>
      <c r="CTW1" s="9" t="s">
        <v>2632</v>
      </c>
      <c r="CTX1" s="9" t="s">
        <v>2633</v>
      </c>
      <c r="CTY1" s="9" t="s">
        <v>2634</v>
      </c>
      <c r="CTZ1" s="9" t="s">
        <v>2635</v>
      </c>
      <c r="CUA1" s="9" t="s">
        <v>2636</v>
      </c>
      <c r="CUB1" s="9" t="s">
        <v>2637</v>
      </c>
      <c r="CUC1" s="9" t="s">
        <v>2638</v>
      </c>
      <c r="CUD1" s="9" t="s">
        <v>2639</v>
      </c>
      <c r="CUE1" s="9" t="s">
        <v>2640</v>
      </c>
      <c r="CUF1" s="9" t="s">
        <v>2641</v>
      </c>
      <c r="CUG1" s="9" t="s">
        <v>2642</v>
      </c>
      <c r="CUH1" s="9" t="s">
        <v>2643</v>
      </c>
      <c r="CUI1" s="9" t="s">
        <v>2644</v>
      </c>
      <c r="CUJ1" s="9" t="s">
        <v>2645</v>
      </c>
      <c r="CUK1" s="9" t="s">
        <v>2646</v>
      </c>
      <c r="CUL1" s="9" t="s">
        <v>2647</v>
      </c>
      <c r="CUM1" s="9" t="s">
        <v>2648</v>
      </c>
      <c r="CUN1" s="9" t="s">
        <v>2649</v>
      </c>
      <c r="CUO1" s="9" t="s">
        <v>2650</v>
      </c>
      <c r="CUP1" s="9" t="s">
        <v>2651</v>
      </c>
      <c r="CUQ1" s="9" t="s">
        <v>2652</v>
      </c>
      <c r="CUR1" s="9" t="s">
        <v>2653</v>
      </c>
      <c r="CUS1" s="9" t="s">
        <v>2654</v>
      </c>
      <c r="CUT1" s="9" t="s">
        <v>2655</v>
      </c>
      <c r="CUU1" s="9" t="s">
        <v>2656</v>
      </c>
      <c r="CUV1" s="9" t="s">
        <v>2657</v>
      </c>
      <c r="CUW1" s="9" t="s">
        <v>2658</v>
      </c>
      <c r="CUX1" s="9" t="s">
        <v>2659</v>
      </c>
      <c r="CUY1" s="9" t="s">
        <v>2660</v>
      </c>
      <c r="CUZ1" s="9" t="s">
        <v>2661</v>
      </c>
      <c r="CVA1" s="9" t="s">
        <v>2662</v>
      </c>
      <c r="CVB1" s="9" t="s">
        <v>2663</v>
      </c>
      <c r="CVC1" s="9" t="s">
        <v>2664</v>
      </c>
      <c r="CVD1" s="9" t="s">
        <v>2665</v>
      </c>
      <c r="CVE1" s="9" t="s">
        <v>2666</v>
      </c>
      <c r="CVF1" s="9" t="s">
        <v>2667</v>
      </c>
      <c r="CVG1" s="9" t="s">
        <v>2668</v>
      </c>
      <c r="CVH1" s="9" t="s">
        <v>2669</v>
      </c>
      <c r="CVI1" s="9" t="s">
        <v>2670</v>
      </c>
      <c r="CVJ1" s="9" t="s">
        <v>2671</v>
      </c>
      <c r="CVK1" s="9" t="s">
        <v>2672</v>
      </c>
      <c r="CVL1" s="9" t="s">
        <v>2673</v>
      </c>
      <c r="CVM1" s="9" t="s">
        <v>2674</v>
      </c>
      <c r="CVN1" s="9" t="s">
        <v>2675</v>
      </c>
      <c r="CVO1" s="9" t="s">
        <v>2676</v>
      </c>
      <c r="CVP1" s="9" t="s">
        <v>2677</v>
      </c>
      <c r="CVQ1" s="9" t="s">
        <v>2678</v>
      </c>
      <c r="CVR1" s="9" t="s">
        <v>2679</v>
      </c>
      <c r="CVS1" s="9" t="s">
        <v>2680</v>
      </c>
      <c r="CVT1" s="9" t="s">
        <v>2681</v>
      </c>
      <c r="CVU1" s="9" t="s">
        <v>2682</v>
      </c>
      <c r="CVV1" s="9" t="s">
        <v>2683</v>
      </c>
      <c r="CVW1" s="9" t="s">
        <v>2684</v>
      </c>
      <c r="CVX1" s="9" t="s">
        <v>2685</v>
      </c>
      <c r="CVY1" s="9" t="s">
        <v>2686</v>
      </c>
      <c r="CVZ1" s="9" t="s">
        <v>2687</v>
      </c>
      <c r="CWA1" s="9" t="s">
        <v>2688</v>
      </c>
      <c r="CWB1" s="9" t="s">
        <v>2689</v>
      </c>
      <c r="CWC1" s="9" t="s">
        <v>2690</v>
      </c>
      <c r="CWD1" s="9" t="s">
        <v>2691</v>
      </c>
      <c r="CWE1" s="9" t="s">
        <v>2692</v>
      </c>
      <c r="CWF1" s="9" t="s">
        <v>2693</v>
      </c>
      <c r="CWG1" s="9" t="s">
        <v>2694</v>
      </c>
      <c r="CWH1" s="9" t="s">
        <v>2695</v>
      </c>
      <c r="CWI1" s="9" t="s">
        <v>2696</v>
      </c>
      <c r="CWJ1" s="9" t="s">
        <v>2697</v>
      </c>
      <c r="CWK1" s="9" t="s">
        <v>2698</v>
      </c>
      <c r="CWL1" s="9" t="s">
        <v>2699</v>
      </c>
      <c r="CWM1" s="9" t="s">
        <v>2700</v>
      </c>
      <c r="CWN1" s="9" t="s">
        <v>2701</v>
      </c>
      <c r="CWO1" s="9" t="s">
        <v>2702</v>
      </c>
      <c r="CWP1" s="9" t="s">
        <v>2703</v>
      </c>
      <c r="CWQ1" s="9" t="s">
        <v>2704</v>
      </c>
      <c r="CWR1" s="9" t="s">
        <v>2705</v>
      </c>
      <c r="CWS1" s="9" t="s">
        <v>2706</v>
      </c>
      <c r="CWT1" s="9" t="s">
        <v>2707</v>
      </c>
      <c r="CWU1" s="9" t="s">
        <v>2708</v>
      </c>
      <c r="CWV1" s="9" t="s">
        <v>2709</v>
      </c>
      <c r="CWW1" s="9" t="s">
        <v>2710</v>
      </c>
      <c r="CWX1" s="9" t="s">
        <v>2711</v>
      </c>
      <c r="CWY1" s="9" t="s">
        <v>2712</v>
      </c>
      <c r="CWZ1" s="9" t="s">
        <v>2713</v>
      </c>
      <c r="CXA1" s="9" t="s">
        <v>2714</v>
      </c>
      <c r="CXB1" s="9" t="s">
        <v>2715</v>
      </c>
      <c r="CXC1" s="9" t="s">
        <v>2716</v>
      </c>
      <c r="CXD1" s="9" t="s">
        <v>2717</v>
      </c>
      <c r="CXE1" s="9" t="s">
        <v>2718</v>
      </c>
      <c r="CXF1" s="9" t="s">
        <v>2719</v>
      </c>
      <c r="CXG1" s="9" t="s">
        <v>2720</v>
      </c>
      <c r="CXH1" s="9" t="s">
        <v>2721</v>
      </c>
      <c r="CXI1" s="9" t="s">
        <v>2722</v>
      </c>
      <c r="CXJ1" s="9" t="s">
        <v>2723</v>
      </c>
      <c r="CXK1" s="9" t="s">
        <v>2724</v>
      </c>
      <c r="CXL1" s="9" t="s">
        <v>2725</v>
      </c>
      <c r="CXM1" s="9" t="s">
        <v>2726</v>
      </c>
      <c r="CXN1" s="9" t="s">
        <v>2727</v>
      </c>
      <c r="CXO1" s="9" t="s">
        <v>2728</v>
      </c>
      <c r="CXP1" s="9" t="s">
        <v>2729</v>
      </c>
      <c r="CXQ1" s="9" t="s">
        <v>2730</v>
      </c>
      <c r="CXR1" s="9" t="s">
        <v>2731</v>
      </c>
      <c r="CXS1" s="9" t="s">
        <v>2732</v>
      </c>
      <c r="CXT1" s="9" t="s">
        <v>2733</v>
      </c>
      <c r="CXU1" s="9" t="s">
        <v>2734</v>
      </c>
      <c r="CXV1" s="9" t="s">
        <v>2735</v>
      </c>
      <c r="CXW1" s="9" t="s">
        <v>2736</v>
      </c>
      <c r="CXX1" s="9" t="s">
        <v>2737</v>
      </c>
      <c r="CXY1" s="9" t="s">
        <v>2738</v>
      </c>
      <c r="CXZ1" s="9" t="s">
        <v>2739</v>
      </c>
      <c r="CYA1" s="9" t="s">
        <v>2740</v>
      </c>
      <c r="CYB1" s="9" t="s">
        <v>2741</v>
      </c>
      <c r="CYC1" s="9" t="s">
        <v>2742</v>
      </c>
      <c r="CYD1" s="9" t="s">
        <v>2743</v>
      </c>
      <c r="CYE1" s="9" t="s">
        <v>2744</v>
      </c>
      <c r="CYF1" s="9" t="s">
        <v>2745</v>
      </c>
      <c r="CYG1" s="9" t="s">
        <v>2746</v>
      </c>
      <c r="CYH1" s="9" t="s">
        <v>2747</v>
      </c>
      <c r="CYI1" s="9" t="s">
        <v>2748</v>
      </c>
      <c r="CYJ1" s="9" t="s">
        <v>2749</v>
      </c>
      <c r="CYK1" s="9" t="s">
        <v>2750</v>
      </c>
      <c r="CYL1" s="9" t="s">
        <v>2751</v>
      </c>
      <c r="CYM1" s="9" t="s">
        <v>2752</v>
      </c>
      <c r="CYN1" s="9" t="s">
        <v>2753</v>
      </c>
      <c r="CYO1" s="9" t="s">
        <v>2754</v>
      </c>
      <c r="CYP1" s="9" t="s">
        <v>2755</v>
      </c>
      <c r="CYQ1" s="9" t="s">
        <v>2756</v>
      </c>
      <c r="CYR1" s="9" t="s">
        <v>2757</v>
      </c>
      <c r="CYS1" s="9" t="s">
        <v>2758</v>
      </c>
      <c r="CYT1" s="9" t="s">
        <v>2759</v>
      </c>
      <c r="CYU1" s="9" t="s">
        <v>2760</v>
      </c>
      <c r="CYV1" s="9" t="s">
        <v>2761</v>
      </c>
      <c r="CYW1" s="9" t="s">
        <v>2762</v>
      </c>
      <c r="CYX1" s="9" t="s">
        <v>2763</v>
      </c>
      <c r="CYY1" s="9" t="s">
        <v>2764</v>
      </c>
      <c r="CYZ1" s="9" t="s">
        <v>2765</v>
      </c>
      <c r="CZA1" s="9" t="s">
        <v>2766</v>
      </c>
      <c r="CZB1" s="9" t="s">
        <v>2767</v>
      </c>
      <c r="CZC1" s="9" t="s">
        <v>2768</v>
      </c>
      <c r="CZD1" s="9" t="s">
        <v>2769</v>
      </c>
      <c r="CZE1" s="9" t="s">
        <v>2770</v>
      </c>
      <c r="CZF1" s="9" t="s">
        <v>2771</v>
      </c>
      <c r="CZG1" s="9" t="s">
        <v>2772</v>
      </c>
      <c r="CZH1" s="9" t="s">
        <v>2773</v>
      </c>
      <c r="CZI1" s="9" t="s">
        <v>2774</v>
      </c>
      <c r="CZJ1" s="9" t="s">
        <v>2775</v>
      </c>
      <c r="CZK1" s="9" t="s">
        <v>2776</v>
      </c>
      <c r="CZL1" s="9" t="s">
        <v>2777</v>
      </c>
      <c r="CZM1" s="9" t="s">
        <v>2778</v>
      </c>
      <c r="CZN1" s="9" t="s">
        <v>2779</v>
      </c>
      <c r="CZO1" s="9" t="s">
        <v>2780</v>
      </c>
      <c r="CZP1" s="9" t="s">
        <v>2781</v>
      </c>
      <c r="CZQ1" s="9" t="s">
        <v>2782</v>
      </c>
      <c r="CZR1" s="9" t="s">
        <v>2783</v>
      </c>
      <c r="CZS1" s="9" t="s">
        <v>2784</v>
      </c>
      <c r="CZT1" s="9" t="s">
        <v>2785</v>
      </c>
      <c r="CZU1" s="9" t="s">
        <v>2786</v>
      </c>
      <c r="CZV1" s="9" t="s">
        <v>2787</v>
      </c>
      <c r="CZW1" s="9" t="s">
        <v>2788</v>
      </c>
      <c r="CZX1" s="9" t="s">
        <v>2789</v>
      </c>
      <c r="CZY1" s="9" t="s">
        <v>2790</v>
      </c>
      <c r="CZZ1" s="9" t="s">
        <v>2791</v>
      </c>
      <c r="DAA1" s="9" t="s">
        <v>2792</v>
      </c>
      <c r="DAB1" s="9" t="s">
        <v>2793</v>
      </c>
      <c r="DAC1" s="9" t="s">
        <v>2794</v>
      </c>
      <c r="DAD1" s="9" t="s">
        <v>2795</v>
      </c>
      <c r="DAE1" s="9" t="s">
        <v>2796</v>
      </c>
      <c r="DAF1" s="9" t="s">
        <v>2797</v>
      </c>
      <c r="DAG1" s="9" t="s">
        <v>2798</v>
      </c>
      <c r="DAH1" s="9" t="s">
        <v>2799</v>
      </c>
      <c r="DAI1" s="9" t="s">
        <v>2800</v>
      </c>
      <c r="DAJ1" s="9" t="s">
        <v>2801</v>
      </c>
      <c r="DAK1" s="9" t="s">
        <v>2802</v>
      </c>
      <c r="DAL1" s="9" t="s">
        <v>2803</v>
      </c>
      <c r="DAM1" s="9" t="s">
        <v>2804</v>
      </c>
      <c r="DAN1" s="9" t="s">
        <v>2805</v>
      </c>
      <c r="DAO1" s="9" t="s">
        <v>2806</v>
      </c>
      <c r="DAP1" s="9" t="s">
        <v>2807</v>
      </c>
      <c r="DAQ1" s="9" t="s">
        <v>2808</v>
      </c>
      <c r="DAR1" s="9" t="s">
        <v>2809</v>
      </c>
      <c r="DAS1" s="9" t="s">
        <v>2810</v>
      </c>
      <c r="DAT1" s="9" t="s">
        <v>2811</v>
      </c>
      <c r="DAU1" s="9" t="s">
        <v>2812</v>
      </c>
      <c r="DAV1" s="9" t="s">
        <v>2813</v>
      </c>
      <c r="DAW1" s="9" t="s">
        <v>2814</v>
      </c>
      <c r="DAX1" s="9" t="s">
        <v>2815</v>
      </c>
      <c r="DAY1" s="9" t="s">
        <v>2816</v>
      </c>
      <c r="DAZ1" s="9" t="s">
        <v>2817</v>
      </c>
      <c r="DBA1" s="9" t="s">
        <v>2818</v>
      </c>
      <c r="DBB1" s="9" t="s">
        <v>2819</v>
      </c>
      <c r="DBC1" s="9" t="s">
        <v>2820</v>
      </c>
      <c r="DBD1" s="9" t="s">
        <v>2821</v>
      </c>
      <c r="DBE1" s="9" t="s">
        <v>2822</v>
      </c>
      <c r="DBF1" s="9" t="s">
        <v>2823</v>
      </c>
      <c r="DBG1" s="9" t="s">
        <v>2824</v>
      </c>
      <c r="DBH1" s="9" t="s">
        <v>2825</v>
      </c>
      <c r="DBI1" s="9" t="s">
        <v>2826</v>
      </c>
      <c r="DBJ1" s="9" t="s">
        <v>2827</v>
      </c>
      <c r="DBK1" s="9" t="s">
        <v>2828</v>
      </c>
      <c r="DBL1" s="9" t="s">
        <v>2829</v>
      </c>
      <c r="DBM1" s="9" t="s">
        <v>2830</v>
      </c>
      <c r="DBN1" s="9" t="s">
        <v>2831</v>
      </c>
      <c r="DBO1" s="9" t="s">
        <v>2832</v>
      </c>
      <c r="DBP1" s="9" t="s">
        <v>2833</v>
      </c>
      <c r="DBQ1" s="9" t="s">
        <v>2834</v>
      </c>
      <c r="DBR1" s="9" t="s">
        <v>2835</v>
      </c>
      <c r="DBS1" s="9" t="s">
        <v>2836</v>
      </c>
      <c r="DBT1" s="9" t="s">
        <v>2837</v>
      </c>
      <c r="DBU1" s="9" t="s">
        <v>2838</v>
      </c>
      <c r="DBV1" s="9" t="s">
        <v>2839</v>
      </c>
      <c r="DBW1" s="9" t="s">
        <v>2840</v>
      </c>
      <c r="DBX1" s="9" t="s">
        <v>2841</v>
      </c>
      <c r="DBY1" s="9" t="s">
        <v>2842</v>
      </c>
      <c r="DBZ1" s="9" t="s">
        <v>2843</v>
      </c>
      <c r="DCA1" s="9" t="s">
        <v>2844</v>
      </c>
      <c r="DCB1" s="9" t="s">
        <v>2845</v>
      </c>
      <c r="DCC1" s="9" t="s">
        <v>2846</v>
      </c>
      <c r="DCD1" s="9" t="s">
        <v>2847</v>
      </c>
      <c r="DCE1" s="9" t="s">
        <v>2848</v>
      </c>
      <c r="DCF1" s="9" t="s">
        <v>2849</v>
      </c>
      <c r="DCG1" s="9" t="s">
        <v>2850</v>
      </c>
      <c r="DCH1" s="9" t="s">
        <v>2851</v>
      </c>
      <c r="DCI1" s="9" t="s">
        <v>2852</v>
      </c>
      <c r="DCJ1" s="9" t="s">
        <v>2853</v>
      </c>
      <c r="DCK1" s="9" t="s">
        <v>2854</v>
      </c>
      <c r="DCL1" s="9" t="s">
        <v>2855</v>
      </c>
      <c r="DCM1" s="9" t="s">
        <v>2856</v>
      </c>
      <c r="DCN1" s="9" t="s">
        <v>2857</v>
      </c>
      <c r="DCO1" s="9" t="s">
        <v>2858</v>
      </c>
      <c r="DCP1" s="9" t="s">
        <v>2859</v>
      </c>
      <c r="DCQ1" s="9" t="s">
        <v>2860</v>
      </c>
      <c r="DCR1" s="9" t="s">
        <v>2861</v>
      </c>
      <c r="DCS1" s="9" t="s">
        <v>2862</v>
      </c>
      <c r="DCT1" s="9" t="s">
        <v>2863</v>
      </c>
      <c r="DCU1" s="9" t="s">
        <v>2864</v>
      </c>
      <c r="DCV1" s="9" t="s">
        <v>2865</v>
      </c>
      <c r="DCW1" s="9" t="s">
        <v>2866</v>
      </c>
      <c r="DCX1" s="9" t="s">
        <v>2867</v>
      </c>
      <c r="DCY1" s="9" t="s">
        <v>2868</v>
      </c>
      <c r="DCZ1" s="9" t="s">
        <v>2869</v>
      </c>
      <c r="DDA1" s="9" t="s">
        <v>2870</v>
      </c>
      <c r="DDB1" s="9" t="s">
        <v>2871</v>
      </c>
      <c r="DDC1" s="9" t="s">
        <v>2872</v>
      </c>
      <c r="DDD1" s="9" t="s">
        <v>2873</v>
      </c>
      <c r="DDE1" s="9" t="s">
        <v>2874</v>
      </c>
      <c r="DDF1" s="9" t="s">
        <v>2875</v>
      </c>
      <c r="DDG1" s="9" t="s">
        <v>2876</v>
      </c>
      <c r="DDH1" s="9" t="s">
        <v>2877</v>
      </c>
      <c r="DDI1" s="9" t="s">
        <v>2878</v>
      </c>
      <c r="DDJ1" s="9" t="s">
        <v>2879</v>
      </c>
      <c r="DDK1" s="9" t="s">
        <v>2880</v>
      </c>
      <c r="DDL1" s="9" t="s">
        <v>2881</v>
      </c>
      <c r="DDM1" s="9" t="s">
        <v>2882</v>
      </c>
      <c r="DDN1" s="9" t="s">
        <v>2883</v>
      </c>
      <c r="DDO1" s="9" t="s">
        <v>2884</v>
      </c>
      <c r="DDP1" s="9" t="s">
        <v>2885</v>
      </c>
      <c r="DDQ1" s="9" t="s">
        <v>2886</v>
      </c>
      <c r="DDR1" s="9" t="s">
        <v>2887</v>
      </c>
      <c r="DDS1" s="9" t="s">
        <v>2888</v>
      </c>
      <c r="DDT1" s="9" t="s">
        <v>2889</v>
      </c>
      <c r="DDU1" s="9" t="s">
        <v>2890</v>
      </c>
      <c r="DDV1" s="9" t="s">
        <v>2891</v>
      </c>
      <c r="DDW1" s="9" t="s">
        <v>2892</v>
      </c>
      <c r="DDX1" s="9" t="s">
        <v>2893</v>
      </c>
      <c r="DDY1" s="9" t="s">
        <v>2894</v>
      </c>
      <c r="DDZ1" s="9" t="s">
        <v>2895</v>
      </c>
      <c r="DEA1" s="9" t="s">
        <v>2896</v>
      </c>
      <c r="DEB1" s="9" t="s">
        <v>2897</v>
      </c>
      <c r="DEC1" s="9" t="s">
        <v>2898</v>
      </c>
      <c r="DED1" s="9" t="s">
        <v>2899</v>
      </c>
      <c r="DEE1" s="9" t="s">
        <v>2900</v>
      </c>
      <c r="DEF1" s="9" t="s">
        <v>2901</v>
      </c>
      <c r="DEG1" s="9" t="s">
        <v>2902</v>
      </c>
      <c r="DEH1" s="9" t="s">
        <v>2903</v>
      </c>
      <c r="DEI1" s="9" t="s">
        <v>2904</v>
      </c>
      <c r="DEJ1" s="9" t="s">
        <v>2905</v>
      </c>
      <c r="DEK1" s="9" t="s">
        <v>2906</v>
      </c>
      <c r="DEL1" s="9" t="s">
        <v>2907</v>
      </c>
      <c r="DEM1" s="9" t="s">
        <v>2908</v>
      </c>
      <c r="DEN1" s="9" t="s">
        <v>2909</v>
      </c>
      <c r="DEO1" s="9" t="s">
        <v>2910</v>
      </c>
      <c r="DEP1" s="9" t="s">
        <v>2911</v>
      </c>
      <c r="DEQ1" s="9" t="s">
        <v>2912</v>
      </c>
      <c r="DER1" s="9" t="s">
        <v>2913</v>
      </c>
      <c r="DES1" s="9" t="s">
        <v>2914</v>
      </c>
      <c r="DET1" s="9" t="s">
        <v>2915</v>
      </c>
      <c r="DEU1" s="9" t="s">
        <v>2916</v>
      </c>
      <c r="DEV1" s="9" t="s">
        <v>2917</v>
      </c>
      <c r="DEW1" s="9" t="s">
        <v>2918</v>
      </c>
      <c r="DEX1" s="9" t="s">
        <v>2919</v>
      </c>
      <c r="DEY1" s="9" t="s">
        <v>2920</v>
      </c>
      <c r="DEZ1" s="9" t="s">
        <v>2921</v>
      </c>
      <c r="DFA1" s="9" t="s">
        <v>2922</v>
      </c>
      <c r="DFB1" s="9" t="s">
        <v>2923</v>
      </c>
      <c r="DFC1" s="9" t="s">
        <v>2924</v>
      </c>
      <c r="DFD1" s="9" t="s">
        <v>2925</v>
      </c>
      <c r="DFE1" s="9" t="s">
        <v>2926</v>
      </c>
      <c r="DFF1" s="9" t="s">
        <v>2927</v>
      </c>
      <c r="DFG1" s="9" t="s">
        <v>2928</v>
      </c>
      <c r="DFH1" s="9" t="s">
        <v>2929</v>
      </c>
      <c r="DFI1" s="9" t="s">
        <v>2930</v>
      </c>
      <c r="DFJ1" s="9" t="s">
        <v>2931</v>
      </c>
      <c r="DFK1" s="9" t="s">
        <v>2932</v>
      </c>
      <c r="DFL1" s="9" t="s">
        <v>2933</v>
      </c>
      <c r="DFM1" s="9" t="s">
        <v>2934</v>
      </c>
      <c r="DFN1" s="9" t="s">
        <v>2935</v>
      </c>
      <c r="DFO1" s="9" t="s">
        <v>2936</v>
      </c>
      <c r="DFP1" s="9" t="s">
        <v>2937</v>
      </c>
      <c r="DFQ1" s="9" t="s">
        <v>2938</v>
      </c>
      <c r="DFR1" s="9" t="s">
        <v>2939</v>
      </c>
      <c r="DFS1" s="9" t="s">
        <v>2940</v>
      </c>
      <c r="DFT1" s="9" t="s">
        <v>2941</v>
      </c>
      <c r="DFU1" s="9" t="s">
        <v>2942</v>
      </c>
      <c r="DFV1" s="9" t="s">
        <v>2943</v>
      </c>
      <c r="DFW1" s="9" t="s">
        <v>2944</v>
      </c>
      <c r="DFX1" s="9" t="s">
        <v>2945</v>
      </c>
      <c r="DFY1" s="9" t="s">
        <v>2946</v>
      </c>
      <c r="DFZ1" s="9" t="s">
        <v>2947</v>
      </c>
      <c r="DGA1" s="9" t="s">
        <v>2948</v>
      </c>
      <c r="DGB1" s="9" t="s">
        <v>2949</v>
      </c>
      <c r="DGC1" s="9" t="s">
        <v>2950</v>
      </c>
      <c r="DGD1" s="9" t="s">
        <v>2951</v>
      </c>
      <c r="DGE1" s="9" t="s">
        <v>2952</v>
      </c>
      <c r="DGF1" s="9" t="s">
        <v>2953</v>
      </c>
      <c r="DGG1" s="9" t="s">
        <v>2954</v>
      </c>
      <c r="DGH1" s="9" t="s">
        <v>2955</v>
      </c>
      <c r="DGI1" s="9" t="s">
        <v>2956</v>
      </c>
      <c r="DGJ1" s="9" t="s">
        <v>2957</v>
      </c>
      <c r="DGK1" s="9" t="s">
        <v>2958</v>
      </c>
      <c r="DGL1" s="9" t="s">
        <v>2959</v>
      </c>
      <c r="DGM1" s="9" t="s">
        <v>2960</v>
      </c>
      <c r="DGN1" s="9" t="s">
        <v>2961</v>
      </c>
      <c r="DGO1" s="9" t="s">
        <v>2962</v>
      </c>
      <c r="DGP1" s="9" t="s">
        <v>2963</v>
      </c>
      <c r="DGQ1" s="9" t="s">
        <v>2964</v>
      </c>
      <c r="DGR1" s="9" t="s">
        <v>2965</v>
      </c>
      <c r="DGS1" s="9" t="s">
        <v>2966</v>
      </c>
      <c r="DGT1" s="9" t="s">
        <v>2967</v>
      </c>
      <c r="DGU1" s="9" t="s">
        <v>2968</v>
      </c>
      <c r="DGV1" s="9" t="s">
        <v>2969</v>
      </c>
      <c r="DGW1" s="9" t="s">
        <v>2970</v>
      </c>
      <c r="DGX1" s="9" t="s">
        <v>2971</v>
      </c>
      <c r="DGY1" s="9" t="s">
        <v>2972</v>
      </c>
      <c r="DGZ1" s="9" t="s">
        <v>2973</v>
      </c>
      <c r="DHA1" s="9" t="s">
        <v>2974</v>
      </c>
      <c r="DHB1" s="9" t="s">
        <v>2975</v>
      </c>
      <c r="DHC1" s="9" t="s">
        <v>2976</v>
      </c>
      <c r="DHD1" s="9" t="s">
        <v>2977</v>
      </c>
      <c r="DHE1" s="9" t="s">
        <v>2978</v>
      </c>
      <c r="DHF1" s="9" t="s">
        <v>2979</v>
      </c>
      <c r="DHG1" s="9" t="s">
        <v>2980</v>
      </c>
      <c r="DHH1" s="9" t="s">
        <v>2981</v>
      </c>
      <c r="DHI1" s="9" t="s">
        <v>2982</v>
      </c>
      <c r="DHJ1" s="9" t="s">
        <v>2983</v>
      </c>
      <c r="DHK1" s="9" t="s">
        <v>2984</v>
      </c>
      <c r="DHL1" s="9" t="s">
        <v>2985</v>
      </c>
      <c r="DHM1" s="9" t="s">
        <v>2986</v>
      </c>
      <c r="DHN1" s="9" t="s">
        <v>2987</v>
      </c>
      <c r="DHO1" s="9" t="s">
        <v>2988</v>
      </c>
      <c r="DHP1" s="9" t="s">
        <v>2989</v>
      </c>
      <c r="DHQ1" s="9" t="s">
        <v>2990</v>
      </c>
      <c r="DHR1" s="9" t="s">
        <v>2991</v>
      </c>
      <c r="DHS1" s="9" t="s">
        <v>2992</v>
      </c>
      <c r="DHT1" s="9" t="s">
        <v>2993</v>
      </c>
      <c r="DHU1" s="9" t="s">
        <v>2994</v>
      </c>
      <c r="DHV1" s="9" t="s">
        <v>2995</v>
      </c>
      <c r="DHW1" s="9" t="s">
        <v>2996</v>
      </c>
      <c r="DHX1" s="9" t="s">
        <v>2997</v>
      </c>
      <c r="DHY1" s="9" t="s">
        <v>2998</v>
      </c>
      <c r="DHZ1" s="9" t="s">
        <v>2999</v>
      </c>
      <c r="DIA1" s="9" t="s">
        <v>3000</v>
      </c>
      <c r="DIB1" s="9" t="s">
        <v>3001</v>
      </c>
      <c r="DIC1" s="9" t="s">
        <v>3002</v>
      </c>
      <c r="DID1" s="9" t="s">
        <v>3003</v>
      </c>
      <c r="DIE1" s="9" t="s">
        <v>3004</v>
      </c>
      <c r="DIF1" s="9" t="s">
        <v>3005</v>
      </c>
      <c r="DIG1" s="9" t="s">
        <v>3006</v>
      </c>
      <c r="DIH1" s="9" t="s">
        <v>3007</v>
      </c>
      <c r="DII1" s="9" t="s">
        <v>3008</v>
      </c>
      <c r="DIJ1" s="9" t="s">
        <v>3009</v>
      </c>
      <c r="DIK1" s="9" t="s">
        <v>3010</v>
      </c>
      <c r="DIL1" s="9" t="s">
        <v>3011</v>
      </c>
      <c r="DIM1" s="9" t="s">
        <v>3012</v>
      </c>
      <c r="DIN1" s="9" t="s">
        <v>3013</v>
      </c>
      <c r="DIO1" s="9" t="s">
        <v>3014</v>
      </c>
      <c r="DIP1" s="9" t="s">
        <v>3015</v>
      </c>
      <c r="DIQ1" s="9" t="s">
        <v>3016</v>
      </c>
      <c r="DIR1" s="9" t="s">
        <v>3017</v>
      </c>
      <c r="DIS1" s="9" t="s">
        <v>3018</v>
      </c>
      <c r="DIT1" s="9" t="s">
        <v>3019</v>
      </c>
      <c r="DIU1" s="9" t="s">
        <v>3020</v>
      </c>
      <c r="DIV1" s="9" t="s">
        <v>3021</v>
      </c>
      <c r="DIW1" s="9" t="s">
        <v>3022</v>
      </c>
      <c r="DIX1" s="9" t="s">
        <v>3023</v>
      </c>
      <c r="DIY1" s="9" t="s">
        <v>3024</v>
      </c>
      <c r="DIZ1" s="9" t="s">
        <v>3025</v>
      </c>
      <c r="DJA1" s="9" t="s">
        <v>3026</v>
      </c>
      <c r="DJB1" s="9" t="s">
        <v>3027</v>
      </c>
      <c r="DJC1" s="9" t="s">
        <v>3028</v>
      </c>
      <c r="DJD1" s="9" t="s">
        <v>3029</v>
      </c>
      <c r="DJE1" s="9" t="s">
        <v>3030</v>
      </c>
      <c r="DJF1" s="9" t="s">
        <v>3031</v>
      </c>
      <c r="DJG1" s="9" t="s">
        <v>3032</v>
      </c>
      <c r="DJH1" s="9" t="s">
        <v>3033</v>
      </c>
      <c r="DJI1" s="9" t="s">
        <v>3034</v>
      </c>
      <c r="DJJ1" s="9" t="s">
        <v>3035</v>
      </c>
      <c r="DJK1" s="9" t="s">
        <v>3036</v>
      </c>
      <c r="DJL1" s="9" t="s">
        <v>3037</v>
      </c>
      <c r="DJM1" s="9" t="s">
        <v>3038</v>
      </c>
      <c r="DJN1" s="9" t="s">
        <v>3039</v>
      </c>
      <c r="DJO1" s="9" t="s">
        <v>3040</v>
      </c>
      <c r="DJP1" s="9" t="s">
        <v>3041</v>
      </c>
      <c r="DJQ1" s="9" t="s">
        <v>3042</v>
      </c>
      <c r="DJR1" s="9" t="s">
        <v>3043</v>
      </c>
      <c r="DJS1" s="9" t="s">
        <v>3044</v>
      </c>
      <c r="DJT1" s="9" t="s">
        <v>3045</v>
      </c>
      <c r="DJU1" s="9" t="s">
        <v>3046</v>
      </c>
      <c r="DJV1" s="9" t="s">
        <v>3047</v>
      </c>
      <c r="DJW1" s="9" t="s">
        <v>3048</v>
      </c>
      <c r="DJX1" s="9" t="s">
        <v>3049</v>
      </c>
      <c r="DJY1" s="9" t="s">
        <v>3050</v>
      </c>
      <c r="DJZ1" s="9" t="s">
        <v>3051</v>
      </c>
      <c r="DKA1" s="9" t="s">
        <v>3052</v>
      </c>
      <c r="DKB1" s="9" t="s">
        <v>3053</v>
      </c>
      <c r="DKC1" s="9" t="s">
        <v>3054</v>
      </c>
      <c r="DKD1" s="9" t="s">
        <v>3055</v>
      </c>
      <c r="DKE1" s="9" t="s">
        <v>3056</v>
      </c>
      <c r="DKF1" s="9" t="s">
        <v>3057</v>
      </c>
      <c r="DKG1" s="9" t="s">
        <v>3058</v>
      </c>
      <c r="DKH1" s="9" t="s">
        <v>3059</v>
      </c>
      <c r="DKI1" s="9" t="s">
        <v>3060</v>
      </c>
      <c r="DKJ1" s="9" t="s">
        <v>3061</v>
      </c>
      <c r="DKK1" s="9" t="s">
        <v>3062</v>
      </c>
      <c r="DKL1" s="9" t="s">
        <v>3063</v>
      </c>
      <c r="DKM1" s="9" t="s">
        <v>3064</v>
      </c>
      <c r="DKN1" s="9" t="s">
        <v>3065</v>
      </c>
      <c r="DKO1" s="9" t="s">
        <v>3066</v>
      </c>
      <c r="DKP1" s="9" t="s">
        <v>3067</v>
      </c>
      <c r="DKQ1" s="9" t="s">
        <v>3068</v>
      </c>
      <c r="DKR1" s="9" t="s">
        <v>3069</v>
      </c>
      <c r="DKS1" s="9" t="s">
        <v>3070</v>
      </c>
      <c r="DKT1" s="9" t="s">
        <v>3071</v>
      </c>
      <c r="DKU1" s="9" t="s">
        <v>3072</v>
      </c>
      <c r="DKV1" s="9" t="s">
        <v>3073</v>
      </c>
      <c r="DKW1" s="9" t="s">
        <v>3074</v>
      </c>
      <c r="DKX1" s="9" t="s">
        <v>3075</v>
      </c>
      <c r="DKY1" s="9" t="s">
        <v>3076</v>
      </c>
      <c r="DKZ1" s="9" t="s">
        <v>3077</v>
      </c>
      <c r="DLA1" s="9" t="s">
        <v>3078</v>
      </c>
      <c r="DLB1" s="9" t="s">
        <v>3079</v>
      </c>
      <c r="DLC1" s="9" t="s">
        <v>3080</v>
      </c>
      <c r="DLD1" s="9" t="s">
        <v>3081</v>
      </c>
      <c r="DLE1" s="9" t="s">
        <v>3082</v>
      </c>
      <c r="DLF1" s="9" t="s">
        <v>3083</v>
      </c>
      <c r="DLG1" s="9" t="s">
        <v>3084</v>
      </c>
      <c r="DLH1" s="9" t="s">
        <v>3085</v>
      </c>
      <c r="DLI1" s="9" t="s">
        <v>3086</v>
      </c>
      <c r="DLJ1" s="9" t="s">
        <v>3087</v>
      </c>
      <c r="DLK1" s="9" t="s">
        <v>3088</v>
      </c>
      <c r="DLL1" s="9" t="s">
        <v>3089</v>
      </c>
      <c r="DLM1" s="9" t="s">
        <v>3090</v>
      </c>
      <c r="DLN1" s="9" t="s">
        <v>3091</v>
      </c>
      <c r="DLO1" s="9" t="s">
        <v>3092</v>
      </c>
      <c r="DLP1" s="9" t="s">
        <v>3093</v>
      </c>
      <c r="DLQ1" s="9" t="s">
        <v>3094</v>
      </c>
      <c r="DLR1" s="9" t="s">
        <v>3095</v>
      </c>
      <c r="DLS1" s="9" t="s">
        <v>3096</v>
      </c>
      <c r="DLT1" s="9" t="s">
        <v>3097</v>
      </c>
      <c r="DLU1" s="9" t="s">
        <v>3098</v>
      </c>
      <c r="DLV1" s="9" t="s">
        <v>3099</v>
      </c>
      <c r="DLW1" s="9" t="s">
        <v>3100</v>
      </c>
      <c r="DLX1" s="9" t="s">
        <v>3101</v>
      </c>
      <c r="DLY1" s="9" t="s">
        <v>3102</v>
      </c>
      <c r="DLZ1" s="9" t="s">
        <v>3103</v>
      </c>
      <c r="DMA1" s="9" t="s">
        <v>3104</v>
      </c>
      <c r="DMB1" s="9" t="s">
        <v>3105</v>
      </c>
      <c r="DMC1" s="9" t="s">
        <v>3106</v>
      </c>
      <c r="DMD1" s="9" t="s">
        <v>3107</v>
      </c>
      <c r="DME1" s="9" t="s">
        <v>3108</v>
      </c>
      <c r="DMF1" s="9" t="s">
        <v>3109</v>
      </c>
      <c r="DMG1" s="9" t="s">
        <v>3110</v>
      </c>
      <c r="DMH1" s="9" t="s">
        <v>3111</v>
      </c>
      <c r="DMI1" s="9" t="s">
        <v>3112</v>
      </c>
      <c r="DMJ1" s="9" t="s">
        <v>3113</v>
      </c>
      <c r="DMK1" s="9" t="s">
        <v>3114</v>
      </c>
      <c r="DML1" s="9" t="s">
        <v>3115</v>
      </c>
      <c r="DMM1" s="9" t="s">
        <v>3116</v>
      </c>
      <c r="DMN1" s="9" t="s">
        <v>3117</v>
      </c>
      <c r="DMO1" s="9" t="s">
        <v>3118</v>
      </c>
      <c r="DMP1" s="9" t="s">
        <v>3119</v>
      </c>
      <c r="DMQ1" s="9" t="s">
        <v>3120</v>
      </c>
      <c r="DMR1" s="9" t="s">
        <v>3121</v>
      </c>
      <c r="DMS1" s="9" t="s">
        <v>3122</v>
      </c>
      <c r="DMT1" s="9" t="s">
        <v>3123</v>
      </c>
      <c r="DMU1" s="9" t="s">
        <v>3124</v>
      </c>
      <c r="DMV1" s="9" t="s">
        <v>3125</v>
      </c>
      <c r="DMW1" s="9" t="s">
        <v>3126</v>
      </c>
      <c r="DMX1" s="9" t="s">
        <v>3127</v>
      </c>
      <c r="DMY1" s="9" t="s">
        <v>3128</v>
      </c>
      <c r="DMZ1" s="9" t="s">
        <v>3129</v>
      </c>
      <c r="DNA1" s="9" t="s">
        <v>3130</v>
      </c>
      <c r="DNB1" s="9" t="s">
        <v>3131</v>
      </c>
      <c r="DNC1" s="9" t="s">
        <v>3132</v>
      </c>
      <c r="DND1" s="9" t="s">
        <v>3133</v>
      </c>
      <c r="DNE1" s="9" t="s">
        <v>3134</v>
      </c>
      <c r="DNF1" s="9" t="s">
        <v>3135</v>
      </c>
      <c r="DNG1" s="9" t="s">
        <v>3136</v>
      </c>
      <c r="DNH1" s="9" t="s">
        <v>3137</v>
      </c>
      <c r="DNI1" s="9" t="s">
        <v>3138</v>
      </c>
      <c r="DNJ1" s="9" t="s">
        <v>3139</v>
      </c>
      <c r="DNK1" s="9" t="s">
        <v>3140</v>
      </c>
      <c r="DNL1" s="9" t="s">
        <v>3141</v>
      </c>
      <c r="DNM1" s="9" t="s">
        <v>3142</v>
      </c>
      <c r="DNN1" s="9" t="s">
        <v>3143</v>
      </c>
      <c r="DNO1" s="9" t="s">
        <v>3144</v>
      </c>
      <c r="DNP1" s="9" t="s">
        <v>3145</v>
      </c>
      <c r="DNQ1" s="9" t="s">
        <v>3146</v>
      </c>
      <c r="DNR1" s="9" t="s">
        <v>3147</v>
      </c>
      <c r="DNS1" s="9" t="s">
        <v>3148</v>
      </c>
      <c r="DNT1" s="9" t="s">
        <v>3149</v>
      </c>
      <c r="DNU1" s="9" t="s">
        <v>3150</v>
      </c>
      <c r="DNV1" s="9" t="s">
        <v>3151</v>
      </c>
      <c r="DNW1" s="9" t="s">
        <v>3152</v>
      </c>
      <c r="DNX1" s="9" t="s">
        <v>3153</v>
      </c>
      <c r="DNY1" s="9" t="s">
        <v>3154</v>
      </c>
      <c r="DNZ1" s="9" t="s">
        <v>3155</v>
      </c>
      <c r="DOA1" s="9" t="s">
        <v>3156</v>
      </c>
      <c r="DOB1" s="9" t="s">
        <v>3157</v>
      </c>
      <c r="DOC1" s="9" t="s">
        <v>3158</v>
      </c>
      <c r="DOD1" s="9" t="s">
        <v>3159</v>
      </c>
      <c r="DOE1" s="9" t="s">
        <v>3160</v>
      </c>
      <c r="DOF1" s="9" t="s">
        <v>3161</v>
      </c>
      <c r="DOG1" s="9" t="s">
        <v>3162</v>
      </c>
      <c r="DOH1" s="9" t="s">
        <v>3163</v>
      </c>
      <c r="DOI1" s="9" t="s">
        <v>3164</v>
      </c>
      <c r="DOJ1" s="9" t="s">
        <v>3165</v>
      </c>
      <c r="DOK1" s="9" t="s">
        <v>3166</v>
      </c>
      <c r="DOL1" s="9" t="s">
        <v>3167</v>
      </c>
      <c r="DOM1" s="9" t="s">
        <v>3168</v>
      </c>
      <c r="DON1" s="9" t="s">
        <v>3169</v>
      </c>
      <c r="DOO1" s="9" t="s">
        <v>3170</v>
      </c>
      <c r="DOP1" s="9" t="s">
        <v>3171</v>
      </c>
      <c r="DOQ1" s="9" t="s">
        <v>3172</v>
      </c>
      <c r="DOR1" s="9" t="s">
        <v>3173</v>
      </c>
      <c r="DOS1" s="9" t="s">
        <v>3174</v>
      </c>
      <c r="DOT1" s="9" t="s">
        <v>3175</v>
      </c>
      <c r="DOU1" s="9" t="s">
        <v>3176</v>
      </c>
      <c r="DOV1" s="9" t="s">
        <v>3177</v>
      </c>
      <c r="DOW1" s="9" t="s">
        <v>3178</v>
      </c>
      <c r="DOX1" s="9" t="s">
        <v>3179</v>
      </c>
      <c r="DOY1" s="9" t="s">
        <v>3180</v>
      </c>
      <c r="DOZ1" s="9" t="s">
        <v>3181</v>
      </c>
      <c r="DPA1" s="9" t="s">
        <v>3182</v>
      </c>
      <c r="DPB1" s="9" t="s">
        <v>3183</v>
      </c>
      <c r="DPC1" s="9" t="s">
        <v>3184</v>
      </c>
      <c r="DPD1" s="9" t="s">
        <v>3185</v>
      </c>
      <c r="DPE1" s="9" t="s">
        <v>3186</v>
      </c>
      <c r="DPF1" s="9" t="s">
        <v>3187</v>
      </c>
      <c r="DPG1" s="9" t="s">
        <v>3188</v>
      </c>
      <c r="DPH1" s="9" t="s">
        <v>3189</v>
      </c>
      <c r="DPI1" s="9" t="s">
        <v>3190</v>
      </c>
      <c r="DPJ1" s="9" t="s">
        <v>3191</v>
      </c>
      <c r="DPK1" s="9" t="s">
        <v>3192</v>
      </c>
      <c r="DPL1" s="9" t="s">
        <v>3193</v>
      </c>
      <c r="DPM1" s="9" t="s">
        <v>3194</v>
      </c>
      <c r="DPN1" s="9" t="s">
        <v>3195</v>
      </c>
      <c r="DPO1" s="9" t="s">
        <v>3196</v>
      </c>
      <c r="DPP1" s="9" t="s">
        <v>3197</v>
      </c>
      <c r="DPQ1" s="9" t="s">
        <v>3198</v>
      </c>
      <c r="DPR1" s="9" t="s">
        <v>3199</v>
      </c>
      <c r="DPS1" s="9" t="s">
        <v>3200</v>
      </c>
      <c r="DPT1" s="9" t="s">
        <v>3201</v>
      </c>
      <c r="DPU1" s="9" t="s">
        <v>3202</v>
      </c>
      <c r="DPV1" s="9" t="s">
        <v>3203</v>
      </c>
      <c r="DPW1" s="9" t="s">
        <v>3204</v>
      </c>
      <c r="DPX1" s="9" t="s">
        <v>3205</v>
      </c>
      <c r="DPY1" s="9" t="s">
        <v>3206</v>
      </c>
      <c r="DPZ1" s="9" t="s">
        <v>3207</v>
      </c>
      <c r="DQA1" s="9" t="s">
        <v>3208</v>
      </c>
      <c r="DQB1" s="9" t="s">
        <v>3209</v>
      </c>
      <c r="DQC1" s="9" t="s">
        <v>3210</v>
      </c>
      <c r="DQD1" s="9" t="s">
        <v>3211</v>
      </c>
      <c r="DQE1" s="9" t="s">
        <v>3212</v>
      </c>
      <c r="DQF1" s="9" t="s">
        <v>3213</v>
      </c>
      <c r="DQG1" s="9" t="s">
        <v>3214</v>
      </c>
      <c r="DQH1" s="9" t="s">
        <v>3215</v>
      </c>
      <c r="DQI1" s="9" t="s">
        <v>3216</v>
      </c>
      <c r="DQJ1" s="9" t="s">
        <v>3217</v>
      </c>
      <c r="DQK1" s="9" t="s">
        <v>3218</v>
      </c>
      <c r="DQL1" s="9" t="s">
        <v>3219</v>
      </c>
      <c r="DQM1" s="9" t="s">
        <v>3220</v>
      </c>
      <c r="DQN1" s="9" t="s">
        <v>3221</v>
      </c>
      <c r="DQO1" s="9" t="s">
        <v>3222</v>
      </c>
      <c r="DQP1" s="9" t="s">
        <v>3223</v>
      </c>
      <c r="DQQ1" s="9" t="s">
        <v>3224</v>
      </c>
      <c r="DQR1" s="9" t="s">
        <v>3225</v>
      </c>
      <c r="DQS1" s="9" t="s">
        <v>3226</v>
      </c>
      <c r="DQT1" s="9" t="s">
        <v>3227</v>
      </c>
      <c r="DQU1" s="9" t="s">
        <v>3228</v>
      </c>
      <c r="DQV1" s="9" t="s">
        <v>3229</v>
      </c>
      <c r="DQW1" s="9" t="s">
        <v>3230</v>
      </c>
      <c r="DQX1" s="9" t="s">
        <v>3231</v>
      </c>
      <c r="DQY1" s="9" t="s">
        <v>3232</v>
      </c>
      <c r="DQZ1" s="9" t="s">
        <v>3233</v>
      </c>
      <c r="DRA1" s="9" t="s">
        <v>3234</v>
      </c>
      <c r="DRB1" s="9" t="s">
        <v>3235</v>
      </c>
      <c r="DRC1" s="9" t="s">
        <v>3236</v>
      </c>
      <c r="DRD1" s="9" t="s">
        <v>3237</v>
      </c>
      <c r="DRE1" s="9" t="s">
        <v>3238</v>
      </c>
      <c r="DRF1" s="9" t="s">
        <v>3239</v>
      </c>
      <c r="DRG1" s="9" t="s">
        <v>3240</v>
      </c>
      <c r="DRH1" s="9" t="s">
        <v>3241</v>
      </c>
      <c r="DRI1" s="9" t="s">
        <v>3242</v>
      </c>
      <c r="DRJ1" s="9" t="s">
        <v>3243</v>
      </c>
      <c r="DRK1" s="9" t="s">
        <v>3244</v>
      </c>
      <c r="DRL1" s="9" t="s">
        <v>3245</v>
      </c>
      <c r="DRM1" s="9" t="s">
        <v>3246</v>
      </c>
      <c r="DRN1" s="9" t="s">
        <v>3247</v>
      </c>
      <c r="DRO1" s="9" t="s">
        <v>3248</v>
      </c>
      <c r="DRP1" s="9" t="s">
        <v>3249</v>
      </c>
      <c r="DRQ1" s="9" t="s">
        <v>3250</v>
      </c>
      <c r="DRR1" s="9" t="s">
        <v>3251</v>
      </c>
      <c r="DRS1" s="9" t="s">
        <v>3252</v>
      </c>
      <c r="DRT1" s="9" t="s">
        <v>3253</v>
      </c>
      <c r="DRU1" s="9" t="s">
        <v>3254</v>
      </c>
      <c r="DRV1" s="9" t="s">
        <v>3255</v>
      </c>
      <c r="DRW1" s="9" t="s">
        <v>3256</v>
      </c>
      <c r="DRX1" s="9" t="s">
        <v>3257</v>
      </c>
      <c r="DRY1" s="9" t="s">
        <v>3258</v>
      </c>
      <c r="DRZ1" s="9" t="s">
        <v>3259</v>
      </c>
      <c r="DSA1" s="9" t="s">
        <v>3260</v>
      </c>
      <c r="DSB1" s="9" t="s">
        <v>3261</v>
      </c>
      <c r="DSC1" s="9" t="s">
        <v>3262</v>
      </c>
      <c r="DSD1" s="9" t="s">
        <v>3263</v>
      </c>
      <c r="DSE1" s="9" t="s">
        <v>3264</v>
      </c>
      <c r="DSF1" s="9" t="s">
        <v>3265</v>
      </c>
      <c r="DSG1" s="9" t="s">
        <v>3266</v>
      </c>
      <c r="DSH1" s="9" t="s">
        <v>3267</v>
      </c>
      <c r="DSI1" s="9" t="s">
        <v>3268</v>
      </c>
      <c r="DSJ1" s="9" t="s">
        <v>3269</v>
      </c>
      <c r="DSK1" s="9" t="s">
        <v>3270</v>
      </c>
      <c r="DSL1" s="9" t="s">
        <v>3271</v>
      </c>
      <c r="DSM1" s="9" t="s">
        <v>3272</v>
      </c>
      <c r="DSN1" s="9" t="s">
        <v>3273</v>
      </c>
      <c r="DSO1" s="9" t="s">
        <v>3274</v>
      </c>
      <c r="DSP1" s="9" t="s">
        <v>3275</v>
      </c>
      <c r="DSQ1" s="9" t="s">
        <v>3276</v>
      </c>
      <c r="DSR1" s="9" t="s">
        <v>3277</v>
      </c>
      <c r="DSS1" s="9" t="s">
        <v>3278</v>
      </c>
      <c r="DST1" s="9" t="s">
        <v>3279</v>
      </c>
      <c r="DSU1" s="9" t="s">
        <v>3280</v>
      </c>
      <c r="DSV1" s="9" t="s">
        <v>3281</v>
      </c>
      <c r="DSW1" s="9" t="s">
        <v>3282</v>
      </c>
      <c r="DSX1" s="9" t="s">
        <v>3283</v>
      </c>
      <c r="DSY1" s="9" t="s">
        <v>3284</v>
      </c>
      <c r="DSZ1" s="9" t="s">
        <v>3285</v>
      </c>
      <c r="DTA1" s="9" t="s">
        <v>3286</v>
      </c>
      <c r="DTB1" s="9" t="s">
        <v>3287</v>
      </c>
      <c r="DTC1" s="9" t="s">
        <v>3288</v>
      </c>
      <c r="DTD1" s="9" t="s">
        <v>3289</v>
      </c>
      <c r="DTE1" s="9" t="s">
        <v>3290</v>
      </c>
      <c r="DTF1" s="9" t="s">
        <v>3291</v>
      </c>
      <c r="DTG1" s="9" t="s">
        <v>3292</v>
      </c>
      <c r="DTH1" s="9" t="s">
        <v>3293</v>
      </c>
      <c r="DTI1" s="9" t="s">
        <v>3294</v>
      </c>
      <c r="DTJ1" s="9" t="s">
        <v>3295</v>
      </c>
      <c r="DTK1" s="9" t="s">
        <v>3296</v>
      </c>
      <c r="DTL1" s="9" t="s">
        <v>3297</v>
      </c>
      <c r="DTM1" s="9" t="s">
        <v>3298</v>
      </c>
      <c r="DTN1" s="9" t="s">
        <v>3299</v>
      </c>
      <c r="DTO1" s="9" t="s">
        <v>3300</v>
      </c>
      <c r="DTP1" s="9" t="s">
        <v>3301</v>
      </c>
      <c r="DTQ1" s="9" t="s">
        <v>3302</v>
      </c>
      <c r="DTR1" s="9" t="s">
        <v>3303</v>
      </c>
      <c r="DTS1" s="9" t="s">
        <v>3304</v>
      </c>
      <c r="DTT1" s="9" t="s">
        <v>3305</v>
      </c>
      <c r="DTU1" s="9" t="s">
        <v>3306</v>
      </c>
      <c r="DTV1" s="9" t="s">
        <v>3307</v>
      </c>
      <c r="DTW1" s="9" t="s">
        <v>3308</v>
      </c>
      <c r="DTX1" s="9" t="s">
        <v>3309</v>
      </c>
      <c r="DTY1" s="9" t="s">
        <v>3310</v>
      </c>
      <c r="DTZ1" s="9" t="s">
        <v>3311</v>
      </c>
      <c r="DUA1" s="9" t="s">
        <v>3312</v>
      </c>
      <c r="DUB1" s="9" t="s">
        <v>3313</v>
      </c>
      <c r="DUC1" s="9" t="s">
        <v>3314</v>
      </c>
      <c r="DUD1" s="9" t="s">
        <v>3315</v>
      </c>
      <c r="DUE1" s="9" t="s">
        <v>3316</v>
      </c>
      <c r="DUF1" s="9" t="s">
        <v>3317</v>
      </c>
      <c r="DUG1" s="9" t="s">
        <v>3318</v>
      </c>
      <c r="DUH1" s="9" t="s">
        <v>3319</v>
      </c>
      <c r="DUI1" s="9" t="s">
        <v>3320</v>
      </c>
      <c r="DUJ1" s="9" t="s">
        <v>3321</v>
      </c>
      <c r="DUK1" s="9" t="s">
        <v>3322</v>
      </c>
      <c r="DUL1" s="9" t="s">
        <v>3323</v>
      </c>
      <c r="DUM1" s="9" t="s">
        <v>3324</v>
      </c>
      <c r="DUN1" s="9" t="s">
        <v>3325</v>
      </c>
      <c r="DUO1" s="9" t="s">
        <v>3326</v>
      </c>
      <c r="DUP1" s="9" t="s">
        <v>3327</v>
      </c>
      <c r="DUQ1" s="9" t="s">
        <v>3328</v>
      </c>
      <c r="DUR1" s="9" t="s">
        <v>3329</v>
      </c>
      <c r="DUS1" s="9" t="s">
        <v>3330</v>
      </c>
      <c r="DUT1" s="9" t="s">
        <v>3331</v>
      </c>
      <c r="DUU1" s="9" t="s">
        <v>3332</v>
      </c>
      <c r="DUV1" s="9" t="s">
        <v>3333</v>
      </c>
      <c r="DUW1" s="9" t="s">
        <v>3334</v>
      </c>
      <c r="DUX1" s="9" t="s">
        <v>3335</v>
      </c>
      <c r="DUY1" s="9" t="s">
        <v>3336</v>
      </c>
      <c r="DUZ1" s="9" t="s">
        <v>3337</v>
      </c>
      <c r="DVA1" s="9" t="s">
        <v>3338</v>
      </c>
      <c r="DVB1" s="9" t="s">
        <v>3339</v>
      </c>
      <c r="DVC1" s="9" t="s">
        <v>3340</v>
      </c>
      <c r="DVD1" s="9" t="s">
        <v>3341</v>
      </c>
      <c r="DVE1" s="9" t="s">
        <v>3342</v>
      </c>
      <c r="DVF1" s="9" t="s">
        <v>3343</v>
      </c>
      <c r="DVG1" s="9" t="s">
        <v>3344</v>
      </c>
      <c r="DVH1" s="9" t="s">
        <v>3345</v>
      </c>
      <c r="DVI1" s="9" t="s">
        <v>3346</v>
      </c>
      <c r="DVJ1" s="9" t="s">
        <v>3347</v>
      </c>
      <c r="DVK1" s="9" t="s">
        <v>3348</v>
      </c>
      <c r="DVL1" s="9" t="s">
        <v>3349</v>
      </c>
      <c r="DVM1" s="9" t="s">
        <v>3350</v>
      </c>
      <c r="DVN1" s="9" t="s">
        <v>3351</v>
      </c>
      <c r="DVO1" s="9" t="s">
        <v>3352</v>
      </c>
      <c r="DVP1" s="9" t="s">
        <v>3353</v>
      </c>
      <c r="DVQ1" s="9" t="s">
        <v>3354</v>
      </c>
      <c r="DVR1" s="9" t="s">
        <v>3355</v>
      </c>
      <c r="DVS1" s="9" t="s">
        <v>3356</v>
      </c>
      <c r="DVT1" s="9" t="s">
        <v>3357</v>
      </c>
      <c r="DVU1" s="9" t="s">
        <v>3358</v>
      </c>
      <c r="DVV1" s="9" t="s">
        <v>3359</v>
      </c>
      <c r="DVW1" s="9" t="s">
        <v>3360</v>
      </c>
      <c r="DVX1" s="9" t="s">
        <v>3361</v>
      </c>
      <c r="DVY1" s="9" t="s">
        <v>3362</v>
      </c>
      <c r="DVZ1" s="9" t="s">
        <v>3363</v>
      </c>
      <c r="DWA1" s="9" t="s">
        <v>3364</v>
      </c>
      <c r="DWB1" s="9" t="s">
        <v>3365</v>
      </c>
      <c r="DWC1" s="9" t="s">
        <v>3366</v>
      </c>
      <c r="DWD1" s="9" t="s">
        <v>3367</v>
      </c>
      <c r="DWE1" s="9" t="s">
        <v>3368</v>
      </c>
      <c r="DWF1" s="9" t="s">
        <v>3369</v>
      </c>
      <c r="DWG1" s="9" t="s">
        <v>3370</v>
      </c>
      <c r="DWH1" s="9" t="s">
        <v>3371</v>
      </c>
      <c r="DWI1" s="9" t="s">
        <v>3372</v>
      </c>
      <c r="DWJ1" s="9" t="s">
        <v>3373</v>
      </c>
      <c r="DWK1" s="9" t="s">
        <v>3374</v>
      </c>
      <c r="DWL1" s="9" t="s">
        <v>3375</v>
      </c>
      <c r="DWM1" s="9" t="s">
        <v>3376</v>
      </c>
      <c r="DWN1" s="9" t="s">
        <v>3377</v>
      </c>
      <c r="DWO1" s="9" t="s">
        <v>3378</v>
      </c>
      <c r="DWP1" s="9" t="s">
        <v>3379</v>
      </c>
      <c r="DWQ1" s="9" t="s">
        <v>3380</v>
      </c>
      <c r="DWR1" s="9" t="s">
        <v>3381</v>
      </c>
      <c r="DWS1" s="9" t="s">
        <v>3382</v>
      </c>
      <c r="DWT1" s="9" t="s">
        <v>3383</v>
      </c>
      <c r="DWU1" s="9" t="s">
        <v>3384</v>
      </c>
      <c r="DWV1" s="9" t="s">
        <v>3385</v>
      </c>
      <c r="DWW1" s="9" t="s">
        <v>3386</v>
      </c>
      <c r="DWX1" s="9" t="s">
        <v>3387</v>
      </c>
      <c r="DWY1" s="9" t="s">
        <v>3388</v>
      </c>
      <c r="DWZ1" s="9" t="s">
        <v>3389</v>
      </c>
      <c r="DXA1" s="9" t="s">
        <v>3390</v>
      </c>
      <c r="DXB1" s="9" t="s">
        <v>3391</v>
      </c>
      <c r="DXC1" s="9" t="s">
        <v>3392</v>
      </c>
      <c r="DXD1" s="9" t="s">
        <v>3393</v>
      </c>
      <c r="DXE1" s="9" t="s">
        <v>3394</v>
      </c>
      <c r="DXF1" s="9" t="s">
        <v>3395</v>
      </c>
      <c r="DXG1" s="9" t="s">
        <v>3396</v>
      </c>
      <c r="DXH1" s="9" t="s">
        <v>3397</v>
      </c>
      <c r="DXI1" s="9" t="s">
        <v>3398</v>
      </c>
      <c r="DXJ1" s="9" t="s">
        <v>3399</v>
      </c>
      <c r="DXK1" s="9" t="s">
        <v>3400</v>
      </c>
      <c r="DXL1" s="9" t="s">
        <v>3401</v>
      </c>
      <c r="DXM1" s="9" t="s">
        <v>3402</v>
      </c>
      <c r="DXN1" s="9" t="s">
        <v>3403</v>
      </c>
      <c r="DXO1" s="9" t="s">
        <v>3404</v>
      </c>
      <c r="DXP1" s="9" t="s">
        <v>3405</v>
      </c>
      <c r="DXQ1" s="9" t="s">
        <v>3406</v>
      </c>
      <c r="DXR1" s="9" t="s">
        <v>3407</v>
      </c>
      <c r="DXS1" s="9" t="s">
        <v>3408</v>
      </c>
      <c r="DXT1" s="9" t="s">
        <v>3409</v>
      </c>
      <c r="DXU1" s="9" t="s">
        <v>3410</v>
      </c>
      <c r="DXV1" s="9" t="s">
        <v>3411</v>
      </c>
      <c r="DXW1" s="9" t="s">
        <v>3412</v>
      </c>
      <c r="DXX1" s="9" t="s">
        <v>3413</v>
      </c>
      <c r="DXY1" s="9" t="s">
        <v>3414</v>
      </c>
      <c r="DXZ1" s="9" t="s">
        <v>3415</v>
      </c>
      <c r="DYA1" s="9" t="s">
        <v>3416</v>
      </c>
      <c r="DYB1" s="9" t="s">
        <v>3417</v>
      </c>
      <c r="DYC1" s="9" t="s">
        <v>3418</v>
      </c>
      <c r="DYD1" s="9" t="s">
        <v>3419</v>
      </c>
      <c r="DYE1" s="9" t="s">
        <v>3420</v>
      </c>
      <c r="DYF1" s="9" t="s">
        <v>3421</v>
      </c>
      <c r="DYG1" s="9" t="s">
        <v>3422</v>
      </c>
      <c r="DYH1" s="9" t="s">
        <v>3423</v>
      </c>
      <c r="DYI1" s="9" t="s">
        <v>3424</v>
      </c>
      <c r="DYJ1" s="9" t="s">
        <v>3425</v>
      </c>
      <c r="DYK1" s="9" t="s">
        <v>3426</v>
      </c>
      <c r="DYL1" s="9" t="s">
        <v>3427</v>
      </c>
      <c r="DYM1" s="9" t="s">
        <v>3428</v>
      </c>
      <c r="DYN1" s="9" t="s">
        <v>3429</v>
      </c>
      <c r="DYO1" s="9" t="s">
        <v>3430</v>
      </c>
      <c r="DYP1" s="9" t="s">
        <v>3431</v>
      </c>
      <c r="DYQ1" s="9" t="s">
        <v>3432</v>
      </c>
      <c r="DYR1" s="9" t="s">
        <v>3433</v>
      </c>
      <c r="DYS1" s="9" t="s">
        <v>3434</v>
      </c>
      <c r="DYT1" s="9" t="s">
        <v>3435</v>
      </c>
      <c r="DYU1" s="9" t="s">
        <v>3436</v>
      </c>
      <c r="DYV1" s="9" t="s">
        <v>3437</v>
      </c>
      <c r="DYW1" s="9" t="s">
        <v>3438</v>
      </c>
      <c r="DYX1" s="9" t="s">
        <v>3439</v>
      </c>
      <c r="DYY1" s="9" t="s">
        <v>3440</v>
      </c>
      <c r="DYZ1" s="9" t="s">
        <v>3441</v>
      </c>
      <c r="DZA1" s="9" t="s">
        <v>3442</v>
      </c>
      <c r="DZB1" s="9" t="s">
        <v>3443</v>
      </c>
      <c r="DZC1" s="9" t="s">
        <v>3444</v>
      </c>
      <c r="DZD1" s="9" t="s">
        <v>3445</v>
      </c>
      <c r="DZE1" s="9" t="s">
        <v>3446</v>
      </c>
      <c r="DZF1" s="9" t="s">
        <v>3447</v>
      </c>
      <c r="DZG1" s="9" t="s">
        <v>3448</v>
      </c>
      <c r="DZH1" s="9" t="s">
        <v>3449</v>
      </c>
      <c r="DZI1" s="9" t="s">
        <v>3450</v>
      </c>
      <c r="DZJ1" s="9" t="s">
        <v>3451</v>
      </c>
      <c r="DZK1" s="9" t="s">
        <v>3452</v>
      </c>
      <c r="DZL1" s="9" t="s">
        <v>3453</v>
      </c>
      <c r="DZM1" s="9" t="s">
        <v>3454</v>
      </c>
      <c r="DZN1" s="9" t="s">
        <v>3455</v>
      </c>
      <c r="DZO1" s="9" t="s">
        <v>3456</v>
      </c>
      <c r="DZP1" s="9" t="s">
        <v>3457</v>
      </c>
      <c r="DZQ1" s="9" t="s">
        <v>3458</v>
      </c>
      <c r="DZR1" s="9" t="s">
        <v>3459</v>
      </c>
      <c r="DZS1" s="9" t="s">
        <v>3460</v>
      </c>
      <c r="DZT1" s="9" t="s">
        <v>3461</v>
      </c>
      <c r="DZU1" s="9" t="s">
        <v>3462</v>
      </c>
      <c r="DZV1" s="9" t="s">
        <v>3463</v>
      </c>
      <c r="DZW1" s="9" t="s">
        <v>3464</v>
      </c>
      <c r="DZX1" s="9" t="s">
        <v>3465</v>
      </c>
      <c r="DZY1" s="9" t="s">
        <v>3466</v>
      </c>
      <c r="DZZ1" s="9" t="s">
        <v>3467</v>
      </c>
      <c r="EAA1" s="9" t="s">
        <v>3468</v>
      </c>
      <c r="EAB1" s="9" t="s">
        <v>3469</v>
      </c>
      <c r="EAC1" s="9" t="s">
        <v>3470</v>
      </c>
      <c r="EAD1" s="9" t="s">
        <v>3471</v>
      </c>
      <c r="EAE1" s="9" t="s">
        <v>3472</v>
      </c>
      <c r="EAF1" s="9" t="s">
        <v>3473</v>
      </c>
      <c r="EAG1" s="9" t="s">
        <v>3474</v>
      </c>
      <c r="EAH1" s="9" t="s">
        <v>3475</v>
      </c>
      <c r="EAI1" s="9" t="s">
        <v>3476</v>
      </c>
      <c r="EAJ1" s="9" t="s">
        <v>3477</v>
      </c>
      <c r="EAK1" s="9" t="s">
        <v>3478</v>
      </c>
      <c r="EAL1" s="9" t="s">
        <v>3479</v>
      </c>
      <c r="EAM1" s="9" t="s">
        <v>3480</v>
      </c>
      <c r="EAN1" s="9" t="s">
        <v>3481</v>
      </c>
      <c r="EAO1" s="9" t="s">
        <v>3482</v>
      </c>
      <c r="EAP1" s="9" t="s">
        <v>3483</v>
      </c>
      <c r="EAQ1" s="9" t="s">
        <v>3484</v>
      </c>
      <c r="EAR1" s="9" t="s">
        <v>3485</v>
      </c>
      <c r="EAS1" s="9" t="s">
        <v>3486</v>
      </c>
      <c r="EAT1" s="9" t="s">
        <v>3487</v>
      </c>
      <c r="EAU1" s="9" t="s">
        <v>3488</v>
      </c>
      <c r="EAV1" s="9" t="s">
        <v>3489</v>
      </c>
      <c r="EAW1" s="9" t="s">
        <v>3490</v>
      </c>
      <c r="EAX1" s="9" t="s">
        <v>3491</v>
      </c>
      <c r="EAY1" s="9" t="s">
        <v>3492</v>
      </c>
      <c r="EAZ1" s="9" t="s">
        <v>3493</v>
      </c>
      <c r="EBA1" s="9" t="s">
        <v>3494</v>
      </c>
      <c r="EBB1" s="9" t="s">
        <v>3495</v>
      </c>
      <c r="EBC1" s="9" t="s">
        <v>3496</v>
      </c>
      <c r="EBD1" s="9" t="s">
        <v>3497</v>
      </c>
      <c r="EBE1" s="9" t="s">
        <v>3498</v>
      </c>
      <c r="EBF1" s="9" t="s">
        <v>3499</v>
      </c>
      <c r="EBG1" s="9" t="s">
        <v>3500</v>
      </c>
      <c r="EBH1" s="9" t="s">
        <v>3501</v>
      </c>
      <c r="EBI1" s="9" t="s">
        <v>3502</v>
      </c>
      <c r="EBJ1" s="9" t="s">
        <v>3503</v>
      </c>
      <c r="EBK1" s="9" t="s">
        <v>3504</v>
      </c>
      <c r="EBL1" s="9" t="s">
        <v>3505</v>
      </c>
      <c r="EBM1" s="9" t="s">
        <v>3506</v>
      </c>
      <c r="EBN1" s="9" t="s">
        <v>3507</v>
      </c>
      <c r="EBO1" s="9" t="s">
        <v>3508</v>
      </c>
      <c r="EBP1" s="9" t="s">
        <v>3509</v>
      </c>
      <c r="EBQ1" s="9" t="s">
        <v>3510</v>
      </c>
      <c r="EBR1" s="9" t="s">
        <v>3511</v>
      </c>
      <c r="EBS1" s="9" t="s">
        <v>3512</v>
      </c>
      <c r="EBT1" s="9" t="s">
        <v>3513</v>
      </c>
      <c r="EBU1" s="9" t="s">
        <v>3514</v>
      </c>
      <c r="EBV1" s="9" t="s">
        <v>3515</v>
      </c>
      <c r="EBW1" s="9" t="s">
        <v>3516</v>
      </c>
      <c r="EBX1" s="9" t="s">
        <v>3517</v>
      </c>
      <c r="EBY1" s="9" t="s">
        <v>3518</v>
      </c>
      <c r="EBZ1" s="9" t="s">
        <v>3519</v>
      </c>
      <c r="ECA1" s="9" t="s">
        <v>3520</v>
      </c>
      <c r="ECB1" s="9" t="s">
        <v>3521</v>
      </c>
      <c r="ECC1" s="9" t="s">
        <v>3522</v>
      </c>
      <c r="ECD1" s="9" t="s">
        <v>3523</v>
      </c>
      <c r="ECE1" s="9" t="s">
        <v>3524</v>
      </c>
      <c r="ECF1" s="9" t="s">
        <v>3525</v>
      </c>
      <c r="ECG1" s="9" t="s">
        <v>3526</v>
      </c>
      <c r="ECH1" s="9" t="s">
        <v>3527</v>
      </c>
      <c r="ECI1" s="9" t="s">
        <v>3528</v>
      </c>
      <c r="ECJ1" s="9" t="s">
        <v>3529</v>
      </c>
      <c r="ECK1" s="9" t="s">
        <v>3530</v>
      </c>
      <c r="ECL1" s="9" t="s">
        <v>3531</v>
      </c>
      <c r="ECM1" s="9" t="s">
        <v>3532</v>
      </c>
      <c r="ECN1" s="9" t="s">
        <v>3533</v>
      </c>
      <c r="ECO1" s="9" t="s">
        <v>3534</v>
      </c>
      <c r="ECP1" s="9" t="s">
        <v>3535</v>
      </c>
      <c r="ECQ1" s="9" t="s">
        <v>3536</v>
      </c>
      <c r="ECR1" s="9" t="s">
        <v>3537</v>
      </c>
      <c r="ECS1" s="9" t="s">
        <v>3538</v>
      </c>
      <c r="ECT1" s="9" t="s">
        <v>3539</v>
      </c>
      <c r="ECU1" s="9" t="s">
        <v>3540</v>
      </c>
      <c r="ECV1" s="9" t="s">
        <v>3541</v>
      </c>
      <c r="ECW1" s="9" t="s">
        <v>3542</v>
      </c>
      <c r="ECX1" s="9" t="s">
        <v>3543</v>
      </c>
      <c r="ECY1" s="9" t="s">
        <v>3544</v>
      </c>
      <c r="ECZ1" s="9" t="s">
        <v>3545</v>
      </c>
      <c r="EDA1" s="9" t="s">
        <v>3546</v>
      </c>
      <c r="EDB1" s="9" t="s">
        <v>3547</v>
      </c>
      <c r="EDC1" s="9" t="s">
        <v>3548</v>
      </c>
      <c r="EDD1" s="9" t="s">
        <v>3549</v>
      </c>
      <c r="EDE1" s="9" t="s">
        <v>3550</v>
      </c>
      <c r="EDF1" s="9" t="s">
        <v>3551</v>
      </c>
      <c r="EDG1" s="9" t="s">
        <v>3552</v>
      </c>
      <c r="EDH1" s="9" t="s">
        <v>3553</v>
      </c>
      <c r="EDI1" s="9" t="s">
        <v>3554</v>
      </c>
      <c r="EDJ1" s="9" t="s">
        <v>3555</v>
      </c>
      <c r="EDK1" s="9" t="s">
        <v>3556</v>
      </c>
      <c r="EDL1" s="9" t="s">
        <v>3557</v>
      </c>
      <c r="EDM1" s="9" t="s">
        <v>3558</v>
      </c>
      <c r="EDN1" s="9" t="s">
        <v>3559</v>
      </c>
      <c r="EDO1" s="9" t="s">
        <v>3560</v>
      </c>
      <c r="EDP1" s="9" t="s">
        <v>3561</v>
      </c>
      <c r="EDQ1" s="9" t="s">
        <v>3562</v>
      </c>
      <c r="EDR1" s="9" t="s">
        <v>3563</v>
      </c>
      <c r="EDS1" s="9" t="s">
        <v>3564</v>
      </c>
      <c r="EDT1" s="9" t="s">
        <v>3565</v>
      </c>
      <c r="EDU1" s="9" t="s">
        <v>3566</v>
      </c>
      <c r="EDV1" s="9" t="s">
        <v>3567</v>
      </c>
      <c r="EDW1" s="9" t="s">
        <v>3568</v>
      </c>
      <c r="EDX1" s="9" t="s">
        <v>3569</v>
      </c>
      <c r="EDY1" s="9" t="s">
        <v>3570</v>
      </c>
      <c r="EDZ1" s="9" t="s">
        <v>3571</v>
      </c>
      <c r="EEA1" s="9" t="s">
        <v>3572</v>
      </c>
      <c r="EEB1" s="9" t="s">
        <v>3573</v>
      </c>
      <c r="EEC1" s="9" t="s">
        <v>3574</v>
      </c>
      <c r="EED1" s="9" t="s">
        <v>3575</v>
      </c>
      <c r="EEE1" s="9" t="s">
        <v>3576</v>
      </c>
      <c r="EEF1" s="9" t="s">
        <v>3577</v>
      </c>
      <c r="EEG1" s="9" t="s">
        <v>3578</v>
      </c>
      <c r="EEH1" s="9" t="s">
        <v>3579</v>
      </c>
      <c r="EEI1" s="9" t="s">
        <v>3580</v>
      </c>
      <c r="EEJ1" s="9" t="s">
        <v>3581</v>
      </c>
      <c r="EEK1" s="9" t="s">
        <v>3582</v>
      </c>
      <c r="EEL1" s="9" t="s">
        <v>3583</v>
      </c>
      <c r="EEM1" s="9" t="s">
        <v>3584</v>
      </c>
      <c r="EEN1" s="9" t="s">
        <v>3585</v>
      </c>
      <c r="EEO1" s="9" t="s">
        <v>3586</v>
      </c>
      <c r="EEP1" s="9" t="s">
        <v>3587</v>
      </c>
      <c r="EEQ1" s="9" t="s">
        <v>3588</v>
      </c>
      <c r="EER1" s="9" t="s">
        <v>3589</v>
      </c>
      <c r="EES1" s="9" t="s">
        <v>3590</v>
      </c>
      <c r="EET1" s="9" t="s">
        <v>3591</v>
      </c>
      <c r="EEU1" s="9" t="s">
        <v>3592</v>
      </c>
      <c r="EEV1" s="9" t="s">
        <v>3593</v>
      </c>
      <c r="EEW1" s="9" t="s">
        <v>3594</v>
      </c>
      <c r="EEX1" s="9" t="s">
        <v>3595</v>
      </c>
      <c r="EEY1" s="9" t="s">
        <v>3596</v>
      </c>
      <c r="EEZ1" s="9" t="s">
        <v>3597</v>
      </c>
      <c r="EFA1" s="9" t="s">
        <v>3598</v>
      </c>
      <c r="EFB1" s="9" t="s">
        <v>3599</v>
      </c>
      <c r="EFC1" s="9" t="s">
        <v>3600</v>
      </c>
      <c r="EFD1" s="9" t="s">
        <v>3601</v>
      </c>
      <c r="EFE1" s="9" t="s">
        <v>3602</v>
      </c>
      <c r="EFF1" s="9" t="s">
        <v>3603</v>
      </c>
      <c r="EFG1" s="9" t="s">
        <v>3604</v>
      </c>
      <c r="EFH1" s="9" t="s">
        <v>3605</v>
      </c>
      <c r="EFI1" s="9" t="s">
        <v>3606</v>
      </c>
      <c r="EFJ1" s="9" t="s">
        <v>3607</v>
      </c>
      <c r="EFK1" s="9" t="s">
        <v>3608</v>
      </c>
      <c r="EFL1" s="9" t="s">
        <v>3609</v>
      </c>
      <c r="EFM1" s="9" t="s">
        <v>3610</v>
      </c>
      <c r="EFN1" s="9" t="s">
        <v>3611</v>
      </c>
      <c r="EFO1" s="9" t="s">
        <v>3612</v>
      </c>
      <c r="EFP1" s="9" t="s">
        <v>3613</v>
      </c>
      <c r="EFQ1" s="9" t="s">
        <v>3614</v>
      </c>
      <c r="EFR1" s="9" t="s">
        <v>3615</v>
      </c>
      <c r="EFS1" s="9" t="s">
        <v>3616</v>
      </c>
      <c r="EFT1" s="9" t="s">
        <v>3617</v>
      </c>
      <c r="EFU1" s="9" t="s">
        <v>3618</v>
      </c>
      <c r="EFV1" s="9" t="s">
        <v>3619</v>
      </c>
      <c r="EFW1" s="9" t="s">
        <v>3620</v>
      </c>
      <c r="EFX1" s="9" t="s">
        <v>3621</v>
      </c>
      <c r="EFY1" s="9" t="s">
        <v>3622</v>
      </c>
      <c r="EFZ1" s="9" t="s">
        <v>3623</v>
      </c>
      <c r="EGA1" s="9" t="s">
        <v>3624</v>
      </c>
      <c r="EGB1" s="9" t="s">
        <v>3625</v>
      </c>
      <c r="EGC1" s="9" t="s">
        <v>3626</v>
      </c>
      <c r="EGD1" s="9" t="s">
        <v>3627</v>
      </c>
      <c r="EGE1" s="9" t="s">
        <v>3628</v>
      </c>
      <c r="EGF1" s="9" t="s">
        <v>3629</v>
      </c>
      <c r="EGG1" s="9" t="s">
        <v>3630</v>
      </c>
      <c r="EGH1" s="9" t="s">
        <v>3631</v>
      </c>
      <c r="EGI1" s="9" t="s">
        <v>3632</v>
      </c>
      <c r="EGJ1" s="9" t="s">
        <v>3633</v>
      </c>
      <c r="EGK1" s="9" t="s">
        <v>3634</v>
      </c>
      <c r="EGL1" s="9" t="s">
        <v>3635</v>
      </c>
      <c r="EGM1" s="9" t="s">
        <v>3636</v>
      </c>
      <c r="EGN1" s="9" t="s">
        <v>3637</v>
      </c>
      <c r="EGO1" s="9" t="s">
        <v>3638</v>
      </c>
      <c r="EGP1" s="9" t="s">
        <v>3639</v>
      </c>
      <c r="EGQ1" s="9" t="s">
        <v>3640</v>
      </c>
      <c r="EGR1" s="9" t="s">
        <v>3641</v>
      </c>
      <c r="EGS1" s="9" t="s">
        <v>3642</v>
      </c>
      <c r="EGT1" s="9" t="s">
        <v>3643</v>
      </c>
      <c r="EGU1" s="9" t="s">
        <v>3644</v>
      </c>
      <c r="EGV1" s="9" t="s">
        <v>3645</v>
      </c>
      <c r="EGW1" s="9" t="s">
        <v>3646</v>
      </c>
      <c r="EGX1" s="9" t="s">
        <v>3647</v>
      </c>
      <c r="EGY1" s="9" t="s">
        <v>3648</v>
      </c>
      <c r="EGZ1" s="9" t="s">
        <v>3649</v>
      </c>
      <c r="EHA1" s="9" t="s">
        <v>3650</v>
      </c>
      <c r="EHB1" s="9" t="s">
        <v>3651</v>
      </c>
      <c r="EHC1" s="9" t="s">
        <v>3652</v>
      </c>
      <c r="EHD1" s="9" t="s">
        <v>3653</v>
      </c>
      <c r="EHE1" s="9" t="s">
        <v>3654</v>
      </c>
      <c r="EHF1" s="9" t="s">
        <v>3655</v>
      </c>
      <c r="EHG1" s="9" t="s">
        <v>3656</v>
      </c>
      <c r="EHH1" s="9" t="s">
        <v>3657</v>
      </c>
      <c r="EHI1" s="9" t="s">
        <v>3658</v>
      </c>
      <c r="EHJ1" s="9" t="s">
        <v>3659</v>
      </c>
      <c r="EHK1" s="9" t="s">
        <v>3660</v>
      </c>
      <c r="EHL1" s="9" t="s">
        <v>3661</v>
      </c>
      <c r="EHM1" s="9" t="s">
        <v>3662</v>
      </c>
      <c r="EHN1" s="9" t="s">
        <v>3663</v>
      </c>
      <c r="EHO1" s="9" t="s">
        <v>3664</v>
      </c>
      <c r="EHP1" s="9" t="s">
        <v>3665</v>
      </c>
      <c r="EHQ1" s="9" t="s">
        <v>3666</v>
      </c>
      <c r="EHR1" s="9" t="s">
        <v>3667</v>
      </c>
      <c r="EHS1" s="9" t="s">
        <v>3668</v>
      </c>
      <c r="EHT1" s="9" t="s">
        <v>3669</v>
      </c>
      <c r="EHU1" s="9" t="s">
        <v>3670</v>
      </c>
      <c r="EHV1" s="9" t="s">
        <v>3671</v>
      </c>
      <c r="EHW1" s="9" t="s">
        <v>3672</v>
      </c>
      <c r="EHX1" s="9" t="s">
        <v>3673</v>
      </c>
      <c r="EHY1" s="9" t="s">
        <v>3674</v>
      </c>
      <c r="EHZ1" s="9" t="s">
        <v>3675</v>
      </c>
      <c r="EIA1" s="9" t="s">
        <v>3676</v>
      </c>
      <c r="EIB1" s="9" t="s">
        <v>3677</v>
      </c>
      <c r="EIC1" s="9" t="s">
        <v>3678</v>
      </c>
      <c r="EID1" s="9" t="s">
        <v>3679</v>
      </c>
      <c r="EIE1" s="9" t="s">
        <v>3680</v>
      </c>
      <c r="EIF1" s="9" t="s">
        <v>3681</v>
      </c>
      <c r="EIG1" s="9" t="s">
        <v>3682</v>
      </c>
      <c r="EIH1" s="9" t="s">
        <v>3683</v>
      </c>
      <c r="EII1" s="9" t="s">
        <v>3684</v>
      </c>
      <c r="EIJ1" s="9" t="s">
        <v>3685</v>
      </c>
      <c r="EIK1" s="9" t="s">
        <v>3686</v>
      </c>
      <c r="EIL1" s="9" t="s">
        <v>3687</v>
      </c>
      <c r="EIM1" s="9" t="s">
        <v>3688</v>
      </c>
      <c r="EIN1" s="9" t="s">
        <v>3689</v>
      </c>
      <c r="EIO1" s="9" t="s">
        <v>3690</v>
      </c>
      <c r="EIP1" s="9" t="s">
        <v>3691</v>
      </c>
      <c r="EIQ1" s="9" t="s">
        <v>3692</v>
      </c>
      <c r="EIR1" s="9" t="s">
        <v>3693</v>
      </c>
      <c r="EIS1" s="9" t="s">
        <v>3694</v>
      </c>
      <c r="EIT1" s="9" t="s">
        <v>3695</v>
      </c>
      <c r="EIU1" s="9" t="s">
        <v>3696</v>
      </c>
      <c r="EIV1" s="9" t="s">
        <v>3697</v>
      </c>
      <c r="EIW1" s="9" t="s">
        <v>3698</v>
      </c>
      <c r="EIX1" s="9" t="s">
        <v>3699</v>
      </c>
      <c r="EIY1" s="9" t="s">
        <v>3700</v>
      </c>
      <c r="EIZ1" s="9" t="s">
        <v>3701</v>
      </c>
      <c r="EJA1" s="9" t="s">
        <v>3702</v>
      </c>
      <c r="EJB1" s="9" t="s">
        <v>3703</v>
      </c>
      <c r="EJC1" s="9" t="s">
        <v>3704</v>
      </c>
      <c r="EJD1" s="9" t="s">
        <v>3705</v>
      </c>
      <c r="EJE1" s="9" t="s">
        <v>3706</v>
      </c>
      <c r="EJF1" s="9" t="s">
        <v>3707</v>
      </c>
      <c r="EJG1" s="9" t="s">
        <v>3708</v>
      </c>
      <c r="EJH1" s="9" t="s">
        <v>3709</v>
      </c>
      <c r="EJI1" s="9" t="s">
        <v>3710</v>
      </c>
      <c r="EJJ1" s="9" t="s">
        <v>3711</v>
      </c>
      <c r="EJK1" s="9" t="s">
        <v>3712</v>
      </c>
      <c r="EJL1" s="9" t="s">
        <v>3713</v>
      </c>
      <c r="EJM1" s="9" t="s">
        <v>3714</v>
      </c>
      <c r="EJN1" s="9" t="s">
        <v>3715</v>
      </c>
      <c r="EJO1" s="9" t="s">
        <v>3716</v>
      </c>
      <c r="EJP1" s="9" t="s">
        <v>3717</v>
      </c>
      <c r="EJQ1" s="9" t="s">
        <v>3718</v>
      </c>
      <c r="EJR1" s="9" t="s">
        <v>3719</v>
      </c>
      <c r="EJS1" s="9" t="s">
        <v>3720</v>
      </c>
      <c r="EJT1" s="9" t="s">
        <v>3721</v>
      </c>
      <c r="EJU1" s="9" t="s">
        <v>3722</v>
      </c>
      <c r="EJV1" s="9" t="s">
        <v>3723</v>
      </c>
      <c r="EJW1" s="9" t="s">
        <v>3724</v>
      </c>
      <c r="EJX1" s="9" t="s">
        <v>3725</v>
      </c>
      <c r="EJY1" s="9" t="s">
        <v>3726</v>
      </c>
      <c r="EJZ1" s="9" t="s">
        <v>3727</v>
      </c>
      <c r="EKA1" s="9" t="s">
        <v>3728</v>
      </c>
      <c r="EKB1" s="9" t="s">
        <v>3729</v>
      </c>
      <c r="EKC1" s="9" t="s">
        <v>3730</v>
      </c>
      <c r="EKD1" s="9" t="s">
        <v>3731</v>
      </c>
      <c r="EKE1" s="9" t="s">
        <v>3732</v>
      </c>
      <c r="EKF1" s="9" t="s">
        <v>3733</v>
      </c>
      <c r="EKG1" s="9" t="s">
        <v>3734</v>
      </c>
      <c r="EKH1" s="9" t="s">
        <v>3735</v>
      </c>
      <c r="EKI1" s="9" t="s">
        <v>3736</v>
      </c>
      <c r="EKJ1" s="9" t="s">
        <v>3737</v>
      </c>
      <c r="EKK1" s="9" t="s">
        <v>3738</v>
      </c>
      <c r="EKL1" s="9" t="s">
        <v>3739</v>
      </c>
      <c r="EKM1" s="9" t="s">
        <v>3740</v>
      </c>
      <c r="EKN1" s="9" t="s">
        <v>3741</v>
      </c>
      <c r="EKO1" s="9" t="s">
        <v>3742</v>
      </c>
      <c r="EKP1" s="9" t="s">
        <v>3743</v>
      </c>
      <c r="EKQ1" s="9" t="s">
        <v>3744</v>
      </c>
      <c r="EKR1" s="9" t="s">
        <v>3745</v>
      </c>
      <c r="EKS1" s="9" t="s">
        <v>3746</v>
      </c>
      <c r="EKT1" s="9" t="s">
        <v>3747</v>
      </c>
      <c r="EKU1" s="9" t="s">
        <v>3748</v>
      </c>
      <c r="EKV1" s="9" t="s">
        <v>3749</v>
      </c>
      <c r="EKW1" s="9" t="s">
        <v>3750</v>
      </c>
      <c r="EKX1" s="9" t="s">
        <v>3751</v>
      </c>
      <c r="EKY1" s="9" t="s">
        <v>3752</v>
      </c>
      <c r="EKZ1" s="9" t="s">
        <v>3753</v>
      </c>
      <c r="ELA1" s="9" t="s">
        <v>3754</v>
      </c>
      <c r="ELB1" s="9" t="s">
        <v>3755</v>
      </c>
      <c r="ELC1" s="9" t="s">
        <v>3756</v>
      </c>
      <c r="ELD1" s="9" t="s">
        <v>3757</v>
      </c>
      <c r="ELE1" s="9" t="s">
        <v>3758</v>
      </c>
      <c r="ELF1" s="9" t="s">
        <v>3759</v>
      </c>
      <c r="ELG1" s="9" t="s">
        <v>3760</v>
      </c>
      <c r="ELH1" s="9" t="s">
        <v>3761</v>
      </c>
      <c r="ELI1" s="9" t="s">
        <v>3762</v>
      </c>
      <c r="ELJ1" s="9" t="s">
        <v>3763</v>
      </c>
      <c r="ELK1" s="9" t="s">
        <v>3764</v>
      </c>
      <c r="ELL1" s="9" t="s">
        <v>3765</v>
      </c>
      <c r="ELM1" s="9" t="s">
        <v>3766</v>
      </c>
      <c r="ELN1" s="9" t="s">
        <v>3767</v>
      </c>
      <c r="ELO1" s="9" t="s">
        <v>3768</v>
      </c>
      <c r="ELP1" s="9" t="s">
        <v>3769</v>
      </c>
      <c r="ELQ1" s="9" t="s">
        <v>3770</v>
      </c>
      <c r="ELR1" s="9" t="s">
        <v>3771</v>
      </c>
      <c r="ELS1" s="9" t="s">
        <v>3772</v>
      </c>
      <c r="ELT1" s="9" t="s">
        <v>3773</v>
      </c>
      <c r="ELU1" s="9" t="s">
        <v>3774</v>
      </c>
      <c r="ELV1" s="9" t="s">
        <v>3775</v>
      </c>
      <c r="ELW1" s="9" t="s">
        <v>3776</v>
      </c>
      <c r="ELX1" s="9" t="s">
        <v>3777</v>
      </c>
      <c r="ELY1" s="9" t="s">
        <v>3778</v>
      </c>
      <c r="ELZ1" s="9" t="s">
        <v>3779</v>
      </c>
      <c r="EMA1" s="9" t="s">
        <v>3780</v>
      </c>
      <c r="EMB1" s="9" t="s">
        <v>3781</v>
      </c>
      <c r="EMC1" s="9" t="s">
        <v>3782</v>
      </c>
      <c r="EMD1" s="9" t="s">
        <v>3783</v>
      </c>
      <c r="EME1" s="9" t="s">
        <v>3784</v>
      </c>
      <c r="EMF1" s="9" t="s">
        <v>3785</v>
      </c>
      <c r="EMG1" s="9" t="s">
        <v>3786</v>
      </c>
      <c r="EMH1" s="9" t="s">
        <v>3787</v>
      </c>
      <c r="EMI1" s="9" t="s">
        <v>3788</v>
      </c>
      <c r="EMJ1" s="9" t="s">
        <v>3789</v>
      </c>
      <c r="EMK1" s="9" t="s">
        <v>3790</v>
      </c>
      <c r="EML1" s="9" t="s">
        <v>3791</v>
      </c>
      <c r="EMM1" s="9" t="s">
        <v>3792</v>
      </c>
      <c r="EMN1" s="9" t="s">
        <v>3793</v>
      </c>
      <c r="EMO1" s="9" t="s">
        <v>3794</v>
      </c>
      <c r="EMP1" s="9" t="s">
        <v>3795</v>
      </c>
      <c r="EMQ1" s="9" t="s">
        <v>3796</v>
      </c>
      <c r="EMR1" s="9" t="s">
        <v>3797</v>
      </c>
      <c r="EMS1" s="9" t="s">
        <v>3798</v>
      </c>
      <c r="EMT1" s="9" t="s">
        <v>3799</v>
      </c>
      <c r="EMU1" s="9" t="s">
        <v>3800</v>
      </c>
      <c r="EMV1" s="9" t="s">
        <v>3801</v>
      </c>
      <c r="EMW1" s="9" t="s">
        <v>3802</v>
      </c>
      <c r="EMX1" s="9" t="s">
        <v>3803</v>
      </c>
      <c r="EMY1" s="9" t="s">
        <v>3804</v>
      </c>
      <c r="EMZ1" s="9" t="s">
        <v>3805</v>
      </c>
      <c r="ENA1" s="9" t="s">
        <v>3806</v>
      </c>
      <c r="ENB1" s="9" t="s">
        <v>3807</v>
      </c>
      <c r="ENC1" s="9" t="s">
        <v>3808</v>
      </c>
      <c r="END1" s="9" t="s">
        <v>3809</v>
      </c>
      <c r="ENE1" s="9" t="s">
        <v>3810</v>
      </c>
      <c r="ENF1" s="9" t="s">
        <v>3811</v>
      </c>
      <c r="ENG1" s="9" t="s">
        <v>3812</v>
      </c>
      <c r="ENH1" s="9" t="s">
        <v>3813</v>
      </c>
      <c r="ENI1" s="9" t="s">
        <v>3814</v>
      </c>
      <c r="ENJ1" s="9" t="s">
        <v>3815</v>
      </c>
      <c r="ENK1" s="9" t="s">
        <v>3816</v>
      </c>
      <c r="ENL1" s="9" t="s">
        <v>3817</v>
      </c>
      <c r="ENM1" s="9" t="s">
        <v>3818</v>
      </c>
      <c r="ENN1" s="9" t="s">
        <v>3819</v>
      </c>
      <c r="ENO1" s="9" t="s">
        <v>3820</v>
      </c>
      <c r="ENP1" s="9" t="s">
        <v>3821</v>
      </c>
      <c r="ENQ1" s="9" t="s">
        <v>3822</v>
      </c>
      <c r="ENR1" s="9" t="s">
        <v>3823</v>
      </c>
      <c r="ENS1" s="9" t="s">
        <v>3824</v>
      </c>
      <c r="ENT1" s="9" t="s">
        <v>3825</v>
      </c>
      <c r="ENU1" s="9" t="s">
        <v>3826</v>
      </c>
      <c r="ENV1" s="9" t="s">
        <v>3827</v>
      </c>
      <c r="ENW1" s="9" t="s">
        <v>3828</v>
      </c>
      <c r="ENX1" s="9" t="s">
        <v>3829</v>
      </c>
      <c r="ENY1" s="9" t="s">
        <v>3830</v>
      </c>
      <c r="ENZ1" s="9" t="s">
        <v>3831</v>
      </c>
      <c r="EOA1" s="9" t="s">
        <v>3832</v>
      </c>
      <c r="EOB1" s="9" t="s">
        <v>3833</v>
      </c>
      <c r="EOC1" s="9" t="s">
        <v>3834</v>
      </c>
      <c r="EOD1" s="9" t="s">
        <v>3835</v>
      </c>
      <c r="EOE1" s="9" t="s">
        <v>3836</v>
      </c>
      <c r="EOF1" s="9" t="s">
        <v>3837</v>
      </c>
      <c r="EOG1" s="9" t="s">
        <v>3838</v>
      </c>
      <c r="EOH1" s="9" t="s">
        <v>3839</v>
      </c>
      <c r="EOI1" s="9" t="s">
        <v>3840</v>
      </c>
      <c r="EOJ1" s="9" t="s">
        <v>3841</v>
      </c>
      <c r="EOK1" s="9" t="s">
        <v>3842</v>
      </c>
      <c r="EOL1" s="9" t="s">
        <v>3843</v>
      </c>
      <c r="EOM1" s="9" t="s">
        <v>3844</v>
      </c>
      <c r="EON1" s="9" t="s">
        <v>3845</v>
      </c>
      <c r="EOO1" s="9" t="s">
        <v>3846</v>
      </c>
      <c r="EOP1" s="9" t="s">
        <v>3847</v>
      </c>
      <c r="EOQ1" s="9" t="s">
        <v>3848</v>
      </c>
      <c r="EOR1" s="9" t="s">
        <v>3849</v>
      </c>
      <c r="EOS1" s="9" t="s">
        <v>3850</v>
      </c>
      <c r="EOT1" s="9" t="s">
        <v>3851</v>
      </c>
      <c r="EOU1" s="9" t="s">
        <v>3852</v>
      </c>
      <c r="EOV1" s="9" t="s">
        <v>3853</v>
      </c>
      <c r="EOW1" s="9" t="s">
        <v>3854</v>
      </c>
      <c r="EOX1" s="9" t="s">
        <v>3855</v>
      </c>
      <c r="EOY1" s="9" t="s">
        <v>3856</v>
      </c>
      <c r="EOZ1" s="9" t="s">
        <v>3857</v>
      </c>
      <c r="EPA1" s="9" t="s">
        <v>3858</v>
      </c>
      <c r="EPB1" s="9" t="s">
        <v>3859</v>
      </c>
      <c r="EPC1" s="9" t="s">
        <v>3860</v>
      </c>
      <c r="EPD1" s="9" t="s">
        <v>3861</v>
      </c>
      <c r="EPE1" s="9" t="s">
        <v>3862</v>
      </c>
      <c r="EPF1" s="9" t="s">
        <v>3863</v>
      </c>
      <c r="EPG1" s="9" t="s">
        <v>3864</v>
      </c>
      <c r="EPH1" s="9" t="s">
        <v>3865</v>
      </c>
      <c r="EPI1" s="9" t="s">
        <v>3866</v>
      </c>
      <c r="EPJ1" s="9" t="s">
        <v>3867</v>
      </c>
      <c r="EPK1" s="9" t="s">
        <v>3868</v>
      </c>
      <c r="EPL1" s="9" t="s">
        <v>3869</v>
      </c>
      <c r="EPM1" s="9" t="s">
        <v>3870</v>
      </c>
      <c r="EPN1" s="9" t="s">
        <v>3871</v>
      </c>
      <c r="EPO1" s="9" t="s">
        <v>3872</v>
      </c>
      <c r="EPP1" s="9" t="s">
        <v>3873</v>
      </c>
      <c r="EPQ1" s="9" t="s">
        <v>3874</v>
      </c>
      <c r="EPR1" s="9" t="s">
        <v>3875</v>
      </c>
      <c r="EPS1" s="9" t="s">
        <v>3876</v>
      </c>
      <c r="EPT1" s="9" t="s">
        <v>3877</v>
      </c>
      <c r="EPU1" s="9" t="s">
        <v>3878</v>
      </c>
      <c r="EPV1" s="9" t="s">
        <v>3879</v>
      </c>
      <c r="EPW1" s="9" t="s">
        <v>3880</v>
      </c>
      <c r="EPX1" s="9" t="s">
        <v>3881</v>
      </c>
      <c r="EPY1" s="9" t="s">
        <v>3882</v>
      </c>
      <c r="EPZ1" s="9" t="s">
        <v>3883</v>
      </c>
      <c r="EQA1" s="9" t="s">
        <v>3884</v>
      </c>
      <c r="EQB1" s="9" t="s">
        <v>3885</v>
      </c>
      <c r="EQC1" s="9" t="s">
        <v>3886</v>
      </c>
      <c r="EQD1" s="9" t="s">
        <v>3887</v>
      </c>
      <c r="EQE1" s="9" t="s">
        <v>3888</v>
      </c>
      <c r="EQF1" s="9" t="s">
        <v>3889</v>
      </c>
      <c r="EQG1" s="9" t="s">
        <v>3890</v>
      </c>
      <c r="EQH1" s="9" t="s">
        <v>3891</v>
      </c>
      <c r="EQI1" s="9" t="s">
        <v>3892</v>
      </c>
      <c r="EQJ1" s="9" t="s">
        <v>3893</v>
      </c>
      <c r="EQK1" s="9" t="s">
        <v>3894</v>
      </c>
      <c r="EQL1" s="9" t="s">
        <v>3895</v>
      </c>
      <c r="EQM1" s="9" t="s">
        <v>3896</v>
      </c>
      <c r="EQN1" s="9" t="s">
        <v>3897</v>
      </c>
      <c r="EQO1" s="9" t="s">
        <v>3898</v>
      </c>
      <c r="EQP1" s="9" t="s">
        <v>3899</v>
      </c>
      <c r="EQQ1" s="9" t="s">
        <v>3900</v>
      </c>
      <c r="EQR1" s="9" t="s">
        <v>3901</v>
      </c>
      <c r="EQS1" s="9" t="s">
        <v>3902</v>
      </c>
      <c r="EQT1" s="9" t="s">
        <v>3903</v>
      </c>
      <c r="EQU1" s="9" t="s">
        <v>3904</v>
      </c>
      <c r="EQV1" s="9" t="s">
        <v>3905</v>
      </c>
      <c r="EQW1" s="9" t="s">
        <v>3906</v>
      </c>
      <c r="EQX1" s="9" t="s">
        <v>3907</v>
      </c>
      <c r="EQY1" s="9" t="s">
        <v>3908</v>
      </c>
      <c r="EQZ1" s="9" t="s">
        <v>3909</v>
      </c>
      <c r="ERA1" s="9" t="s">
        <v>3910</v>
      </c>
      <c r="ERB1" s="9" t="s">
        <v>3911</v>
      </c>
      <c r="ERC1" s="9" t="s">
        <v>3912</v>
      </c>
      <c r="ERD1" s="9" t="s">
        <v>3913</v>
      </c>
      <c r="ERE1" s="9" t="s">
        <v>3914</v>
      </c>
      <c r="ERF1" s="9" t="s">
        <v>3915</v>
      </c>
      <c r="ERG1" s="9" t="s">
        <v>3916</v>
      </c>
      <c r="ERH1" s="9" t="s">
        <v>3917</v>
      </c>
      <c r="ERI1" s="9" t="s">
        <v>3918</v>
      </c>
      <c r="ERJ1" s="9" t="s">
        <v>3919</v>
      </c>
      <c r="ERK1" s="9" t="s">
        <v>3920</v>
      </c>
      <c r="ERL1" s="9" t="s">
        <v>3921</v>
      </c>
      <c r="ERM1" s="9" t="s">
        <v>3922</v>
      </c>
      <c r="ERN1" s="9" t="s">
        <v>3923</v>
      </c>
      <c r="ERO1" s="9" t="s">
        <v>3924</v>
      </c>
      <c r="ERP1" s="9" t="s">
        <v>3925</v>
      </c>
      <c r="ERQ1" s="9" t="s">
        <v>3926</v>
      </c>
      <c r="ERR1" s="9" t="s">
        <v>3927</v>
      </c>
      <c r="ERS1" s="9" t="s">
        <v>3928</v>
      </c>
      <c r="ERT1" s="9" t="s">
        <v>3929</v>
      </c>
      <c r="ERU1" s="9" t="s">
        <v>3930</v>
      </c>
      <c r="ERV1" s="9" t="s">
        <v>3931</v>
      </c>
      <c r="ERW1" s="9" t="s">
        <v>3932</v>
      </c>
      <c r="ERX1" s="9" t="s">
        <v>3933</v>
      </c>
      <c r="ERY1" s="9" t="s">
        <v>3934</v>
      </c>
      <c r="ERZ1" s="9" t="s">
        <v>3935</v>
      </c>
      <c r="ESA1" s="9" t="s">
        <v>3936</v>
      </c>
      <c r="ESB1" s="9" t="s">
        <v>3937</v>
      </c>
      <c r="ESC1" s="9" t="s">
        <v>3938</v>
      </c>
      <c r="ESD1" s="9" t="s">
        <v>3939</v>
      </c>
      <c r="ESE1" s="9" t="s">
        <v>3940</v>
      </c>
      <c r="ESF1" s="9" t="s">
        <v>3941</v>
      </c>
      <c r="ESG1" s="9" t="s">
        <v>3942</v>
      </c>
      <c r="ESH1" s="9" t="s">
        <v>3943</v>
      </c>
      <c r="ESI1" s="9" t="s">
        <v>3944</v>
      </c>
      <c r="ESJ1" s="9" t="s">
        <v>3945</v>
      </c>
      <c r="ESK1" s="9" t="s">
        <v>3946</v>
      </c>
      <c r="ESL1" s="9" t="s">
        <v>3947</v>
      </c>
      <c r="ESM1" s="9" t="s">
        <v>3948</v>
      </c>
      <c r="ESN1" s="9" t="s">
        <v>3949</v>
      </c>
      <c r="ESO1" s="9" t="s">
        <v>3950</v>
      </c>
      <c r="ESP1" s="9" t="s">
        <v>3951</v>
      </c>
      <c r="ESQ1" s="9" t="s">
        <v>3952</v>
      </c>
      <c r="ESR1" s="9" t="s">
        <v>3953</v>
      </c>
      <c r="ESS1" s="9" t="s">
        <v>3954</v>
      </c>
      <c r="EST1" s="9" t="s">
        <v>3955</v>
      </c>
      <c r="ESU1" s="9" t="s">
        <v>3956</v>
      </c>
      <c r="ESV1" s="9" t="s">
        <v>3957</v>
      </c>
      <c r="ESW1" s="9" t="s">
        <v>3958</v>
      </c>
      <c r="ESX1" s="9" t="s">
        <v>3959</v>
      </c>
      <c r="ESY1" s="9" t="s">
        <v>3960</v>
      </c>
      <c r="ESZ1" s="9" t="s">
        <v>3961</v>
      </c>
      <c r="ETA1" s="9" t="s">
        <v>3962</v>
      </c>
      <c r="ETB1" s="9" t="s">
        <v>3963</v>
      </c>
      <c r="ETC1" s="9" t="s">
        <v>3964</v>
      </c>
      <c r="ETD1" s="9" t="s">
        <v>3965</v>
      </c>
      <c r="ETE1" s="9" t="s">
        <v>3966</v>
      </c>
      <c r="ETF1" s="9" t="s">
        <v>3967</v>
      </c>
      <c r="ETG1" s="9" t="s">
        <v>3968</v>
      </c>
      <c r="ETH1" s="9" t="s">
        <v>3969</v>
      </c>
      <c r="ETI1" s="9" t="s">
        <v>3970</v>
      </c>
      <c r="ETJ1" s="9" t="s">
        <v>3971</v>
      </c>
      <c r="ETK1" s="9" t="s">
        <v>3972</v>
      </c>
      <c r="ETL1" s="9" t="s">
        <v>3973</v>
      </c>
      <c r="ETM1" s="9" t="s">
        <v>3974</v>
      </c>
      <c r="ETN1" s="9" t="s">
        <v>3975</v>
      </c>
      <c r="ETO1" s="9" t="s">
        <v>3976</v>
      </c>
      <c r="ETP1" s="9" t="s">
        <v>3977</v>
      </c>
      <c r="ETQ1" s="9" t="s">
        <v>3978</v>
      </c>
      <c r="ETR1" s="9" t="s">
        <v>3979</v>
      </c>
      <c r="ETS1" s="9" t="s">
        <v>3980</v>
      </c>
      <c r="ETT1" s="9" t="s">
        <v>3981</v>
      </c>
      <c r="ETU1" s="9" t="s">
        <v>3982</v>
      </c>
      <c r="ETV1" s="9" t="s">
        <v>3983</v>
      </c>
      <c r="ETW1" s="9" t="s">
        <v>3984</v>
      </c>
      <c r="ETX1" s="9" t="s">
        <v>3985</v>
      </c>
      <c r="ETY1" s="9" t="s">
        <v>3986</v>
      </c>
      <c r="ETZ1" s="9" t="s">
        <v>3987</v>
      </c>
      <c r="EUA1" s="9" t="s">
        <v>3988</v>
      </c>
      <c r="EUB1" s="9" t="s">
        <v>3989</v>
      </c>
      <c r="EUC1" s="9" t="s">
        <v>3990</v>
      </c>
      <c r="EUD1" s="9" t="s">
        <v>3991</v>
      </c>
      <c r="EUE1" s="9" t="s">
        <v>3992</v>
      </c>
      <c r="EUF1" s="9" t="s">
        <v>3993</v>
      </c>
      <c r="EUG1" s="9" t="s">
        <v>3994</v>
      </c>
      <c r="EUH1" s="9" t="s">
        <v>3995</v>
      </c>
      <c r="EUI1" s="9" t="s">
        <v>3996</v>
      </c>
      <c r="EUJ1" s="9" t="s">
        <v>3997</v>
      </c>
      <c r="EUK1" s="9" t="s">
        <v>3998</v>
      </c>
      <c r="EUL1" s="9" t="s">
        <v>3999</v>
      </c>
      <c r="EUM1" s="9" t="s">
        <v>4000</v>
      </c>
      <c r="EUN1" s="9" t="s">
        <v>4001</v>
      </c>
      <c r="EUO1" s="9" t="s">
        <v>4002</v>
      </c>
      <c r="EUP1" s="9" t="s">
        <v>4003</v>
      </c>
      <c r="EUQ1" s="9" t="s">
        <v>4004</v>
      </c>
      <c r="EUR1" s="9" t="s">
        <v>4005</v>
      </c>
      <c r="EUS1" s="9" t="s">
        <v>4006</v>
      </c>
      <c r="EUT1" s="9" t="s">
        <v>4007</v>
      </c>
      <c r="EUU1" s="9" t="s">
        <v>4008</v>
      </c>
      <c r="EUV1" s="9" t="s">
        <v>4009</v>
      </c>
      <c r="EUW1" s="9" t="s">
        <v>4010</v>
      </c>
      <c r="EUX1" s="9" t="s">
        <v>4011</v>
      </c>
      <c r="EUY1" s="9" t="s">
        <v>4012</v>
      </c>
      <c r="EUZ1" s="9" t="s">
        <v>4013</v>
      </c>
      <c r="EVA1" s="9" t="s">
        <v>4014</v>
      </c>
      <c r="EVB1" s="9" t="s">
        <v>4015</v>
      </c>
      <c r="EVC1" s="9" t="s">
        <v>4016</v>
      </c>
      <c r="EVD1" s="9" t="s">
        <v>4017</v>
      </c>
      <c r="EVE1" s="9" t="s">
        <v>4018</v>
      </c>
      <c r="EVF1" s="9" t="s">
        <v>4019</v>
      </c>
      <c r="EVG1" s="9" t="s">
        <v>4020</v>
      </c>
      <c r="EVH1" s="9" t="s">
        <v>4021</v>
      </c>
      <c r="EVI1" s="9" t="s">
        <v>4022</v>
      </c>
      <c r="EVJ1" s="9" t="s">
        <v>4023</v>
      </c>
      <c r="EVK1" s="9" t="s">
        <v>4024</v>
      </c>
      <c r="EVL1" s="9" t="s">
        <v>4025</v>
      </c>
      <c r="EVM1" s="9" t="s">
        <v>4026</v>
      </c>
      <c r="EVN1" s="9" t="s">
        <v>4027</v>
      </c>
      <c r="EVO1" s="9" t="s">
        <v>4028</v>
      </c>
      <c r="EVP1" s="9" t="s">
        <v>4029</v>
      </c>
      <c r="EVQ1" s="9" t="s">
        <v>4030</v>
      </c>
      <c r="EVR1" s="9" t="s">
        <v>4031</v>
      </c>
      <c r="EVS1" s="9" t="s">
        <v>4032</v>
      </c>
      <c r="EVT1" s="9" t="s">
        <v>4033</v>
      </c>
      <c r="EVU1" s="9" t="s">
        <v>4034</v>
      </c>
      <c r="EVV1" s="9" t="s">
        <v>4035</v>
      </c>
      <c r="EVW1" s="9" t="s">
        <v>4036</v>
      </c>
      <c r="EVX1" s="9" t="s">
        <v>4037</v>
      </c>
      <c r="EVY1" s="9" t="s">
        <v>4038</v>
      </c>
      <c r="EVZ1" s="9" t="s">
        <v>4039</v>
      </c>
      <c r="EWA1" s="9" t="s">
        <v>4040</v>
      </c>
      <c r="EWB1" s="9" t="s">
        <v>4041</v>
      </c>
      <c r="EWC1" s="9" t="s">
        <v>4042</v>
      </c>
      <c r="EWD1" s="9" t="s">
        <v>4043</v>
      </c>
      <c r="EWE1" s="9" t="s">
        <v>4044</v>
      </c>
      <c r="EWF1" s="9" t="s">
        <v>4045</v>
      </c>
      <c r="EWG1" s="9" t="s">
        <v>4046</v>
      </c>
      <c r="EWH1" s="9" t="s">
        <v>4047</v>
      </c>
      <c r="EWI1" s="9" t="s">
        <v>4048</v>
      </c>
      <c r="EWJ1" s="9" t="s">
        <v>4049</v>
      </c>
      <c r="EWK1" s="9" t="s">
        <v>4050</v>
      </c>
      <c r="EWL1" s="9" t="s">
        <v>4051</v>
      </c>
      <c r="EWM1" s="9" t="s">
        <v>4052</v>
      </c>
      <c r="EWN1" s="9" t="s">
        <v>4053</v>
      </c>
      <c r="EWO1" s="9" t="s">
        <v>4054</v>
      </c>
      <c r="EWP1" s="9" t="s">
        <v>4055</v>
      </c>
      <c r="EWQ1" s="9" t="s">
        <v>4056</v>
      </c>
      <c r="EWR1" s="9" t="s">
        <v>4057</v>
      </c>
      <c r="EWS1" s="9" t="s">
        <v>4058</v>
      </c>
      <c r="EWT1" s="9" t="s">
        <v>4059</v>
      </c>
      <c r="EWU1" s="9" t="s">
        <v>4060</v>
      </c>
      <c r="EWV1" s="9" t="s">
        <v>4061</v>
      </c>
      <c r="EWW1" s="9" t="s">
        <v>4062</v>
      </c>
      <c r="EWX1" s="9" t="s">
        <v>4063</v>
      </c>
      <c r="EWY1" s="9" t="s">
        <v>4064</v>
      </c>
      <c r="EWZ1" s="9" t="s">
        <v>4065</v>
      </c>
      <c r="EXA1" s="9" t="s">
        <v>4066</v>
      </c>
      <c r="EXB1" s="9" t="s">
        <v>4067</v>
      </c>
      <c r="EXC1" s="9" t="s">
        <v>4068</v>
      </c>
      <c r="EXD1" s="9" t="s">
        <v>4069</v>
      </c>
      <c r="EXE1" s="9" t="s">
        <v>4070</v>
      </c>
      <c r="EXF1" s="9" t="s">
        <v>4071</v>
      </c>
      <c r="EXG1" s="9" t="s">
        <v>4072</v>
      </c>
      <c r="EXH1" s="9" t="s">
        <v>4073</v>
      </c>
      <c r="EXI1" s="9" t="s">
        <v>4074</v>
      </c>
      <c r="EXJ1" s="9" t="s">
        <v>4075</v>
      </c>
      <c r="EXK1" s="9" t="s">
        <v>4076</v>
      </c>
      <c r="EXL1" s="9" t="s">
        <v>4077</v>
      </c>
      <c r="EXM1" s="9" t="s">
        <v>4078</v>
      </c>
      <c r="EXN1" s="9" t="s">
        <v>4079</v>
      </c>
      <c r="EXO1" s="9" t="s">
        <v>4080</v>
      </c>
      <c r="EXP1" s="9" t="s">
        <v>4081</v>
      </c>
      <c r="EXQ1" s="9" t="s">
        <v>4082</v>
      </c>
      <c r="EXR1" s="9" t="s">
        <v>4083</v>
      </c>
      <c r="EXS1" s="9" t="s">
        <v>4084</v>
      </c>
      <c r="EXT1" s="9" t="s">
        <v>4085</v>
      </c>
      <c r="EXU1" s="9" t="s">
        <v>4086</v>
      </c>
      <c r="EXV1" s="9" t="s">
        <v>4087</v>
      </c>
      <c r="EXW1" s="9" t="s">
        <v>4088</v>
      </c>
      <c r="EXX1" s="9" t="s">
        <v>4089</v>
      </c>
      <c r="EXY1" s="9" t="s">
        <v>4090</v>
      </c>
      <c r="EXZ1" s="9" t="s">
        <v>4091</v>
      </c>
      <c r="EYA1" s="9" t="s">
        <v>4092</v>
      </c>
      <c r="EYB1" s="9" t="s">
        <v>4093</v>
      </c>
      <c r="EYC1" s="9" t="s">
        <v>4094</v>
      </c>
      <c r="EYD1" s="9" t="s">
        <v>4095</v>
      </c>
      <c r="EYE1" s="9" t="s">
        <v>4096</v>
      </c>
      <c r="EYF1" s="9" t="s">
        <v>4097</v>
      </c>
      <c r="EYG1" s="9" t="s">
        <v>4098</v>
      </c>
      <c r="EYH1" s="9" t="s">
        <v>4099</v>
      </c>
      <c r="EYI1" s="9" t="s">
        <v>4100</v>
      </c>
      <c r="EYJ1" s="9" t="s">
        <v>4101</v>
      </c>
      <c r="EYK1" s="9" t="s">
        <v>4102</v>
      </c>
      <c r="EYL1" s="9" t="s">
        <v>4103</v>
      </c>
      <c r="EYM1" s="9" t="s">
        <v>4104</v>
      </c>
      <c r="EYN1" s="9" t="s">
        <v>4105</v>
      </c>
      <c r="EYO1" s="9" t="s">
        <v>4106</v>
      </c>
      <c r="EYP1" s="9" t="s">
        <v>4107</v>
      </c>
      <c r="EYQ1" s="9" t="s">
        <v>4108</v>
      </c>
      <c r="EYR1" s="9" t="s">
        <v>4109</v>
      </c>
      <c r="EYS1" s="9" t="s">
        <v>4110</v>
      </c>
      <c r="EYT1" s="9" t="s">
        <v>4111</v>
      </c>
      <c r="EYU1" s="9" t="s">
        <v>4112</v>
      </c>
      <c r="EYV1" s="9" t="s">
        <v>4113</v>
      </c>
      <c r="EYW1" s="9" t="s">
        <v>4114</v>
      </c>
      <c r="EYX1" s="9" t="s">
        <v>4115</v>
      </c>
      <c r="EYY1" s="9" t="s">
        <v>4116</v>
      </c>
      <c r="EYZ1" s="9" t="s">
        <v>4117</v>
      </c>
      <c r="EZA1" s="9" t="s">
        <v>4118</v>
      </c>
      <c r="EZB1" s="9" t="s">
        <v>4119</v>
      </c>
      <c r="EZC1" s="9" t="s">
        <v>4120</v>
      </c>
      <c r="EZD1" s="9" t="s">
        <v>4121</v>
      </c>
      <c r="EZE1" s="9" t="s">
        <v>4122</v>
      </c>
      <c r="EZF1" s="9" t="s">
        <v>4123</v>
      </c>
      <c r="EZG1" s="9" t="s">
        <v>4124</v>
      </c>
      <c r="EZH1" s="9" t="s">
        <v>4125</v>
      </c>
      <c r="EZI1" s="9" t="s">
        <v>4126</v>
      </c>
      <c r="EZJ1" s="9" t="s">
        <v>4127</v>
      </c>
      <c r="EZK1" s="9" t="s">
        <v>4128</v>
      </c>
      <c r="EZL1" s="9" t="s">
        <v>4129</v>
      </c>
      <c r="EZM1" s="9" t="s">
        <v>4130</v>
      </c>
      <c r="EZN1" s="9" t="s">
        <v>4131</v>
      </c>
      <c r="EZO1" s="9" t="s">
        <v>4132</v>
      </c>
      <c r="EZP1" s="9" t="s">
        <v>4133</v>
      </c>
      <c r="EZQ1" s="9" t="s">
        <v>4134</v>
      </c>
      <c r="EZR1" s="9" t="s">
        <v>4135</v>
      </c>
      <c r="EZS1" s="9" t="s">
        <v>4136</v>
      </c>
      <c r="EZT1" s="9" t="s">
        <v>4137</v>
      </c>
      <c r="EZU1" s="9" t="s">
        <v>4138</v>
      </c>
      <c r="EZV1" s="9" t="s">
        <v>4139</v>
      </c>
      <c r="EZW1" s="9" t="s">
        <v>4140</v>
      </c>
      <c r="EZX1" s="9" t="s">
        <v>4141</v>
      </c>
      <c r="EZY1" s="9" t="s">
        <v>4142</v>
      </c>
      <c r="EZZ1" s="9" t="s">
        <v>4143</v>
      </c>
      <c r="FAA1" s="9" t="s">
        <v>4144</v>
      </c>
      <c r="FAB1" s="9" t="s">
        <v>4145</v>
      </c>
      <c r="FAC1" s="9" t="s">
        <v>4146</v>
      </c>
      <c r="FAD1" s="9" t="s">
        <v>4147</v>
      </c>
      <c r="FAE1" s="9" t="s">
        <v>4148</v>
      </c>
      <c r="FAF1" s="9" t="s">
        <v>4149</v>
      </c>
      <c r="FAG1" s="9" t="s">
        <v>4150</v>
      </c>
      <c r="FAH1" s="9" t="s">
        <v>4151</v>
      </c>
      <c r="FAI1" s="9" t="s">
        <v>4152</v>
      </c>
      <c r="FAJ1" s="9" t="s">
        <v>4153</v>
      </c>
      <c r="FAK1" s="9" t="s">
        <v>4154</v>
      </c>
      <c r="FAL1" s="9" t="s">
        <v>4155</v>
      </c>
      <c r="FAM1" s="9" t="s">
        <v>4156</v>
      </c>
      <c r="FAN1" s="9" t="s">
        <v>4157</v>
      </c>
      <c r="FAO1" s="9" t="s">
        <v>4158</v>
      </c>
      <c r="FAP1" s="9" t="s">
        <v>4159</v>
      </c>
      <c r="FAQ1" s="9" t="s">
        <v>4160</v>
      </c>
      <c r="FAR1" s="9" t="s">
        <v>4161</v>
      </c>
      <c r="FAS1" s="9" t="s">
        <v>4162</v>
      </c>
      <c r="FAT1" s="9" t="s">
        <v>4163</v>
      </c>
      <c r="FAU1" s="9" t="s">
        <v>4164</v>
      </c>
      <c r="FAV1" s="9" t="s">
        <v>4165</v>
      </c>
      <c r="FAW1" s="9" t="s">
        <v>4166</v>
      </c>
      <c r="FAX1" s="9" t="s">
        <v>4167</v>
      </c>
      <c r="FAY1" s="9" t="s">
        <v>4168</v>
      </c>
      <c r="FAZ1" s="9" t="s">
        <v>4169</v>
      </c>
      <c r="FBA1" s="9" t="s">
        <v>4170</v>
      </c>
      <c r="FBB1" s="9" t="s">
        <v>4171</v>
      </c>
      <c r="FBC1" s="9" t="s">
        <v>4172</v>
      </c>
      <c r="FBD1" s="9" t="s">
        <v>4173</v>
      </c>
      <c r="FBE1" s="9" t="s">
        <v>4174</v>
      </c>
      <c r="FBF1" s="9" t="s">
        <v>4175</v>
      </c>
      <c r="FBG1" s="9" t="s">
        <v>4176</v>
      </c>
      <c r="FBH1" s="9" t="s">
        <v>4177</v>
      </c>
      <c r="FBI1" s="9" t="s">
        <v>4178</v>
      </c>
      <c r="FBJ1" s="9" t="s">
        <v>4179</v>
      </c>
      <c r="FBK1" s="9" t="s">
        <v>4180</v>
      </c>
      <c r="FBL1" s="9" t="s">
        <v>4181</v>
      </c>
      <c r="FBM1" s="9" t="s">
        <v>4182</v>
      </c>
      <c r="FBN1" s="9" t="s">
        <v>4183</v>
      </c>
      <c r="FBO1" s="9" t="s">
        <v>4184</v>
      </c>
      <c r="FBP1" s="9" t="s">
        <v>4185</v>
      </c>
      <c r="FBQ1" s="9" t="s">
        <v>4186</v>
      </c>
      <c r="FBR1" s="9" t="s">
        <v>4187</v>
      </c>
      <c r="FBS1" s="9" t="s">
        <v>4188</v>
      </c>
      <c r="FBT1" s="9" t="s">
        <v>4189</v>
      </c>
      <c r="FBU1" s="9" t="s">
        <v>4190</v>
      </c>
      <c r="FBV1" s="9" t="s">
        <v>4191</v>
      </c>
      <c r="FBW1" s="9" t="s">
        <v>4192</v>
      </c>
      <c r="FBX1" s="9" t="s">
        <v>4193</v>
      </c>
      <c r="FBY1" s="9" t="s">
        <v>4194</v>
      </c>
      <c r="FBZ1" s="9" t="s">
        <v>4195</v>
      </c>
      <c r="FCA1" s="9" t="s">
        <v>4196</v>
      </c>
      <c r="FCB1" s="9" t="s">
        <v>4197</v>
      </c>
      <c r="FCC1" s="9" t="s">
        <v>4198</v>
      </c>
      <c r="FCD1" s="9" t="s">
        <v>4199</v>
      </c>
      <c r="FCE1" s="9" t="s">
        <v>4200</v>
      </c>
      <c r="FCF1" s="9" t="s">
        <v>4201</v>
      </c>
      <c r="FCG1" s="9" t="s">
        <v>4202</v>
      </c>
      <c r="FCH1" s="9" t="s">
        <v>4203</v>
      </c>
      <c r="FCI1" s="9" t="s">
        <v>4204</v>
      </c>
      <c r="FCJ1" s="9" t="s">
        <v>4205</v>
      </c>
      <c r="FCK1" s="9" t="s">
        <v>4206</v>
      </c>
      <c r="FCL1" s="9" t="s">
        <v>4207</v>
      </c>
      <c r="FCM1" s="9" t="s">
        <v>4208</v>
      </c>
      <c r="FCN1" s="9" t="s">
        <v>4209</v>
      </c>
      <c r="FCO1" s="9" t="s">
        <v>4210</v>
      </c>
      <c r="FCP1" s="9" t="s">
        <v>4211</v>
      </c>
      <c r="FCQ1" s="9" t="s">
        <v>4212</v>
      </c>
      <c r="FCR1" s="9" t="s">
        <v>4213</v>
      </c>
      <c r="FCS1" s="9" t="s">
        <v>4214</v>
      </c>
      <c r="FCT1" s="9" t="s">
        <v>4215</v>
      </c>
      <c r="FCU1" s="9" t="s">
        <v>4216</v>
      </c>
      <c r="FCV1" s="9" t="s">
        <v>4217</v>
      </c>
      <c r="FCW1" s="9" t="s">
        <v>4218</v>
      </c>
      <c r="FCX1" s="9" t="s">
        <v>4219</v>
      </c>
      <c r="FCY1" s="9" t="s">
        <v>4220</v>
      </c>
      <c r="FCZ1" s="9" t="s">
        <v>4221</v>
      </c>
      <c r="FDA1" s="9" t="s">
        <v>4222</v>
      </c>
      <c r="FDB1" s="9" t="s">
        <v>4223</v>
      </c>
      <c r="FDC1" s="9" t="s">
        <v>4224</v>
      </c>
      <c r="FDD1" s="9" t="s">
        <v>4225</v>
      </c>
      <c r="FDE1" s="9" t="s">
        <v>4226</v>
      </c>
      <c r="FDF1" s="9" t="s">
        <v>4227</v>
      </c>
      <c r="FDG1" s="9" t="s">
        <v>4228</v>
      </c>
      <c r="FDH1" s="9" t="s">
        <v>4229</v>
      </c>
      <c r="FDI1" s="9" t="s">
        <v>4230</v>
      </c>
      <c r="FDJ1" s="9" t="s">
        <v>4231</v>
      </c>
      <c r="FDK1" s="9" t="s">
        <v>4232</v>
      </c>
      <c r="FDL1" s="9" t="s">
        <v>4233</v>
      </c>
      <c r="FDM1" s="9" t="s">
        <v>4234</v>
      </c>
      <c r="FDN1" s="9" t="s">
        <v>4235</v>
      </c>
      <c r="FDO1" s="9" t="s">
        <v>4236</v>
      </c>
      <c r="FDP1" s="9" t="s">
        <v>4237</v>
      </c>
      <c r="FDQ1" s="9" t="s">
        <v>4238</v>
      </c>
      <c r="FDR1" s="9" t="s">
        <v>4239</v>
      </c>
      <c r="FDS1" s="9" t="s">
        <v>4240</v>
      </c>
      <c r="FDT1" s="9" t="s">
        <v>4241</v>
      </c>
      <c r="FDU1" s="9" t="s">
        <v>4242</v>
      </c>
      <c r="FDV1" s="9" t="s">
        <v>4243</v>
      </c>
      <c r="FDW1" s="9" t="s">
        <v>4244</v>
      </c>
      <c r="FDX1" s="9" t="s">
        <v>4245</v>
      </c>
      <c r="FDY1" s="9" t="s">
        <v>4246</v>
      </c>
      <c r="FDZ1" s="9" t="s">
        <v>4247</v>
      </c>
      <c r="FEA1" s="9" t="s">
        <v>4248</v>
      </c>
      <c r="FEB1" s="9" t="s">
        <v>4249</v>
      </c>
      <c r="FEC1" s="9" t="s">
        <v>4250</v>
      </c>
      <c r="FED1" s="9" t="s">
        <v>4251</v>
      </c>
      <c r="FEE1" s="9" t="s">
        <v>4252</v>
      </c>
      <c r="FEF1" s="9" t="s">
        <v>4253</v>
      </c>
      <c r="FEG1" s="9" t="s">
        <v>4254</v>
      </c>
      <c r="FEH1" s="9" t="s">
        <v>4255</v>
      </c>
      <c r="FEI1" s="9" t="s">
        <v>4256</v>
      </c>
      <c r="FEJ1" s="9" t="s">
        <v>4257</v>
      </c>
      <c r="FEK1" s="9" t="s">
        <v>4258</v>
      </c>
      <c r="FEL1" s="9" t="s">
        <v>4259</v>
      </c>
      <c r="FEM1" s="9" t="s">
        <v>4260</v>
      </c>
      <c r="FEN1" s="9" t="s">
        <v>4261</v>
      </c>
      <c r="FEO1" s="9" t="s">
        <v>4262</v>
      </c>
      <c r="FEP1" s="9" t="s">
        <v>4263</v>
      </c>
      <c r="FEQ1" s="9" t="s">
        <v>4264</v>
      </c>
      <c r="FER1" s="9" t="s">
        <v>4265</v>
      </c>
      <c r="FES1" s="9" t="s">
        <v>4266</v>
      </c>
      <c r="FET1" s="9" t="s">
        <v>4267</v>
      </c>
      <c r="FEU1" s="9" t="s">
        <v>4268</v>
      </c>
      <c r="FEV1" s="9" t="s">
        <v>4269</v>
      </c>
      <c r="FEW1" s="9" t="s">
        <v>4270</v>
      </c>
      <c r="FEX1" s="9" t="s">
        <v>4271</v>
      </c>
      <c r="FEY1" s="9" t="s">
        <v>4272</v>
      </c>
      <c r="FEZ1" s="9" t="s">
        <v>4273</v>
      </c>
      <c r="FFA1" s="9" t="s">
        <v>4274</v>
      </c>
      <c r="FFB1" s="9" t="s">
        <v>4275</v>
      </c>
      <c r="FFC1" s="9" t="s">
        <v>4276</v>
      </c>
      <c r="FFD1" s="9" t="s">
        <v>4277</v>
      </c>
      <c r="FFE1" s="9" t="s">
        <v>4278</v>
      </c>
      <c r="FFF1" s="9" t="s">
        <v>4279</v>
      </c>
      <c r="FFG1" s="9" t="s">
        <v>4280</v>
      </c>
      <c r="FFH1" s="9" t="s">
        <v>4281</v>
      </c>
      <c r="FFI1" s="9" t="s">
        <v>4282</v>
      </c>
      <c r="FFJ1" s="9" t="s">
        <v>4283</v>
      </c>
      <c r="FFK1" s="9" t="s">
        <v>4284</v>
      </c>
      <c r="FFL1" s="9" t="s">
        <v>4285</v>
      </c>
      <c r="FFM1" s="9" t="s">
        <v>4286</v>
      </c>
      <c r="FFN1" s="9" t="s">
        <v>4287</v>
      </c>
      <c r="FFO1" s="9" t="s">
        <v>4288</v>
      </c>
      <c r="FFP1" s="9" t="s">
        <v>4289</v>
      </c>
      <c r="FFQ1" s="9" t="s">
        <v>4290</v>
      </c>
      <c r="FFR1" s="9" t="s">
        <v>4291</v>
      </c>
      <c r="FFS1" s="9" t="s">
        <v>4292</v>
      </c>
      <c r="FFT1" s="9" t="s">
        <v>4293</v>
      </c>
      <c r="FFU1" s="9" t="s">
        <v>4294</v>
      </c>
      <c r="FFV1" s="9" t="s">
        <v>4295</v>
      </c>
      <c r="FFW1" s="9" t="s">
        <v>4296</v>
      </c>
      <c r="FFX1" s="9" t="s">
        <v>4297</v>
      </c>
      <c r="FFY1" s="9" t="s">
        <v>4298</v>
      </c>
      <c r="FFZ1" s="9" t="s">
        <v>4299</v>
      </c>
      <c r="FGA1" s="9" t="s">
        <v>4300</v>
      </c>
      <c r="FGB1" s="9" t="s">
        <v>4301</v>
      </c>
      <c r="FGC1" s="9" t="s">
        <v>4302</v>
      </c>
      <c r="FGD1" s="9" t="s">
        <v>4303</v>
      </c>
      <c r="FGE1" s="9" t="s">
        <v>4304</v>
      </c>
      <c r="FGF1" s="9" t="s">
        <v>4305</v>
      </c>
      <c r="FGG1" s="9" t="s">
        <v>4306</v>
      </c>
      <c r="FGH1" s="9" t="s">
        <v>4307</v>
      </c>
      <c r="FGI1" s="9" t="s">
        <v>4308</v>
      </c>
      <c r="FGJ1" s="9" t="s">
        <v>4309</v>
      </c>
      <c r="FGK1" s="9" t="s">
        <v>4310</v>
      </c>
      <c r="FGL1" s="9" t="s">
        <v>4311</v>
      </c>
      <c r="FGM1" s="9" t="s">
        <v>4312</v>
      </c>
      <c r="FGN1" s="9" t="s">
        <v>4313</v>
      </c>
      <c r="FGO1" s="9" t="s">
        <v>4314</v>
      </c>
      <c r="FGP1" s="9" t="s">
        <v>4315</v>
      </c>
      <c r="FGQ1" s="9" t="s">
        <v>4316</v>
      </c>
      <c r="FGR1" s="9" t="s">
        <v>4317</v>
      </c>
      <c r="FGS1" s="9" t="s">
        <v>4318</v>
      </c>
      <c r="FGT1" s="9" t="s">
        <v>4319</v>
      </c>
      <c r="FGU1" s="9" t="s">
        <v>4320</v>
      </c>
      <c r="FGV1" s="9" t="s">
        <v>4321</v>
      </c>
      <c r="FGW1" s="9" t="s">
        <v>4322</v>
      </c>
      <c r="FGX1" s="9" t="s">
        <v>4323</v>
      </c>
      <c r="FGY1" s="9" t="s">
        <v>4324</v>
      </c>
      <c r="FGZ1" s="9" t="s">
        <v>4325</v>
      </c>
      <c r="FHA1" s="9" t="s">
        <v>4326</v>
      </c>
      <c r="FHB1" s="9" t="s">
        <v>4327</v>
      </c>
      <c r="FHC1" s="9" t="s">
        <v>4328</v>
      </c>
      <c r="FHD1" s="9" t="s">
        <v>4329</v>
      </c>
      <c r="FHE1" s="9" t="s">
        <v>4330</v>
      </c>
      <c r="FHF1" s="9" t="s">
        <v>4331</v>
      </c>
      <c r="FHG1" s="9" t="s">
        <v>4332</v>
      </c>
      <c r="FHH1" s="9" t="s">
        <v>4333</v>
      </c>
      <c r="FHI1" s="9" t="s">
        <v>4334</v>
      </c>
      <c r="FHJ1" s="9" t="s">
        <v>4335</v>
      </c>
      <c r="FHK1" s="9" t="s">
        <v>4336</v>
      </c>
      <c r="FHL1" s="9" t="s">
        <v>4337</v>
      </c>
      <c r="FHM1" s="9" t="s">
        <v>4338</v>
      </c>
      <c r="FHN1" s="9" t="s">
        <v>4339</v>
      </c>
      <c r="FHO1" s="9" t="s">
        <v>4340</v>
      </c>
      <c r="FHP1" s="9" t="s">
        <v>4341</v>
      </c>
      <c r="FHQ1" s="9" t="s">
        <v>4342</v>
      </c>
      <c r="FHR1" s="9" t="s">
        <v>4343</v>
      </c>
      <c r="FHS1" s="9" t="s">
        <v>4344</v>
      </c>
      <c r="FHT1" s="9" t="s">
        <v>4345</v>
      </c>
      <c r="FHU1" s="9" t="s">
        <v>4346</v>
      </c>
      <c r="FHV1" s="9" t="s">
        <v>4347</v>
      </c>
      <c r="FHW1" s="9" t="s">
        <v>4348</v>
      </c>
      <c r="FHX1" s="9" t="s">
        <v>4349</v>
      </c>
      <c r="FHY1" s="9" t="s">
        <v>4350</v>
      </c>
      <c r="FHZ1" s="9" t="s">
        <v>4351</v>
      </c>
      <c r="FIA1" s="9" t="s">
        <v>4352</v>
      </c>
      <c r="FIB1" s="9" t="s">
        <v>4353</v>
      </c>
      <c r="FIC1" s="9" t="s">
        <v>4354</v>
      </c>
      <c r="FID1" s="9" t="s">
        <v>4355</v>
      </c>
      <c r="FIE1" s="9" t="s">
        <v>4356</v>
      </c>
      <c r="FIF1" s="9" t="s">
        <v>4357</v>
      </c>
      <c r="FIG1" s="9" t="s">
        <v>4358</v>
      </c>
      <c r="FIH1" s="9" t="s">
        <v>4359</v>
      </c>
      <c r="FII1" s="9" t="s">
        <v>4360</v>
      </c>
      <c r="FIJ1" s="9" t="s">
        <v>4361</v>
      </c>
      <c r="FIK1" s="9" t="s">
        <v>4362</v>
      </c>
      <c r="FIL1" s="9" t="s">
        <v>4363</v>
      </c>
      <c r="FIM1" s="9" t="s">
        <v>4364</v>
      </c>
      <c r="FIN1" s="9" t="s">
        <v>4365</v>
      </c>
      <c r="FIO1" s="9" t="s">
        <v>4366</v>
      </c>
      <c r="FIP1" s="9" t="s">
        <v>4367</v>
      </c>
      <c r="FIQ1" s="9" t="s">
        <v>4368</v>
      </c>
      <c r="FIR1" s="9" t="s">
        <v>4369</v>
      </c>
      <c r="FIS1" s="9" t="s">
        <v>4370</v>
      </c>
      <c r="FIT1" s="9" t="s">
        <v>4371</v>
      </c>
      <c r="FIU1" s="9" t="s">
        <v>4372</v>
      </c>
      <c r="FIV1" s="9" t="s">
        <v>4373</v>
      </c>
      <c r="FIW1" s="9" t="s">
        <v>4374</v>
      </c>
      <c r="FIX1" s="9" t="s">
        <v>4375</v>
      </c>
      <c r="FIY1" s="9" t="s">
        <v>4376</v>
      </c>
      <c r="FIZ1" s="9" t="s">
        <v>4377</v>
      </c>
      <c r="FJA1" s="9" t="s">
        <v>4378</v>
      </c>
      <c r="FJB1" s="9" t="s">
        <v>4379</v>
      </c>
      <c r="FJC1" s="9" t="s">
        <v>4380</v>
      </c>
      <c r="FJD1" s="9" t="s">
        <v>4381</v>
      </c>
      <c r="FJE1" s="9" t="s">
        <v>4382</v>
      </c>
      <c r="FJF1" s="9" t="s">
        <v>4383</v>
      </c>
      <c r="FJG1" s="9" t="s">
        <v>4384</v>
      </c>
      <c r="FJH1" s="9" t="s">
        <v>4385</v>
      </c>
      <c r="FJI1" s="9" t="s">
        <v>4386</v>
      </c>
      <c r="FJJ1" s="9" t="s">
        <v>4387</v>
      </c>
      <c r="FJK1" s="9" t="s">
        <v>4388</v>
      </c>
      <c r="FJL1" s="9" t="s">
        <v>4389</v>
      </c>
      <c r="FJM1" s="9" t="s">
        <v>4390</v>
      </c>
      <c r="FJN1" s="9" t="s">
        <v>4391</v>
      </c>
      <c r="FJO1" s="9" t="s">
        <v>4392</v>
      </c>
      <c r="FJP1" s="9" t="s">
        <v>4393</v>
      </c>
      <c r="FJQ1" s="9" t="s">
        <v>4394</v>
      </c>
      <c r="FJR1" s="9" t="s">
        <v>4395</v>
      </c>
      <c r="FJS1" s="9" t="s">
        <v>4396</v>
      </c>
      <c r="FJT1" s="9" t="s">
        <v>4397</v>
      </c>
      <c r="FJU1" s="9" t="s">
        <v>4398</v>
      </c>
      <c r="FJV1" s="9" t="s">
        <v>4399</v>
      </c>
      <c r="FJW1" s="9" t="s">
        <v>4400</v>
      </c>
      <c r="FJX1" s="9" t="s">
        <v>4401</v>
      </c>
      <c r="FJY1" s="9" t="s">
        <v>4402</v>
      </c>
      <c r="FJZ1" s="9" t="s">
        <v>4403</v>
      </c>
      <c r="FKA1" s="9" t="s">
        <v>4404</v>
      </c>
      <c r="FKB1" s="9" t="s">
        <v>4405</v>
      </c>
      <c r="FKC1" s="9" t="s">
        <v>4406</v>
      </c>
      <c r="FKD1" s="9" t="s">
        <v>4407</v>
      </c>
      <c r="FKE1" s="9" t="s">
        <v>4408</v>
      </c>
      <c r="FKF1" s="9" t="s">
        <v>4409</v>
      </c>
      <c r="FKG1" s="9" t="s">
        <v>4410</v>
      </c>
      <c r="FKH1" s="9" t="s">
        <v>4411</v>
      </c>
      <c r="FKI1" s="9" t="s">
        <v>4412</v>
      </c>
      <c r="FKJ1" s="9" t="s">
        <v>4413</v>
      </c>
      <c r="FKK1" s="9" t="s">
        <v>4414</v>
      </c>
      <c r="FKL1" s="9" t="s">
        <v>4415</v>
      </c>
      <c r="FKM1" s="9" t="s">
        <v>4416</v>
      </c>
      <c r="FKN1" s="9" t="s">
        <v>4417</v>
      </c>
      <c r="FKO1" s="9" t="s">
        <v>4418</v>
      </c>
      <c r="FKP1" s="9" t="s">
        <v>4419</v>
      </c>
      <c r="FKQ1" s="9" t="s">
        <v>4420</v>
      </c>
      <c r="FKR1" s="9" t="s">
        <v>4421</v>
      </c>
      <c r="FKS1" s="9" t="s">
        <v>4422</v>
      </c>
      <c r="FKT1" s="9" t="s">
        <v>4423</v>
      </c>
      <c r="FKU1" s="9" t="s">
        <v>4424</v>
      </c>
      <c r="FKV1" s="9" t="s">
        <v>4425</v>
      </c>
      <c r="FKW1" s="9" t="s">
        <v>4426</v>
      </c>
      <c r="FKX1" s="9" t="s">
        <v>4427</v>
      </c>
      <c r="FKY1" s="9" t="s">
        <v>4428</v>
      </c>
      <c r="FKZ1" s="9" t="s">
        <v>4429</v>
      </c>
      <c r="FLA1" s="9" t="s">
        <v>4430</v>
      </c>
      <c r="FLB1" s="9" t="s">
        <v>4431</v>
      </c>
      <c r="FLC1" s="9" t="s">
        <v>4432</v>
      </c>
      <c r="FLD1" s="9" t="s">
        <v>4433</v>
      </c>
      <c r="FLE1" s="9" t="s">
        <v>4434</v>
      </c>
      <c r="FLF1" s="9" t="s">
        <v>4435</v>
      </c>
      <c r="FLG1" s="9" t="s">
        <v>4436</v>
      </c>
      <c r="FLH1" s="9" t="s">
        <v>4437</v>
      </c>
      <c r="FLI1" s="9" t="s">
        <v>4438</v>
      </c>
      <c r="FLJ1" s="9" t="s">
        <v>4439</v>
      </c>
      <c r="FLK1" s="9" t="s">
        <v>4440</v>
      </c>
      <c r="FLL1" s="9" t="s">
        <v>4441</v>
      </c>
      <c r="FLM1" s="9" t="s">
        <v>4442</v>
      </c>
      <c r="FLN1" s="9" t="s">
        <v>4443</v>
      </c>
      <c r="FLO1" s="9" t="s">
        <v>4444</v>
      </c>
      <c r="FLP1" s="9" t="s">
        <v>4445</v>
      </c>
      <c r="FLQ1" s="9" t="s">
        <v>4446</v>
      </c>
      <c r="FLR1" s="9" t="s">
        <v>4447</v>
      </c>
      <c r="FLS1" s="9" t="s">
        <v>4448</v>
      </c>
      <c r="FLT1" s="9" t="s">
        <v>4449</v>
      </c>
      <c r="FLU1" s="9" t="s">
        <v>4450</v>
      </c>
      <c r="FLV1" s="9" t="s">
        <v>4451</v>
      </c>
      <c r="FLW1" s="9" t="s">
        <v>4452</v>
      </c>
      <c r="FLX1" s="9" t="s">
        <v>4453</v>
      </c>
      <c r="FLY1" s="9" t="s">
        <v>4454</v>
      </c>
      <c r="FLZ1" s="9" t="s">
        <v>4455</v>
      </c>
      <c r="FMA1" s="9" t="s">
        <v>4456</v>
      </c>
      <c r="FMB1" s="9" t="s">
        <v>4457</v>
      </c>
      <c r="FMC1" s="9" t="s">
        <v>4458</v>
      </c>
      <c r="FMD1" s="9" t="s">
        <v>4459</v>
      </c>
      <c r="FME1" s="9" t="s">
        <v>4460</v>
      </c>
      <c r="FMF1" s="9" t="s">
        <v>4461</v>
      </c>
      <c r="FMG1" s="9" t="s">
        <v>4462</v>
      </c>
      <c r="FMH1" s="9" t="s">
        <v>4463</v>
      </c>
      <c r="FMI1" s="9" t="s">
        <v>4464</v>
      </c>
      <c r="FMJ1" s="9" t="s">
        <v>4465</v>
      </c>
      <c r="FMK1" s="9" t="s">
        <v>4466</v>
      </c>
      <c r="FML1" s="9" t="s">
        <v>4467</v>
      </c>
      <c r="FMM1" s="9" t="s">
        <v>4468</v>
      </c>
      <c r="FMN1" s="9" t="s">
        <v>4469</v>
      </c>
      <c r="FMO1" s="9" t="s">
        <v>4470</v>
      </c>
      <c r="FMP1" s="9" t="s">
        <v>4471</v>
      </c>
      <c r="FMQ1" s="9" t="s">
        <v>4472</v>
      </c>
      <c r="FMR1" s="9" t="s">
        <v>4473</v>
      </c>
      <c r="FMS1" s="9" t="s">
        <v>4474</v>
      </c>
      <c r="FMT1" s="9" t="s">
        <v>4475</v>
      </c>
      <c r="FMU1" s="9" t="s">
        <v>4476</v>
      </c>
      <c r="FMV1" s="9" t="s">
        <v>4477</v>
      </c>
      <c r="FMW1" s="9" t="s">
        <v>4478</v>
      </c>
      <c r="FMX1" s="9" t="s">
        <v>4479</v>
      </c>
      <c r="FMY1" s="9" t="s">
        <v>4480</v>
      </c>
      <c r="FMZ1" s="9" t="s">
        <v>4481</v>
      </c>
      <c r="FNA1" s="9" t="s">
        <v>4482</v>
      </c>
      <c r="FNB1" s="9" t="s">
        <v>4483</v>
      </c>
      <c r="FNC1" s="9" t="s">
        <v>4484</v>
      </c>
      <c r="FND1" s="9" t="s">
        <v>4485</v>
      </c>
      <c r="FNE1" s="9" t="s">
        <v>4486</v>
      </c>
      <c r="FNF1" s="9" t="s">
        <v>4487</v>
      </c>
      <c r="FNG1" s="9" t="s">
        <v>4488</v>
      </c>
      <c r="FNH1" s="9" t="s">
        <v>4489</v>
      </c>
      <c r="FNI1" s="9" t="s">
        <v>4490</v>
      </c>
      <c r="FNJ1" s="9" t="s">
        <v>4491</v>
      </c>
      <c r="FNK1" s="9" t="s">
        <v>4492</v>
      </c>
      <c r="FNL1" s="9" t="s">
        <v>4493</v>
      </c>
      <c r="FNM1" s="9" t="s">
        <v>4494</v>
      </c>
      <c r="FNN1" s="9" t="s">
        <v>4495</v>
      </c>
      <c r="FNO1" s="9" t="s">
        <v>4496</v>
      </c>
      <c r="FNP1" s="9" t="s">
        <v>4497</v>
      </c>
      <c r="FNQ1" s="9" t="s">
        <v>4498</v>
      </c>
      <c r="FNR1" s="9" t="s">
        <v>4499</v>
      </c>
      <c r="FNS1" s="9" t="s">
        <v>4500</v>
      </c>
      <c r="FNT1" s="9" t="s">
        <v>4501</v>
      </c>
      <c r="FNU1" s="9" t="s">
        <v>4502</v>
      </c>
      <c r="FNV1" s="9" t="s">
        <v>4503</v>
      </c>
      <c r="FNW1" s="9" t="s">
        <v>4504</v>
      </c>
      <c r="FNX1" s="9" t="s">
        <v>4505</v>
      </c>
      <c r="FNY1" s="9" t="s">
        <v>4506</v>
      </c>
      <c r="FNZ1" s="9" t="s">
        <v>4507</v>
      </c>
      <c r="FOA1" s="9" t="s">
        <v>4508</v>
      </c>
      <c r="FOB1" s="9" t="s">
        <v>4509</v>
      </c>
      <c r="FOC1" s="9" t="s">
        <v>4510</v>
      </c>
      <c r="FOD1" s="9" t="s">
        <v>4511</v>
      </c>
      <c r="FOE1" s="9" t="s">
        <v>4512</v>
      </c>
      <c r="FOF1" s="9" t="s">
        <v>4513</v>
      </c>
      <c r="FOG1" s="9" t="s">
        <v>4514</v>
      </c>
      <c r="FOH1" s="9" t="s">
        <v>4515</v>
      </c>
      <c r="FOI1" s="9" t="s">
        <v>4516</v>
      </c>
      <c r="FOJ1" s="9" t="s">
        <v>4517</v>
      </c>
      <c r="FOK1" s="9" t="s">
        <v>4518</v>
      </c>
      <c r="FOL1" s="9" t="s">
        <v>4519</v>
      </c>
      <c r="FOM1" s="9" t="s">
        <v>4520</v>
      </c>
      <c r="FON1" s="9" t="s">
        <v>4521</v>
      </c>
      <c r="FOO1" s="9" t="s">
        <v>4522</v>
      </c>
      <c r="FOP1" s="9" t="s">
        <v>4523</v>
      </c>
      <c r="FOQ1" s="9" t="s">
        <v>4524</v>
      </c>
      <c r="FOR1" s="9" t="s">
        <v>4525</v>
      </c>
      <c r="FOS1" s="9" t="s">
        <v>4526</v>
      </c>
      <c r="FOT1" s="9" t="s">
        <v>4527</v>
      </c>
      <c r="FOU1" s="9" t="s">
        <v>4528</v>
      </c>
      <c r="FOV1" s="9" t="s">
        <v>4529</v>
      </c>
      <c r="FOW1" s="9" t="s">
        <v>4530</v>
      </c>
      <c r="FOX1" s="9" t="s">
        <v>4531</v>
      </c>
      <c r="FOY1" s="9" t="s">
        <v>4532</v>
      </c>
      <c r="FOZ1" s="9" t="s">
        <v>4533</v>
      </c>
      <c r="FPA1" s="9" t="s">
        <v>4534</v>
      </c>
      <c r="FPB1" s="9" t="s">
        <v>4535</v>
      </c>
      <c r="FPC1" s="9" t="s">
        <v>4536</v>
      </c>
      <c r="FPD1" s="9" t="s">
        <v>4537</v>
      </c>
      <c r="FPE1" s="9" t="s">
        <v>4538</v>
      </c>
      <c r="FPF1" s="9" t="s">
        <v>4539</v>
      </c>
      <c r="FPG1" s="9" t="s">
        <v>4540</v>
      </c>
      <c r="FPH1" s="9" t="s">
        <v>4541</v>
      </c>
      <c r="FPI1" s="9" t="s">
        <v>4542</v>
      </c>
      <c r="FPJ1" s="9" t="s">
        <v>4543</v>
      </c>
      <c r="FPK1" s="9" t="s">
        <v>4544</v>
      </c>
      <c r="FPL1" s="9" t="s">
        <v>4545</v>
      </c>
      <c r="FPM1" s="9" t="s">
        <v>4546</v>
      </c>
      <c r="FPN1" s="9" t="s">
        <v>4547</v>
      </c>
      <c r="FPO1" s="9" t="s">
        <v>4548</v>
      </c>
      <c r="FPP1" s="9" t="s">
        <v>4549</v>
      </c>
      <c r="FPQ1" s="9" t="s">
        <v>4550</v>
      </c>
      <c r="FPR1" s="9" t="s">
        <v>4551</v>
      </c>
      <c r="FPS1" s="9" t="s">
        <v>4552</v>
      </c>
      <c r="FPT1" s="9" t="s">
        <v>4553</v>
      </c>
      <c r="FPU1" s="9" t="s">
        <v>4554</v>
      </c>
      <c r="FPV1" s="9" t="s">
        <v>4555</v>
      </c>
      <c r="FPW1" s="9" t="s">
        <v>4556</v>
      </c>
      <c r="FPX1" s="9" t="s">
        <v>4557</v>
      </c>
      <c r="FPY1" s="9" t="s">
        <v>4558</v>
      </c>
      <c r="FPZ1" s="9" t="s">
        <v>4559</v>
      </c>
      <c r="FQA1" s="9" t="s">
        <v>4560</v>
      </c>
      <c r="FQB1" s="9" t="s">
        <v>4561</v>
      </c>
      <c r="FQC1" s="9" t="s">
        <v>4562</v>
      </c>
      <c r="FQD1" s="9" t="s">
        <v>4563</v>
      </c>
      <c r="FQE1" s="9" t="s">
        <v>4564</v>
      </c>
      <c r="FQF1" s="9" t="s">
        <v>4565</v>
      </c>
      <c r="FQG1" s="9" t="s">
        <v>4566</v>
      </c>
      <c r="FQH1" s="9" t="s">
        <v>4567</v>
      </c>
      <c r="FQI1" s="9" t="s">
        <v>4568</v>
      </c>
      <c r="FQJ1" s="9" t="s">
        <v>4569</v>
      </c>
      <c r="FQK1" s="9" t="s">
        <v>4570</v>
      </c>
      <c r="FQL1" s="9" t="s">
        <v>4571</v>
      </c>
      <c r="FQM1" s="9" t="s">
        <v>4572</v>
      </c>
      <c r="FQN1" s="9" t="s">
        <v>4573</v>
      </c>
      <c r="FQO1" s="9" t="s">
        <v>4574</v>
      </c>
      <c r="FQP1" s="9" t="s">
        <v>4575</v>
      </c>
      <c r="FQQ1" s="9" t="s">
        <v>4576</v>
      </c>
      <c r="FQR1" s="9" t="s">
        <v>4577</v>
      </c>
      <c r="FQS1" s="9" t="s">
        <v>4578</v>
      </c>
      <c r="FQT1" s="9" t="s">
        <v>4579</v>
      </c>
      <c r="FQU1" s="9" t="s">
        <v>4580</v>
      </c>
      <c r="FQV1" s="9" t="s">
        <v>4581</v>
      </c>
      <c r="FQW1" s="9" t="s">
        <v>4582</v>
      </c>
      <c r="FQX1" s="9" t="s">
        <v>4583</v>
      </c>
      <c r="FQY1" s="9" t="s">
        <v>4584</v>
      </c>
      <c r="FQZ1" s="9" t="s">
        <v>4585</v>
      </c>
      <c r="FRA1" s="9" t="s">
        <v>4586</v>
      </c>
      <c r="FRB1" s="9" t="s">
        <v>4587</v>
      </c>
      <c r="FRC1" s="9" t="s">
        <v>4588</v>
      </c>
      <c r="FRD1" s="9" t="s">
        <v>4589</v>
      </c>
      <c r="FRE1" s="9" t="s">
        <v>4590</v>
      </c>
      <c r="FRF1" s="9" t="s">
        <v>4591</v>
      </c>
      <c r="FRG1" s="9" t="s">
        <v>4592</v>
      </c>
      <c r="FRH1" s="9" t="s">
        <v>4593</v>
      </c>
      <c r="FRI1" s="9" t="s">
        <v>4594</v>
      </c>
      <c r="FRJ1" s="9" t="s">
        <v>4595</v>
      </c>
      <c r="FRK1" s="9" t="s">
        <v>4596</v>
      </c>
      <c r="FRL1" s="9" t="s">
        <v>4597</v>
      </c>
      <c r="FRM1" s="9" t="s">
        <v>4598</v>
      </c>
      <c r="FRN1" s="9" t="s">
        <v>4599</v>
      </c>
      <c r="FRO1" s="9" t="s">
        <v>4600</v>
      </c>
      <c r="FRP1" s="9" t="s">
        <v>4601</v>
      </c>
      <c r="FRQ1" s="9" t="s">
        <v>4602</v>
      </c>
      <c r="FRR1" s="9" t="s">
        <v>4603</v>
      </c>
      <c r="FRS1" s="9" t="s">
        <v>4604</v>
      </c>
      <c r="FRT1" s="9" t="s">
        <v>4605</v>
      </c>
      <c r="FRU1" s="9" t="s">
        <v>4606</v>
      </c>
      <c r="FRV1" s="9" t="s">
        <v>4607</v>
      </c>
      <c r="FRW1" s="9" t="s">
        <v>4608</v>
      </c>
      <c r="FRX1" s="9" t="s">
        <v>4609</v>
      </c>
      <c r="FRY1" s="9" t="s">
        <v>4610</v>
      </c>
      <c r="FRZ1" s="9" t="s">
        <v>4611</v>
      </c>
      <c r="FSA1" s="9" t="s">
        <v>4612</v>
      </c>
      <c r="FSB1" s="9" t="s">
        <v>4613</v>
      </c>
      <c r="FSC1" s="9" t="s">
        <v>4614</v>
      </c>
      <c r="FSD1" s="9" t="s">
        <v>4615</v>
      </c>
      <c r="FSE1" s="9" t="s">
        <v>4616</v>
      </c>
      <c r="FSF1" s="9" t="s">
        <v>4617</v>
      </c>
      <c r="FSG1" s="9" t="s">
        <v>4618</v>
      </c>
      <c r="FSH1" s="9" t="s">
        <v>4619</v>
      </c>
      <c r="FSI1" s="9" t="s">
        <v>4620</v>
      </c>
      <c r="FSJ1" s="9" t="s">
        <v>4621</v>
      </c>
      <c r="FSK1" s="9" t="s">
        <v>4622</v>
      </c>
      <c r="FSL1" s="9" t="s">
        <v>4623</v>
      </c>
      <c r="FSM1" s="9" t="s">
        <v>4624</v>
      </c>
      <c r="FSN1" s="9" t="s">
        <v>4625</v>
      </c>
      <c r="FSO1" s="9" t="s">
        <v>4626</v>
      </c>
      <c r="FSP1" s="9" t="s">
        <v>4627</v>
      </c>
      <c r="FSQ1" s="9" t="s">
        <v>4628</v>
      </c>
      <c r="FSR1" s="9" t="s">
        <v>4629</v>
      </c>
      <c r="FSS1" s="9" t="s">
        <v>4630</v>
      </c>
      <c r="FST1" s="9" t="s">
        <v>4631</v>
      </c>
      <c r="FSU1" s="9" t="s">
        <v>4632</v>
      </c>
      <c r="FSV1" s="9" t="s">
        <v>4633</v>
      </c>
      <c r="FSW1" s="9" t="s">
        <v>4634</v>
      </c>
      <c r="FSX1" s="9" t="s">
        <v>4635</v>
      </c>
      <c r="FSY1" s="9" t="s">
        <v>4636</v>
      </c>
      <c r="FSZ1" s="9" t="s">
        <v>4637</v>
      </c>
      <c r="FTA1" s="9" t="s">
        <v>4638</v>
      </c>
      <c r="FTB1" s="9" t="s">
        <v>4639</v>
      </c>
      <c r="FTC1" s="9" t="s">
        <v>4640</v>
      </c>
      <c r="FTD1" s="9" t="s">
        <v>4641</v>
      </c>
      <c r="FTE1" s="9" t="s">
        <v>4642</v>
      </c>
      <c r="FTF1" s="9" t="s">
        <v>4643</v>
      </c>
      <c r="FTG1" s="9" t="s">
        <v>4644</v>
      </c>
      <c r="FTH1" s="9" t="s">
        <v>4645</v>
      </c>
      <c r="FTI1" s="9" t="s">
        <v>4646</v>
      </c>
      <c r="FTJ1" s="9" t="s">
        <v>4647</v>
      </c>
      <c r="FTK1" s="9" t="s">
        <v>4648</v>
      </c>
      <c r="FTL1" s="9" t="s">
        <v>4649</v>
      </c>
      <c r="FTM1" s="9" t="s">
        <v>4650</v>
      </c>
      <c r="FTN1" s="9" t="s">
        <v>4651</v>
      </c>
      <c r="FTO1" s="9" t="s">
        <v>4652</v>
      </c>
      <c r="FTP1" s="9" t="s">
        <v>4653</v>
      </c>
      <c r="FTQ1" s="9" t="s">
        <v>4654</v>
      </c>
      <c r="FTR1" s="9" t="s">
        <v>4655</v>
      </c>
      <c r="FTS1" s="9" t="s">
        <v>4656</v>
      </c>
      <c r="FTT1" s="9" t="s">
        <v>4657</v>
      </c>
      <c r="FTU1" s="9" t="s">
        <v>4658</v>
      </c>
      <c r="FTV1" s="9" t="s">
        <v>4659</v>
      </c>
      <c r="FTW1" s="9" t="s">
        <v>4660</v>
      </c>
      <c r="FTX1" s="9" t="s">
        <v>4661</v>
      </c>
      <c r="FTY1" s="9" t="s">
        <v>4662</v>
      </c>
      <c r="FTZ1" s="9" t="s">
        <v>4663</v>
      </c>
      <c r="FUA1" s="9" t="s">
        <v>4664</v>
      </c>
      <c r="FUB1" s="9" t="s">
        <v>4665</v>
      </c>
      <c r="FUC1" s="9" t="s">
        <v>4666</v>
      </c>
      <c r="FUD1" s="9" t="s">
        <v>4667</v>
      </c>
      <c r="FUE1" s="9" t="s">
        <v>4668</v>
      </c>
      <c r="FUF1" s="9" t="s">
        <v>4669</v>
      </c>
      <c r="FUG1" s="9" t="s">
        <v>4670</v>
      </c>
      <c r="FUH1" s="9" t="s">
        <v>4671</v>
      </c>
      <c r="FUI1" s="9" t="s">
        <v>4672</v>
      </c>
      <c r="FUJ1" s="9" t="s">
        <v>4673</v>
      </c>
      <c r="FUK1" s="9" t="s">
        <v>4674</v>
      </c>
      <c r="FUL1" s="9" t="s">
        <v>4675</v>
      </c>
      <c r="FUM1" s="9" t="s">
        <v>4676</v>
      </c>
      <c r="FUN1" s="9" t="s">
        <v>4677</v>
      </c>
      <c r="FUO1" s="9" t="s">
        <v>4678</v>
      </c>
      <c r="FUP1" s="9" t="s">
        <v>4679</v>
      </c>
      <c r="FUQ1" s="9" t="s">
        <v>4680</v>
      </c>
      <c r="FUR1" s="9" t="s">
        <v>4681</v>
      </c>
      <c r="FUS1" s="9" t="s">
        <v>4682</v>
      </c>
      <c r="FUT1" s="9" t="s">
        <v>4683</v>
      </c>
      <c r="FUU1" s="9" t="s">
        <v>4684</v>
      </c>
      <c r="FUV1" s="9" t="s">
        <v>4685</v>
      </c>
      <c r="FUW1" s="9" t="s">
        <v>4686</v>
      </c>
      <c r="FUX1" s="9" t="s">
        <v>4687</v>
      </c>
      <c r="FUY1" s="9" t="s">
        <v>4688</v>
      </c>
      <c r="FUZ1" s="9" t="s">
        <v>4689</v>
      </c>
      <c r="FVA1" s="9" t="s">
        <v>4690</v>
      </c>
      <c r="FVB1" s="9" t="s">
        <v>4691</v>
      </c>
      <c r="FVC1" s="9" t="s">
        <v>4692</v>
      </c>
      <c r="FVD1" s="9" t="s">
        <v>4693</v>
      </c>
      <c r="FVE1" s="9" t="s">
        <v>4694</v>
      </c>
      <c r="FVF1" s="9" t="s">
        <v>4695</v>
      </c>
      <c r="FVG1" s="9" t="s">
        <v>4696</v>
      </c>
      <c r="FVH1" s="9" t="s">
        <v>4697</v>
      </c>
      <c r="FVI1" s="9" t="s">
        <v>4698</v>
      </c>
      <c r="FVJ1" s="9" t="s">
        <v>4699</v>
      </c>
      <c r="FVK1" s="9" t="s">
        <v>4700</v>
      </c>
      <c r="FVL1" s="9" t="s">
        <v>4701</v>
      </c>
      <c r="FVM1" s="9" t="s">
        <v>4702</v>
      </c>
      <c r="FVN1" s="9" t="s">
        <v>4703</v>
      </c>
      <c r="FVO1" s="9" t="s">
        <v>4704</v>
      </c>
      <c r="FVP1" s="9" t="s">
        <v>4705</v>
      </c>
      <c r="FVQ1" s="9" t="s">
        <v>4706</v>
      </c>
      <c r="FVR1" s="9" t="s">
        <v>4707</v>
      </c>
      <c r="FVS1" s="9" t="s">
        <v>4708</v>
      </c>
      <c r="FVT1" s="9" t="s">
        <v>4709</v>
      </c>
      <c r="FVU1" s="9" t="s">
        <v>4710</v>
      </c>
      <c r="FVV1" s="9" t="s">
        <v>4711</v>
      </c>
      <c r="FVW1" s="9" t="s">
        <v>4712</v>
      </c>
      <c r="FVX1" s="9" t="s">
        <v>4713</v>
      </c>
      <c r="FVY1" s="9" t="s">
        <v>4714</v>
      </c>
      <c r="FVZ1" s="9" t="s">
        <v>4715</v>
      </c>
      <c r="FWA1" s="9" t="s">
        <v>4716</v>
      </c>
      <c r="FWB1" s="9" t="s">
        <v>4717</v>
      </c>
      <c r="FWC1" s="9" t="s">
        <v>4718</v>
      </c>
      <c r="FWD1" s="9" t="s">
        <v>4719</v>
      </c>
      <c r="FWE1" s="9" t="s">
        <v>4720</v>
      </c>
      <c r="FWF1" s="9" t="s">
        <v>4721</v>
      </c>
      <c r="FWG1" s="9" t="s">
        <v>4722</v>
      </c>
      <c r="FWH1" s="9" t="s">
        <v>4723</v>
      </c>
      <c r="FWI1" s="9" t="s">
        <v>4724</v>
      </c>
      <c r="FWJ1" s="9" t="s">
        <v>4725</v>
      </c>
      <c r="FWK1" s="9" t="s">
        <v>4726</v>
      </c>
      <c r="FWL1" s="9" t="s">
        <v>4727</v>
      </c>
      <c r="FWM1" s="9" t="s">
        <v>4728</v>
      </c>
      <c r="FWN1" s="9" t="s">
        <v>4729</v>
      </c>
      <c r="FWO1" s="9" t="s">
        <v>4730</v>
      </c>
      <c r="FWP1" s="9" t="s">
        <v>4731</v>
      </c>
      <c r="FWQ1" s="9" t="s">
        <v>4732</v>
      </c>
      <c r="FWR1" s="9" t="s">
        <v>4733</v>
      </c>
      <c r="FWS1" s="9" t="s">
        <v>4734</v>
      </c>
      <c r="FWT1" s="9" t="s">
        <v>4735</v>
      </c>
      <c r="FWU1" s="9" t="s">
        <v>4736</v>
      </c>
      <c r="FWV1" s="9" t="s">
        <v>4737</v>
      </c>
      <c r="FWW1" s="9" t="s">
        <v>4738</v>
      </c>
      <c r="FWX1" s="9" t="s">
        <v>4739</v>
      </c>
      <c r="FWY1" s="9" t="s">
        <v>4740</v>
      </c>
      <c r="FWZ1" s="9" t="s">
        <v>4741</v>
      </c>
      <c r="FXA1" s="9" t="s">
        <v>4742</v>
      </c>
      <c r="FXB1" s="9" t="s">
        <v>4743</v>
      </c>
      <c r="FXC1" s="9" t="s">
        <v>4744</v>
      </c>
      <c r="FXD1" s="9" t="s">
        <v>4745</v>
      </c>
      <c r="FXE1" s="9" t="s">
        <v>4746</v>
      </c>
      <c r="FXF1" s="9" t="s">
        <v>4747</v>
      </c>
      <c r="FXG1" s="9" t="s">
        <v>4748</v>
      </c>
      <c r="FXH1" s="9" t="s">
        <v>4749</v>
      </c>
      <c r="FXI1" s="9" t="s">
        <v>4750</v>
      </c>
      <c r="FXJ1" s="9" t="s">
        <v>4751</v>
      </c>
      <c r="FXK1" s="9" t="s">
        <v>4752</v>
      </c>
      <c r="FXL1" s="9" t="s">
        <v>4753</v>
      </c>
      <c r="FXM1" s="9" t="s">
        <v>4754</v>
      </c>
      <c r="FXN1" s="9" t="s">
        <v>4755</v>
      </c>
      <c r="FXO1" s="9" t="s">
        <v>4756</v>
      </c>
      <c r="FXP1" s="9" t="s">
        <v>4757</v>
      </c>
      <c r="FXQ1" s="9" t="s">
        <v>4758</v>
      </c>
      <c r="FXR1" s="9" t="s">
        <v>4759</v>
      </c>
      <c r="FXS1" s="9" t="s">
        <v>4760</v>
      </c>
      <c r="FXT1" s="9" t="s">
        <v>4761</v>
      </c>
      <c r="FXU1" s="9" t="s">
        <v>4762</v>
      </c>
      <c r="FXV1" s="9" t="s">
        <v>4763</v>
      </c>
      <c r="FXW1" s="9" t="s">
        <v>4764</v>
      </c>
      <c r="FXX1" s="9" t="s">
        <v>4765</v>
      </c>
      <c r="FXY1" s="9" t="s">
        <v>4766</v>
      </c>
      <c r="FXZ1" s="9" t="s">
        <v>4767</v>
      </c>
      <c r="FYA1" s="9" t="s">
        <v>4768</v>
      </c>
      <c r="FYB1" s="9" t="s">
        <v>4769</v>
      </c>
      <c r="FYC1" s="9" t="s">
        <v>4770</v>
      </c>
      <c r="FYD1" s="9" t="s">
        <v>4771</v>
      </c>
      <c r="FYE1" s="9" t="s">
        <v>4772</v>
      </c>
      <c r="FYF1" s="9" t="s">
        <v>4773</v>
      </c>
      <c r="FYG1" s="9" t="s">
        <v>4774</v>
      </c>
      <c r="FYH1" s="9" t="s">
        <v>4775</v>
      </c>
      <c r="FYI1" s="9" t="s">
        <v>4776</v>
      </c>
      <c r="FYJ1" s="9" t="s">
        <v>4777</v>
      </c>
      <c r="FYK1" s="9" t="s">
        <v>4778</v>
      </c>
      <c r="FYL1" s="9" t="s">
        <v>4779</v>
      </c>
      <c r="FYM1" s="9" t="s">
        <v>4780</v>
      </c>
      <c r="FYN1" s="9" t="s">
        <v>4781</v>
      </c>
      <c r="FYO1" s="9" t="s">
        <v>4782</v>
      </c>
      <c r="FYP1" s="9" t="s">
        <v>4783</v>
      </c>
      <c r="FYQ1" s="9" t="s">
        <v>4784</v>
      </c>
      <c r="FYR1" s="9" t="s">
        <v>4785</v>
      </c>
      <c r="FYS1" s="9" t="s">
        <v>4786</v>
      </c>
      <c r="FYT1" s="9" t="s">
        <v>4787</v>
      </c>
      <c r="FYU1" s="9" t="s">
        <v>4788</v>
      </c>
      <c r="FYV1" s="9" t="s">
        <v>4789</v>
      </c>
      <c r="FYW1" s="9" t="s">
        <v>4790</v>
      </c>
      <c r="FYX1" s="9" t="s">
        <v>4791</v>
      </c>
      <c r="FYY1" s="9" t="s">
        <v>4792</v>
      </c>
      <c r="FYZ1" s="9" t="s">
        <v>4793</v>
      </c>
      <c r="FZA1" s="9" t="s">
        <v>4794</v>
      </c>
      <c r="FZB1" s="9" t="s">
        <v>4795</v>
      </c>
      <c r="FZC1" s="9" t="s">
        <v>4796</v>
      </c>
      <c r="FZD1" s="9" t="s">
        <v>4797</v>
      </c>
      <c r="FZE1" s="9" t="s">
        <v>4798</v>
      </c>
      <c r="FZF1" s="9" t="s">
        <v>4799</v>
      </c>
      <c r="FZG1" s="9" t="s">
        <v>4800</v>
      </c>
      <c r="FZH1" s="9" t="s">
        <v>4801</v>
      </c>
      <c r="FZI1" s="9" t="s">
        <v>4802</v>
      </c>
      <c r="FZJ1" s="9" t="s">
        <v>4803</v>
      </c>
      <c r="FZK1" s="9" t="s">
        <v>4804</v>
      </c>
      <c r="FZL1" s="9" t="s">
        <v>4805</v>
      </c>
      <c r="FZM1" s="9" t="s">
        <v>4806</v>
      </c>
      <c r="FZN1" s="9" t="s">
        <v>4807</v>
      </c>
      <c r="FZO1" s="9" t="s">
        <v>4808</v>
      </c>
      <c r="FZP1" s="9" t="s">
        <v>4809</v>
      </c>
      <c r="FZQ1" s="9" t="s">
        <v>4810</v>
      </c>
      <c r="FZR1" s="9" t="s">
        <v>4811</v>
      </c>
      <c r="FZS1" s="9" t="s">
        <v>4812</v>
      </c>
      <c r="FZT1" s="9" t="s">
        <v>4813</v>
      </c>
      <c r="FZU1" s="9" t="s">
        <v>4814</v>
      </c>
      <c r="FZV1" s="9" t="s">
        <v>4815</v>
      </c>
      <c r="FZW1" s="9" t="s">
        <v>4816</v>
      </c>
      <c r="FZX1" s="9" t="s">
        <v>4817</v>
      </c>
      <c r="FZY1" s="9" t="s">
        <v>4818</v>
      </c>
      <c r="FZZ1" s="9" t="s">
        <v>4819</v>
      </c>
      <c r="GAA1" s="9" t="s">
        <v>4820</v>
      </c>
      <c r="GAB1" s="9" t="s">
        <v>4821</v>
      </c>
      <c r="GAC1" s="9" t="s">
        <v>4822</v>
      </c>
      <c r="GAD1" s="9" t="s">
        <v>4823</v>
      </c>
      <c r="GAE1" s="9" t="s">
        <v>4824</v>
      </c>
      <c r="GAF1" s="9" t="s">
        <v>4825</v>
      </c>
      <c r="GAG1" s="9" t="s">
        <v>4826</v>
      </c>
      <c r="GAH1" s="9" t="s">
        <v>4827</v>
      </c>
      <c r="GAI1" s="9" t="s">
        <v>4828</v>
      </c>
      <c r="GAJ1" s="9" t="s">
        <v>4829</v>
      </c>
      <c r="GAK1" s="9" t="s">
        <v>4830</v>
      </c>
      <c r="GAL1" s="9" t="s">
        <v>4831</v>
      </c>
      <c r="GAM1" s="9" t="s">
        <v>4832</v>
      </c>
      <c r="GAN1" s="9" t="s">
        <v>4833</v>
      </c>
      <c r="GAO1" s="9" t="s">
        <v>4834</v>
      </c>
      <c r="GAP1" s="9" t="s">
        <v>4835</v>
      </c>
      <c r="GAQ1" s="9" t="s">
        <v>4836</v>
      </c>
      <c r="GAR1" s="9" t="s">
        <v>4837</v>
      </c>
      <c r="GAS1" s="9" t="s">
        <v>4838</v>
      </c>
      <c r="GAT1" s="9" t="s">
        <v>4839</v>
      </c>
      <c r="GAU1" s="9" t="s">
        <v>4840</v>
      </c>
      <c r="GAV1" s="9" t="s">
        <v>4841</v>
      </c>
      <c r="GAW1" s="9" t="s">
        <v>4842</v>
      </c>
      <c r="GAX1" s="9" t="s">
        <v>4843</v>
      </c>
      <c r="GAY1" s="9" t="s">
        <v>4844</v>
      </c>
      <c r="GAZ1" s="9" t="s">
        <v>4845</v>
      </c>
      <c r="GBA1" s="9" t="s">
        <v>4846</v>
      </c>
      <c r="GBB1" s="9" t="s">
        <v>4847</v>
      </c>
      <c r="GBC1" s="9" t="s">
        <v>4848</v>
      </c>
      <c r="GBD1" s="9" t="s">
        <v>4849</v>
      </c>
      <c r="GBE1" s="9" t="s">
        <v>4850</v>
      </c>
      <c r="GBF1" s="9" t="s">
        <v>4851</v>
      </c>
      <c r="GBG1" s="9" t="s">
        <v>4852</v>
      </c>
      <c r="GBH1" s="9" t="s">
        <v>4853</v>
      </c>
      <c r="GBI1" s="9" t="s">
        <v>4854</v>
      </c>
      <c r="GBJ1" s="9" t="s">
        <v>4855</v>
      </c>
      <c r="GBK1" s="9" t="s">
        <v>4856</v>
      </c>
      <c r="GBL1" s="9" t="s">
        <v>4857</v>
      </c>
      <c r="GBM1" s="9" t="s">
        <v>4858</v>
      </c>
      <c r="GBN1" s="9" t="s">
        <v>4859</v>
      </c>
      <c r="GBO1" s="9" t="s">
        <v>4860</v>
      </c>
      <c r="GBP1" s="9" t="s">
        <v>4861</v>
      </c>
      <c r="GBQ1" s="9" t="s">
        <v>4862</v>
      </c>
      <c r="GBR1" s="9" t="s">
        <v>4863</v>
      </c>
      <c r="GBS1" s="9" t="s">
        <v>4864</v>
      </c>
      <c r="GBT1" s="9" t="s">
        <v>4865</v>
      </c>
      <c r="GBU1" s="9" t="s">
        <v>4866</v>
      </c>
      <c r="GBV1" s="9" t="s">
        <v>4867</v>
      </c>
      <c r="GBW1" s="9" t="s">
        <v>4868</v>
      </c>
      <c r="GBX1" s="9" t="s">
        <v>4869</v>
      </c>
      <c r="GBY1" s="9" t="s">
        <v>4870</v>
      </c>
      <c r="GBZ1" s="9" t="s">
        <v>4871</v>
      </c>
      <c r="GCA1" s="9" t="s">
        <v>4872</v>
      </c>
      <c r="GCB1" s="9" t="s">
        <v>4873</v>
      </c>
      <c r="GCC1" s="9" t="s">
        <v>4874</v>
      </c>
      <c r="GCD1" s="9" t="s">
        <v>4875</v>
      </c>
      <c r="GCE1" s="9" t="s">
        <v>4876</v>
      </c>
      <c r="GCF1" s="9" t="s">
        <v>4877</v>
      </c>
      <c r="GCG1" s="9" t="s">
        <v>4878</v>
      </c>
      <c r="GCH1" s="9" t="s">
        <v>4879</v>
      </c>
      <c r="GCI1" s="9" t="s">
        <v>4880</v>
      </c>
      <c r="GCJ1" s="9" t="s">
        <v>4881</v>
      </c>
      <c r="GCK1" s="9" t="s">
        <v>4882</v>
      </c>
      <c r="GCL1" s="9" t="s">
        <v>4883</v>
      </c>
      <c r="GCM1" s="9" t="s">
        <v>4884</v>
      </c>
      <c r="GCN1" s="9" t="s">
        <v>4885</v>
      </c>
      <c r="GCO1" s="9" t="s">
        <v>4886</v>
      </c>
      <c r="GCP1" s="9" t="s">
        <v>4887</v>
      </c>
      <c r="GCQ1" s="9" t="s">
        <v>4888</v>
      </c>
      <c r="GCR1" s="9" t="s">
        <v>4889</v>
      </c>
      <c r="GCS1" s="9" t="s">
        <v>4890</v>
      </c>
      <c r="GCT1" s="9" t="s">
        <v>4891</v>
      </c>
      <c r="GCU1" s="9" t="s">
        <v>4892</v>
      </c>
      <c r="GCV1" s="9" t="s">
        <v>4893</v>
      </c>
      <c r="GCW1" s="9" t="s">
        <v>4894</v>
      </c>
      <c r="GCX1" s="9" t="s">
        <v>4895</v>
      </c>
      <c r="GCY1" s="9" t="s">
        <v>4896</v>
      </c>
      <c r="GCZ1" s="9" t="s">
        <v>4897</v>
      </c>
      <c r="GDA1" s="9" t="s">
        <v>4898</v>
      </c>
      <c r="GDB1" s="9" t="s">
        <v>4899</v>
      </c>
      <c r="GDC1" s="9" t="s">
        <v>4900</v>
      </c>
      <c r="GDD1" s="9" t="s">
        <v>4901</v>
      </c>
      <c r="GDE1" s="9" t="s">
        <v>4902</v>
      </c>
      <c r="GDF1" s="9" t="s">
        <v>4903</v>
      </c>
      <c r="GDG1" s="9" t="s">
        <v>4904</v>
      </c>
      <c r="GDH1" s="9" t="s">
        <v>4905</v>
      </c>
      <c r="GDI1" s="9" t="s">
        <v>4906</v>
      </c>
      <c r="GDJ1" s="9" t="s">
        <v>4907</v>
      </c>
      <c r="GDK1" s="9" t="s">
        <v>4908</v>
      </c>
      <c r="GDL1" s="9" t="s">
        <v>4909</v>
      </c>
      <c r="GDM1" s="9" t="s">
        <v>4910</v>
      </c>
      <c r="GDN1" s="9" t="s">
        <v>4911</v>
      </c>
      <c r="GDO1" s="9" t="s">
        <v>4912</v>
      </c>
      <c r="GDP1" s="9" t="s">
        <v>4913</v>
      </c>
      <c r="GDQ1" s="9" t="s">
        <v>4914</v>
      </c>
      <c r="GDR1" s="9" t="s">
        <v>4915</v>
      </c>
      <c r="GDS1" s="9" t="s">
        <v>4916</v>
      </c>
      <c r="GDT1" s="9" t="s">
        <v>4917</v>
      </c>
      <c r="GDU1" s="9" t="s">
        <v>4918</v>
      </c>
      <c r="GDV1" s="9" t="s">
        <v>4919</v>
      </c>
      <c r="GDW1" s="9" t="s">
        <v>4920</v>
      </c>
      <c r="GDX1" s="9" t="s">
        <v>4921</v>
      </c>
      <c r="GDY1" s="9" t="s">
        <v>4922</v>
      </c>
      <c r="GDZ1" s="9" t="s">
        <v>4923</v>
      </c>
      <c r="GEA1" s="9" t="s">
        <v>4924</v>
      </c>
      <c r="GEB1" s="9" t="s">
        <v>4925</v>
      </c>
      <c r="GEC1" s="9" t="s">
        <v>4926</v>
      </c>
      <c r="GED1" s="9" t="s">
        <v>4927</v>
      </c>
      <c r="GEE1" s="9" t="s">
        <v>4928</v>
      </c>
      <c r="GEF1" s="9" t="s">
        <v>4929</v>
      </c>
      <c r="GEG1" s="9" t="s">
        <v>4930</v>
      </c>
      <c r="GEH1" s="9" t="s">
        <v>4931</v>
      </c>
      <c r="GEI1" s="9" t="s">
        <v>4932</v>
      </c>
      <c r="GEJ1" s="9" t="s">
        <v>4933</v>
      </c>
      <c r="GEK1" s="9" t="s">
        <v>4934</v>
      </c>
      <c r="GEL1" s="9" t="s">
        <v>4935</v>
      </c>
      <c r="GEM1" s="9" t="s">
        <v>4936</v>
      </c>
      <c r="GEN1" s="9" t="s">
        <v>4937</v>
      </c>
      <c r="GEO1" s="9" t="s">
        <v>4938</v>
      </c>
      <c r="GEP1" s="9" t="s">
        <v>4939</v>
      </c>
      <c r="GEQ1" s="9" t="s">
        <v>4940</v>
      </c>
      <c r="GER1" s="9" t="s">
        <v>4941</v>
      </c>
      <c r="GES1" s="9" t="s">
        <v>4942</v>
      </c>
      <c r="GET1" s="9" t="s">
        <v>4943</v>
      </c>
      <c r="GEU1" s="9" t="s">
        <v>4944</v>
      </c>
      <c r="GEV1" s="9" t="s">
        <v>4945</v>
      </c>
      <c r="GEW1" s="9" t="s">
        <v>4946</v>
      </c>
      <c r="GEX1" s="9" t="s">
        <v>4947</v>
      </c>
      <c r="GEY1" s="9" t="s">
        <v>4948</v>
      </c>
      <c r="GEZ1" s="9" t="s">
        <v>4949</v>
      </c>
      <c r="GFA1" s="9" t="s">
        <v>4950</v>
      </c>
      <c r="GFB1" s="9" t="s">
        <v>4951</v>
      </c>
      <c r="GFC1" s="9" t="s">
        <v>4952</v>
      </c>
      <c r="GFD1" s="9" t="s">
        <v>4953</v>
      </c>
      <c r="GFE1" s="9" t="s">
        <v>4954</v>
      </c>
      <c r="GFF1" s="9" t="s">
        <v>4955</v>
      </c>
      <c r="GFG1" s="9" t="s">
        <v>4956</v>
      </c>
      <c r="GFH1" s="9" t="s">
        <v>4957</v>
      </c>
      <c r="GFI1" s="9" t="s">
        <v>4958</v>
      </c>
      <c r="GFJ1" s="9" t="s">
        <v>4959</v>
      </c>
      <c r="GFK1" s="9" t="s">
        <v>4960</v>
      </c>
      <c r="GFL1" s="9" t="s">
        <v>4961</v>
      </c>
      <c r="GFM1" s="9" t="s">
        <v>4962</v>
      </c>
      <c r="GFN1" s="9" t="s">
        <v>4963</v>
      </c>
      <c r="GFO1" s="9" t="s">
        <v>4964</v>
      </c>
      <c r="GFP1" s="9" t="s">
        <v>4965</v>
      </c>
      <c r="GFQ1" s="9" t="s">
        <v>4966</v>
      </c>
      <c r="GFR1" s="9" t="s">
        <v>4967</v>
      </c>
      <c r="GFS1" s="9" t="s">
        <v>4968</v>
      </c>
      <c r="GFT1" s="9" t="s">
        <v>4969</v>
      </c>
      <c r="GFU1" s="9" t="s">
        <v>4970</v>
      </c>
      <c r="GFV1" s="9" t="s">
        <v>4971</v>
      </c>
      <c r="GFW1" s="9" t="s">
        <v>4972</v>
      </c>
      <c r="GFX1" s="9" t="s">
        <v>4973</v>
      </c>
      <c r="GFY1" s="9" t="s">
        <v>4974</v>
      </c>
      <c r="GFZ1" s="9" t="s">
        <v>4975</v>
      </c>
      <c r="GGA1" s="9" t="s">
        <v>4976</v>
      </c>
      <c r="GGB1" s="9" t="s">
        <v>4977</v>
      </c>
      <c r="GGC1" s="9" t="s">
        <v>4978</v>
      </c>
      <c r="GGD1" s="9" t="s">
        <v>4979</v>
      </c>
      <c r="GGE1" s="9" t="s">
        <v>4980</v>
      </c>
      <c r="GGF1" s="9" t="s">
        <v>4981</v>
      </c>
      <c r="GGG1" s="9" t="s">
        <v>4982</v>
      </c>
      <c r="GGH1" s="9" t="s">
        <v>4983</v>
      </c>
      <c r="GGI1" s="9" t="s">
        <v>4984</v>
      </c>
      <c r="GGJ1" s="9" t="s">
        <v>4985</v>
      </c>
      <c r="GGK1" s="9" t="s">
        <v>4986</v>
      </c>
      <c r="GGL1" s="9" t="s">
        <v>4987</v>
      </c>
      <c r="GGM1" s="9" t="s">
        <v>4988</v>
      </c>
      <c r="GGN1" s="9" t="s">
        <v>4989</v>
      </c>
      <c r="GGO1" s="9" t="s">
        <v>4990</v>
      </c>
      <c r="GGP1" s="9" t="s">
        <v>4991</v>
      </c>
      <c r="GGQ1" s="9" t="s">
        <v>4992</v>
      </c>
      <c r="GGR1" s="9" t="s">
        <v>4993</v>
      </c>
      <c r="GGS1" s="9" t="s">
        <v>4994</v>
      </c>
      <c r="GGT1" s="9" t="s">
        <v>4995</v>
      </c>
      <c r="GGU1" s="9" t="s">
        <v>4996</v>
      </c>
      <c r="GGV1" s="9" t="s">
        <v>4997</v>
      </c>
      <c r="GGW1" s="9" t="s">
        <v>4998</v>
      </c>
      <c r="GGX1" s="9" t="s">
        <v>4999</v>
      </c>
      <c r="GGY1" s="9" t="s">
        <v>5000</v>
      </c>
      <c r="GGZ1" s="9" t="s">
        <v>5001</v>
      </c>
      <c r="GHA1" s="9" t="s">
        <v>5002</v>
      </c>
      <c r="GHB1" s="9" t="s">
        <v>5003</v>
      </c>
      <c r="GHC1" s="9" t="s">
        <v>5004</v>
      </c>
      <c r="GHD1" s="9" t="s">
        <v>5005</v>
      </c>
      <c r="GHE1" s="9" t="s">
        <v>5006</v>
      </c>
      <c r="GHF1" s="9" t="s">
        <v>5007</v>
      </c>
      <c r="GHG1" s="9" t="s">
        <v>5008</v>
      </c>
      <c r="GHH1" s="9" t="s">
        <v>5009</v>
      </c>
      <c r="GHI1" s="9" t="s">
        <v>5010</v>
      </c>
      <c r="GHJ1" s="9" t="s">
        <v>5011</v>
      </c>
      <c r="GHK1" s="9" t="s">
        <v>5012</v>
      </c>
      <c r="GHL1" s="9" t="s">
        <v>5013</v>
      </c>
      <c r="GHM1" s="9" t="s">
        <v>5014</v>
      </c>
      <c r="GHN1" s="9" t="s">
        <v>5015</v>
      </c>
      <c r="GHO1" s="9" t="s">
        <v>5016</v>
      </c>
      <c r="GHP1" s="9" t="s">
        <v>5017</v>
      </c>
      <c r="GHQ1" s="9" t="s">
        <v>5018</v>
      </c>
      <c r="GHR1" s="9" t="s">
        <v>5019</v>
      </c>
      <c r="GHS1" s="9" t="s">
        <v>5020</v>
      </c>
      <c r="GHT1" s="9" t="s">
        <v>5021</v>
      </c>
      <c r="GHU1" s="9" t="s">
        <v>5022</v>
      </c>
      <c r="GHV1" s="9" t="s">
        <v>5023</v>
      </c>
      <c r="GHW1" s="9" t="s">
        <v>5024</v>
      </c>
      <c r="GHX1" s="9" t="s">
        <v>5025</v>
      </c>
      <c r="GHY1" s="9" t="s">
        <v>5026</v>
      </c>
      <c r="GHZ1" s="9" t="s">
        <v>5027</v>
      </c>
      <c r="GIA1" s="9" t="s">
        <v>5028</v>
      </c>
      <c r="GIB1" s="9" t="s">
        <v>5029</v>
      </c>
      <c r="GIC1" s="9" t="s">
        <v>5030</v>
      </c>
      <c r="GID1" s="9" t="s">
        <v>5031</v>
      </c>
      <c r="GIE1" s="9" t="s">
        <v>5032</v>
      </c>
      <c r="GIF1" s="9" t="s">
        <v>5033</v>
      </c>
      <c r="GIG1" s="9" t="s">
        <v>5034</v>
      </c>
      <c r="GIH1" s="9" t="s">
        <v>5035</v>
      </c>
      <c r="GII1" s="9" t="s">
        <v>5036</v>
      </c>
      <c r="GIJ1" s="9" t="s">
        <v>5037</v>
      </c>
      <c r="GIK1" s="9" t="s">
        <v>5038</v>
      </c>
      <c r="GIL1" s="9" t="s">
        <v>5039</v>
      </c>
      <c r="GIM1" s="9" t="s">
        <v>5040</v>
      </c>
      <c r="GIN1" s="9" t="s">
        <v>5041</v>
      </c>
      <c r="GIO1" s="9" t="s">
        <v>5042</v>
      </c>
      <c r="GIP1" s="9" t="s">
        <v>5043</v>
      </c>
      <c r="GIQ1" s="9" t="s">
        <v>5044</v>
      </c>
      <c r="GIR1" s="9" t="s">
        <v>5045</v>
      </c>
      <c r="GIS1" s="9" t="s">
        <v>5046</v>
      </c>
      <c r="GIT1" s="9" t="s">
        <v>5047</v>
      </c>
      <c r="GIU1" s="9" t="s">
        <v>5048</v>
      </c>
      <c r="GIV1" s="9" t="s">
        <v>5049</v>
      </c>
      <c r="GIW1" s="9" t="s">
        <v>5050</v>
      </c>
      <c r="GIX1" s="9" t="s">
        <v>5051</v>
      </c>
      <c r="GIY1" s="9" t="s">
        <v>5052</v>
      </c>
      <c r="GIZ1" s="9" t="s">
        <v>5053</v>
      </c>
      <c r="GJA1" s="9" t="s">
        <v>5054</v>
      </c>
      <c r="GJB1" s="9" t="s">
        <v>5055</v>
      </c>
      <c r="GJC1" s="9" t="s">
        <v>5056</v>
      </c>
      <c r="GJD1" s="9" t="s">
        <v>5057</v>
      </c>
      <c r="GJE1" s="9" t="s">
        <v>5058</v>
      </c>
      <c r="GJF1" s="9" t="s">
        <v>5059</v>
      </c>
      <c r="GJG1" s="9" t="s">
        <v>5060</v>
      </c>
      <c r="GJH1" s="9" t="s">
        <v>5061</v>
      </c>
      <c r="GJI1" s="9" t="s">
        <v>5062</v>
      </c>
      <c r="GJJ1" s="9" t="s">
        <v>5063</v>
      </c>
      <c r="GJK1" s="9" t="s">
        <v>5064</v>
      </c>
      <c r="GJL1" s="9" t="s">
        <v>5065</v>
      </c>
      <c r="GJM1" s="9" t="s">
        <v>5066</v>
      </c>
      <c r="GJN1" s="9" t="s">
        <v>5067</v>
      </c>
      <c r="GJO1" s="9" t="s">
        <v>5068</v>
      </c>
      <c r="GJP1" s="9" t="s">
        <v>5069</v>
      </c>
      <c r="GJQ1" s="9" t="s">
        <v>5070</v>
      </c>
      <c r="GJR1" s="9" t="s">
        <v>5071</v>
      </c>
      <c r="GJS1" s="9" t="s">
        <v>5072</v>
      </c>
      <c r="GJT1" s="9" t="s">
        <v>5073</v>
      </c>
      <c r="GJU1" s="9" t="s">
        <v>5074</v>
      </c>
      <c r="GJV1" s="9" t="s">
        <v>5075</v>
      </c>
      <c r="GJW1" s="9" t="s">
        <v>5076</v>
      </c>
      <c r="GJX1" s="9" t="s">
        <v>5077</v>
      </c>
      <c r="GJY1" s="9" t="s">
        <v>5078</v>
      </c>
      <c r="GJZ1" s="9" t="s">
        <v>5079</v>
      </c>
      <c r="GKA1" s="9" t="s">
        <v>5080</v>
      </c>
      <c r="GKB1" s="9" t="s">
        <v>5081</v>
      </c>
      <c r="GKC1" s="9" t="s">
        <v>5082</v>
      </c>
      <c r="GKD1" s="9" t="s">
        <v>5083</v>
      </c>
      <c r="GKE1" s="9" t="s">
        <v>5084</v>
      </c>
      <c r="GKF1" s="9" t="s">
        <v>5085</v>
      </c>
      <c r="GKG1" s="9" t="s">
        <v>5086</v>
      </c>
      <c r="GKH1" s="9" t="s">
        <v>5087</v>
      </c>
      <c r="GKI1" s="9" t="s">
        <v>5088</v>
      </c>
      <c r="GKJ1" s="9" t="s">
        <v>5089</v>
      </c>
      <c r="GKK1" s="9" t="s">
        <v>5090</v>
      </c>
      <c r="GKL1" s="9" t="s">
        <v>5091</v>
      </c>
      <c r="GKM1" s="9" t="s">
        <v>5092</v>
      </c>
      <c r="GKN1" s="9" t="s">
        <v>5093</v>
      </c>
      <c r="GKO1" s="9" t="s">
        <v>5094</v>
      </c>
      <c r="GKP1" s="9" t="s">
        <v>5095</v>
      </c>
      <c r="GKQ1" s="9" t="s">
        <v>5096</v>
      </c>
      <c r="GKR1" s="9" t="s">
        <v>5097</v>
      </c>
      <c r="GKS1" s="9" t="s">
        <v>5098</v>
      </c>
      <c r="GKT1" s="9" t="s">
        <v>5099</v>
      </c>
      <c r="GKU1" s="9" t="s">
        <v>5100</v>
      </c>
      <c r="GKV1" s="9" t="s">
        <v>5101</v>
      </c>
      <c r="GKW1" s="9" t="s">
        <v>5102</v>
      </c>
      <c r="GKX1" s="9" t="s">
        <v>5103</v>
      </c>
      <c r="GKY1" s="9" t="s">
        <v>5104</v>
      </c>
      <c r="GKZ1" s="9" t="s">
        <v>5105</v>
      </c>
      <c r="GLA1" s="9" t="s">
        <v>5106</v>
      </c>
      <c r="GLB1" s="9" t="s">
        <v>5107</v>
      </c>
      <c r="GLC1" s="9" t="s">
        <v>5108</v>
      </c>
      <c r="GLD1" s="9" t="s">
        <v>5109</v>
      </c>
      <c r="GLE1" s="9" t="s">
        <v>5110</v>
      </c>
      <c r="GLF1" s="9" t="s">
        <v>5111</v>
      </c>
      <c r="GLG1" s="9" t="s">
        <v>5112</v>
      </c>
      <c r="GLH1" s="9" t="s">
        <v>5113</v>
      </c>
      <c r="GLI1" s="9" t="s">
        <v>5114</v>
      </c>
      <c r="GLJ1" s="9" t="s">
        <v>5115</v>
      </c>
      <c r="GLK1" s="9" t="s">
        <v>5116</v>
      </c>
      <c r="GLL1" s="9" t="s">
        <v>5117</v>
      </c>
      <c r="GLM1" s="9" t="s">
        <v>5118</v>
      </c>
      <c r="GLN1" s="9" t="s">
        <v>5119</v>
      </c>
      <c r="GLO1" s="9" t="s">
        <v>5120</v>
      </c>
      <c r="GLP1" s="9" t="s">
        <v>5121</v>
      </c>
      <c r="GLQ1" s="9" t="s">
        <v>5122</v>
      </c>
      <c r="GLR1" s="9" t="s">
        <v>5123</v>
      </c>
      <c r="GLS1" s="9" t="s">
        <v>5124</v>
      </c>
      <c r="GLT1" s="9" t="s">
        <v>5125</v>
      </c>
      <c r="GLU1" s="9" t="s">
        <v>5126</v>
      </c>
      <c r="GLV1" s="9" t="s">
        <v>5127</v>
      </c>
      <c r="GLW1" s="9" t="s">
        <v>5128</v>
      </c>
      <c r="GLX1" s="9" t="s">
        <v>5129</v>
      </c>
      <c r="GLY1" s="9" t="s">
        <v>5130</v>
      </c>
      <c r="GLZ1" s="9" t="s">
        <v>5131</v>
      </c>
      <c r="GMA1" s="9" t="s">
        <v>5132</v>
      </c>
      <c r="GMB1" s="9" t="s">
        <v>5133</v>
      </c>
      <c r="GMC1" s="9" t="s">
        <v>5134</v>
      </c>
      <c r="GMD1" s="9" t="s">
        <v>5135</v>
      </c>
      <c r="GME1" s="9" t="s">
        <v>5136</v>
      </c>
      <c r="GMF1" s="9" t="s">
        <v>5137</v>
      </c>
      <c r="GMG1" s="9" t="s">
        <v>5138</v>
      </c>
      <c r="GMH1" s="9" t="s">
        <v>5139</v>
      </c>
      <c r="GMI1" s="9" t="s">
        <v>5140</v>
      </c>
      <c r="GMJ1" s="9" t="s">
        <v>5141</v>
      </c>
      <c r="GMK1" s="9" t="s">
        <v>5142</v>
      </c>
      <c r="GML1" s="9" t="s">
        <v>5143</v>
      </c>
      <c r="GMM1" s="9" t="s">
        <v>5144</v>
      </c>
      <c r="GMN1" s="9" t="s">
        <v>5145</v>
      </c>
      <c r="GMO1" s="9" t="s">
        <v>5146</v>
      </c>
      <c r="GMP1" s="9" t="s">
        <v>5147</v>
      </c>
      <c r="GMQ1" s="9" t="s">
        <v>5148</v>
      </c>
      <c r="GMR1" s="9" t="s">
        <v>5149</v>
      </c>
      <c r="GMS1" s="9" t="s">
        <v>5150</v>
      </c>
      <c r="GMT1" s="9" t="s">
        <v>5151</v>
      </c>
      <c r="GMU1" s="9" t="s">
        <v>5152</v>
      </c>
      <c r="GMV1" s="9" t="s">
        <v>5153</v>
      </c>
      <c r="GMW1" s="9" t="s">
        <v>5154</v>
      </c>
      <c r="GMX1" s="9" t="s">
        <v>5155</v>
      </c>
      <c r="GMY1" s="9" t="s">
        <v>5156</v>
      </c>
      <c r="GMZ1" s="9" t="s">
        <v>5157</v>
      </c>
      <c r="GNA1" s="9" t="s">
        <v>5158</v>
      </c>
      <c r="GNB1" s="9" t="s">
        <v>5159</v>
      </c>
      <c r="GNC1" s="9" t="s">
        <v>5160</v>
      </c>
      <c r="GND1" s="9" t="s">
        <v>5161</v>
      </c>
      <c r="GNE1" s="9" t="s">
        <v>5162</v>
      </c>
      <c r="GNF1" s="9" t="s">
        <v>5163</v>
      </c>
      <c r="GNG1" s="9" t="s">
        <v>5164</v>
      </c>
      <c r="GNH1" s="9" t="s">
        <v>5165</v>
      </c>
      <c r="GNI1" s="9" t="s">
        <v>5166</v>
      </c>
      <c r="GNJ1" s="9" t="s">
        <v>5167</v>
      </c>
      <c r="GNK1" s="9" t="s">
        <v>5168</v>
      </c>
      <c r="GNL1" s="9" t="s">
        <v>5169</v>
      </c>
      <c r="GNM1" s="9" t="s">
        <v>5170</v>
      </c>
      <c r="GNN1" s="9" t="s">
        <v>5171</v>
      </c>
      <c r="GNO1" s="9" t="s">
        <v>5172</v>
      </c>
      <c r="GNP1" s="9" t="s">
        <v>5173</v>
      </c>
      <c r="GNQ1" s="9" t="s">
        <v>5174</v>
      </c>
      <c r="GNR1" s="9" t="s">
        <v>5175</v>
      </c>
      <c r="GNS1" s="9" t="s">
        <v>5176</v>
      </c>
      <c r="GNT1" s="9" t="s">
        <v>5177</v>
      </c>
      <c r="GNU1" s="9" t="s">
        <v>5178</v>
      </c>
      <c r="GNV1" s="9" t="s">
        <v>5179</v>
      </c>
      <c r="GNW1" s="9" t="s">
        <v>5180</v>
      </c>
      <c r="GNX1" s="9" t="s">
        <v>5181</v>
      </c>
      <c r="GNY1" s="9" t="s">
        <v>5182</v>
      </c>
      <c r="GNZ1" s="9" t="s">
        <v>5183</v>
      </c>
      <c r="GOA1" s="9" t="s">
        <v>5184</v>
      </c>
      <c r="GOB1" s="9" t="s">
        <v>5185</v>
      </c>
      <c r="GOC1" s="9" t="s">
        <v>5186</v>
      </c>
      <c r="GOD1" s="9" t="s">
        <v>5187</v>
      </c>
      <c r="GOE1" s="9" t="s">
        <v>5188</v>
      </c>
      <c r="GOF1" s="9" t="s">
        <v>5189</v>
      </c>
      <c r="GOG1" s="9" t="s">
        <v>5190</v>
      </c>
      <c r="GOH1" s="9" t="s">
        <v>5191</v>
      </c>
      <c r="GOI1" s="9" t="s">
        <v>5192</v>
      </c>
      <c r="GOJ1" s="9" t="s">
        <v>5193</v>
      </c>
      <c r="GOK1" s="9" t="s">
        <v>5194</v>
      </c>
      <c r="GOL1" s="9" t="s">
        <v>5195</v>
      </c>
      <c r="GOM1" s="9" t="s">
        <v>5196</v>
      </c>
      <c r="GON1" s="9" t="s">
        <v>5197</v>
      </c>
      <c r="GOO1" s="9" t="s">
        <v>5198</v>
      </c>
      <c r="GOP1" s="9" t="s">
        <v>5199</v>
      </c>
      <c r="GOQ1" s="9" t="s">
        <v>5200</v>
      </c>
      <c r="GOR1" s="9" t="s">
        <v>5201</v>
      </c>
      <c r="GOS1" s="9" t="s">
        <v>5202</v>
      </c>
      <c r="GOT1" s="9" t="s">
        <v>5203</v>
      </c>
      <c r="GOU1" s="9" t="s">
        <v>5204</v>
      </c>
      <c r="GOV1" s="9" t="s">
        <v>5205</v>
      </c>
      <c r="GOW1" s="9" t="s">
        <v>5206</v>
      </c>
      <c r="GOX1" s="9" t="s">
        <v>5207</v>
      </c>
      <c r="GOY1" s="9" t="s">
        <v>5208</v>
      </c>
      <c r="GOZ1" s="9" t="s">
        <v>5209</v>
      </c>
      <c r="GPA1" s="9" t="s">
        <v>5210</v>
      </c>
      <c r="GPB1" s="9" t="s">
        <v>5211</v>
      </c>
      <c r="GPC1" s="9" t="s">
        <v>5212</v>
      </c>
      <c r="GPD1" s="9" t="s">
        <v>5213</v>
      </c>
      <c r="GPE1" s="9" t="s">
        <v>5214</v>
      </c>
      <c r="GPF1" s="9" t="s">
        <v>5215</v>
      </c>
      <c r="GPG1" s="9" t="s">
        <v>5216</v>
      </c>
      <c r="GPH1" s="9" t="s">
        <v>5217</v>
      </c>
      <c r="GPI1" s="9" t="s">
        <v>5218</v>
      </c>
      <c r="GPJ1" s="9" t="s">
        <v>5219</v>
      </c>
      <c r="GPK1" s="9" t="s">
        <v>5220</v>
      </c>
      <c r="GPL1" s="9" t="s">
        <v>5221</v>
      </c>
      <c r="GPM1" s="9" t="s">
        <v>5222</v>
      </c>
      <c r="GPN1" s="9" t="s">
        <v>5223</v>
      </c>
      <c r="GPO1" s="9" t="s">
        <v>5224</v>
      </c>
      <c r="GPP1" s="9" t="s">
        <v>5225</v>
      </c>
      <c r="GPQ1" s="9" t="s">
        <v>5226</v>
      </c>
      <c r="GPR1" s="9" t="s">
        <v>5227</v>
      </c>
      <c r="GPS1" s="9" t="s">
        <v>5228</v>
      </c>
      <c r="GPT1" s="9" t="s">
        <v>5229</v>
      </c>
      <c r="GPU1" s="9" t="s">
        <v>5230</v>
      </c>
      <c r="GPV1" s="9" t="s">
        <v>5231</v>
      </c>
      <c r="GPW1" s="9" t="s">
        <v>5232</v>
      </c>
      <c r="GPX1" s="9" t="s">
        <v>5233</v>
      </c>
      <c r="GPY1" s="9" t="s">
        <v>5234</v>
      </c>
      <c r="GPZ1" s="9" t="s">
        <v>5235</v>
      </c>
      <c r="GQA1" s="9" t="s">
        <v>5236</v>
      </c>
      <c r="GQB1" s="9" t="s">
        <v>5237</v>
      </c>
      <c r="GQC1" s="9" t="s">
        <v>5238</v>
      </c>
      <c r="GQD1" s="9" t="s">
        <v>5239</v>
      </c>
      <c r="GQE1" s="9" t="s">
        <v>5240</v>
      </c>
      <c r="GQF1" s="9" t="s">
        <v>5241</v>
      </c>
      <c r="GQG1" s="9" t="s">
        <v>5242</v>
      </c>
      <c r="GQH1" s="9" t="s">
        <v>5243</v>
      </c>
      <c r="GQI1" s="9" t="s">
        <v>5244</v>
      </c>
      <c r="GQJ1" s="9" t="s">
        <v>5245</v>
      </c>
      <c r="GQK1" s="9" t="s">
        <v>5246</v>
      </c>
      <c r="GQL1" s="9" t="s">
        <v>5247</v>
      </c>
      <c r="GQM1" s="9" t="s">
        <v>5248</v>
      </c>
      <c r="GQN1" s="9" t="s">
        <v>5249</v>
      </c>
      <c r="GQO1" s="9" t="s">
        <v>5250</v>
      </c>
      <c r="GQP1" s="9" t="s">
        <v>5251</v>
      </c>
      <c r="GQQ1" s="9" t="s">
        <v>5252</v>
      </c>
      <c r="GQR1" s="9" t="s">
        <v>5253</v>
      </c>
      <c r="GQS1" s="9" t="s">
        <v>5254</v>
      </c>
      <c r="GQT1" s="9" t="s">
        <v>5255</v>
      </c>
      <c r="GQU1" s="9" t="s">
        <v>5256</v>
      </c>
      <c r="GQV1" s="9" t="s">
        <v>5257</v>
      </c>
      <c r="GQW1" s="9" t="s">
        <v>5258</v>
      </c>
      <c r="GQX1" s="9" t="s">
        <v>5259</v>
      </c>
      <c r="GQY1" s="9" t="s">
        <v>5260</v>
      </c>
      <c r="GQZ1" s="9" t="s">
        <v>5261</v>
      </c>
      <c r="GRA1" s="9" t="s">
        <v>5262</v>
      </c>
      <c r="GRB1" s="9" t="s">
        <v>5263</v>
      </c>
      <c r="GRC1" s="9" t="s">
        <v>5264</v>
      </c>
      <c r="GRD1" s="9" t="s">
        <v>5265</v>
      </c>
      <c r="GRE1" s="9" t="s">
        <v>5266</v>
      </c>
      <c r="GRF1" s="9" t="s">
        <v>5267</v>
      </c>
      <c r="GRG1" s="9" t="s">
        <v>5268</v>
      </c>
      <c r="GRH1" s="9" t="s">
        <v>5269</v>
      </c>
      <c r="GRI1" s="9" t="s">
        <v>5270</v>
      </c>
      <c r="GRJ1" s="9" t="s">
        <v>5271</v>
      </c>
      <c r="GRK1" s="9" t="s">
        <v>5272</v>
      </c>
      <c r="GRL1" s="9" t="s">
        <v>5273</v>
      </c>
      <c r="GRM1" s="9" t="s">
        <v>5274</v>
      </c>
      <c r="GRN1" s="9" t="s">
        <v>5275</v>
      </c>
      <c r="GRO1" s="9" t="s">
        <v>5276</v>
      </c>
      <c r="GRP1" s="9" t="s">
        <v>5277</v>
      </c>
      <c r="GRQ1" s="9" t="s">
        <v>5278</v>
      </c>
      <c r="GRR1" s="9" t="s">
        <v>5279</v>
      </c>
      <c r="GRS1" s="9" t="s">
        <v>5280</v>
      </c>
      <c r="GRT1" s="9" t="s">
        <v>5281</v>
      </c>
      <c r="GRU1" s="9" t="s">
        <v>5282</v>
      </c>
      <c r="GRV1" s="9" t="s">
        <v>5283</v>
      </c>
      <c r="GRW1" s="9" t="s">
        <v>5284</v>
      </c>
      <c r="GRX1" s="9" t="s">
        <v>5285</v>
      </c>
      <c r="GRY1" s="9" t="s">
        <v>5286</v>
      </c>
      <c r="GRZ1" s="9" t="s">
        <v>5287</v>
      </c>
      <c r="GSA1" s="9" t="s">
        <v>5288</v>
      </c>
      <c r="GSB1" s="9" t="s">
        <v>5289</v>
      </c>
      <c r="GSC1" s="9" t="s">
        <v>5290</v>
      </c>
      <c r="GSD1" s="9" t="s">
        <v>5291</v>
      </c>
      <c r="GSE1" s="9" t="s">
        <v>5292</v>
      </c>
      <c r="GSF1" s="9" t="s">
        <v>5293</v>
      </c>
      <c r="GSG1" s="9" t="s">
        <v>5294</v>
      </c>
      <c r="GSH1" s="9" t="s">
        <v>5295</v>
      </c>
      <c r="GSI1" s="9" t="s">
        <v>5296</v>
      </c>
      <c r="GSJ1" s="9" t="s">
        <v>5297</v>
      </c>
      <c r="GSK1" s="9" t="s">
        <v>5298</v>
      </c>
      <c r="GSL1" s="9" t="s">
        <v>5299</v>
      </c>
      <c r="GSM1" s="9" t="s">
        <v>5300</v>
      </c>
      <c r="GSN1" s="9" t="s">
        <v>5301</v>
      </c>
      <c r="GSO1" s="9" t="s">
        <v>5302</v>
      </c>
      <c r="GSP1" s="9" t="s">
        <v>5303</v>
      </c>
      <c r="GSQ1" s="9" t="s">
        <v>5304</v>
      </c>
      <c r="GSR1" s="9" t="s">
        <v>5305</v>
      </c>
      <c r="GSS1" s="9" t="s">
        <v>5306</v>
      </c>
      <c r="GST1" s="9" t="s">
        <v>5307</v>
      </c>
      <c r="GSU1" s="9" t="s">
        <v>5308</v>
      </c>
      <c r="GSV1" s="9" t="s">
        <v>5309</v>
      </c>
      <c r="GSW1" s="9" t="s">
        <v>5310</v>
      </c>
      <c r="GSX1" s="9" t="s">
        <v>5311</v>
      </c>
      <c r="GSY1" s="9" t="s">
        <v>5312</v>
      </c>
      <c r="GSZ1" s="9" t="s">
        <v>5313</v>
      </c>
      <c r="GTA1" s="9" t="s">
        <v>5314</v>
      </c>
      <c r="GTB1" s="9" t="s">
        <v>5315</v>
      </c>
      <c r="GTC1" s="9" t="s">
        <v>5316</v>
      </c>
      <c r="GTD1" s="9" t="s">
        <v>5317</v>
      </c>
      <c r="GTE1" s="9" t="s">
        <v>5318</v>
      </c>
      <c r="GTF1" s="9" t="s">
        <v>5319</v>
      </c>
      <c r="GTG1" s="9" t="s">
        <v>5320</v>
      </c>
      <c r="GTH1" s="9" t="s">
        <v>5321</v>
      </c>
      <c r="GTI1" s="9" t="s">
        <v>5322</v>
      </c>
      <c r="GTJ1" s="9" t="s">
        <v>5323</v>
      </c>
      <c r="GTK1" s="9" t="s">
        <v>5324</v>
      </c>
      <c r="GTL1" s="9" t="s">
        <v>5325</v>
      </c>
      <c r="GTM1" s="9" t="s">
        <v>5326</v>
      </c>
      <c r="GTN1" s="9" t="s">
        <v>5327</v>
      </c>
      <c r="GTO1" s="9" t="s">
        <v>5328</v>
      </c>
      <c r="GTP1" s="9" t="s">
        <v>5329</v>
      </c>
      <c r="GTQ1" s="9" t="s">
        <v>5330</v>
      </c>
      <c r="GTR1" s="9" t="s">
        <v>5331</v>
      </c>
      <c r="GTS1" s="9" t="s">
        <v>5332</v>
      </c>
      <c r="GTT1" s="9" t="s">
        <v>5333</v>
      </c>
      <c r="GTU1" s="9" t="s">
        <v>5334</v>
      </c>
      <c r="GTV1" s="9" t="s">
        <v>5335</v>
      </c>
      <c r="GTW1" s="9" t="s">
        <v>5336</v>
      </c>
      <c r="GTX1" s="9" t="s">
        <v>5337</v>
      </c>
      <c r="GTY1" s="9" t="s">
        <v>5338</v>
      </c>
      <c r="GTZ1" s="9" t="s">
        <v>5339</v>
      </c>
      <c r="GUA1" s="9" t="s">
        <v>5340</v>
      </c>
      <c r="GUB1" s="9" t="s">
        <v>5341</v>
      </c>
      <c r="GUC1" s="9" t="s">
        <v>5342</v>
      </c>
      <c r="GUD1" s="9" t="s">
        <v>5343</v>
      </c>
      <c r="GUE1" s="9" t="s">
        <v>5344</v>
      </c>
      <c r="GUF1" s="9" t="s">
        <v>5345</v>
      </c>
      <c r="GUG1" s="9" t="s">
        <v>5346</v>
      </c>
      <c r="GUH1" s="9" t="s">
        <v>5347</v>
      </c>
      <c r="GUI1" s="9" t="s">
        <v>5348</v>
      </c>
      <c r="GUJ1" s="9" t="s">
        <v>5349</v>
      </c>
      <c r="GUK1" s="9" t="s">
        <v>5350</v>
      </c>
      <c r="GUL1" s="9" t="s">
        <v>5351</v>
      </c>
      <c r="GUM1" s="9" t="s">
        <v>5352</v>
      </c>
      <c r="GUN1" s="9" t="s">
        <v>5353</v>
      </c>
      <c r="GUO1" s="9" t="s">
        <v>5354</v>
      </c>
      <c r="GUP1" s="9" t="s">
        <v>5355</v>
      </c>
      <c r="GUQ1" s="9" t="s">
        <v>5356</v>
      </c>
      <c r="GUR1" s="9" t="s">
        <v>5357</v>
      </c>
      <c r="GUS1" s="9" t="s">
        <v>5358</v>
      </c>
      <c r="GUT1" s="9" t="s">
        <v>5359</v>
      </c>
      <c r="GUU1" s="9" t="s">
        <v>5360</v>
      </c>
      <c r="GUV1" s="9" t="s">
        <v>5361</v>
      </c>
      <c r="GUW1" s="9" t="s">
        <v>5362</v>
      </c>
      <c r="GUX1" s="9" t="s">
        <v>5363</v>
      </c>
      <c r="GUY1" s="9" t="s">
        <v>5364</v>
      </c>
      <c r="GUZ1" s="9" t="s">
        <v>5365</v>
      </c>
      <c r="GVA1" s="9" t="s">
        <v>5366</v>
      </c>
      <c r="GVB1" s="9" t="s">
        <v>5367</v>
      </c>
      <c r="GVC1" s="9" t="s">
        <v>5368</v>
      </c>
      <c r="GVD1" s="9" t="s">
        <v>5369</v>
      </c>
      <c r="GVE1" s="9" t="s">
        <v>5370</v>
      </c>
      <c r="GVF1" s="9" t="s">
        <v>5371</v>
      </c>
      <c r="GVG1" s="9" t="s">
        <v>5372</v>
      </c>
      <c r="GVH1" s="9" t="s">
        <v>5373</v>
      </c>
      <c r="GVI1" s="9" t="s">
        <v>5374</v>
      </c>
      <c r="GVJ1" s="9" t="s">
        <v>5375</v>
      </c>
      <c r="GVK1" s="9" t="s">
        <v>5376</v>
      </c>
      <c r="GVL1" s="9" t="s">
        <v>5377</v>
      </c>
      <c r="GVM1" s="9" t="s">
        <v>5378</v>
      </c>
      <c r="GVN1" s="9" t="s">
        <v>5379</v>
      </c>
      <c r="GVO1" s="9" t="s">
        <v>5380</v>
      </c>
      <c r="GVP1" s="9" t="s">
        <v>5381</v>
      </c>
      <c r="GVQ1" s="9" t="s">
        <v>5382</v>
      </c>
      <c r="GVR1" s="9" t="s">
        <v>5383</v>
      </c>
      <c r="GVS1" s="9" t="s">
        <v>5384</v>
      </c>
      <c r="GVT1" s="9" t="s">
        <v>5385</v>
      </c>
      <c r="GVU1" s="9" t="s">
        <v>5386</v>
      </c>
      <c r="GVV1" s="9" t="s">
        <v>5387</v>
      </c>
      <c r="GVW1" s="9" t="s">
        <v>5388</v>
      </c>
      <c r="GVX1" s="9" t="s">
        <v>5389</v>
      </c>
      <c r="GVY1" s="9" t="s">
        <v>5390</v>
      </c>
      <c r="GVZ1" s="9" t="s">
        <v>5391</v>
      </c>
      <c r="GWA1" s="9" t="s">
        <v>5392</v>
      </c>
      <c r="GWB1" s="9" t="s">
        <v>5393</v>
      </c>
      <c r="GWC1" s="9" t="s">
        <v>5394</v>
      </c>
      <c r="GWD1" s="9" t="s">
        <v>5395</v>
      </c>
      <c r="GWE1" s="9" t="s">
        <v>5396</v>
      </c>
      <c r="GWF1" s="9" t="s">
        <v>5397</v>
      </c>
      <c r="GWG1" s="9" t="s">
        <v>5398</v>
      </c>
      <c r="GWH1" s="9" t="s">
        <v>5399</v>
      </c>
      <c r="GWI1" s="9" t="s">
        <v>5400</v>
      </c>
      <c r="GWJ1" s="9" t="s">
        <v>5401</v>
      </c>
      <c r="GWK1" s="9" t="s">
        <v>5402</v>
      </c>
      <c r="GWL1" s="9" t="s">
        <v>5403</v>
      </c>
      <c r="GWM1" s="9" t="s">
        <v>5404</v>
      </c>
      <c r="GWN1" s="9" t="s">
        <v>5405</v>
      </c>
      <c r="GWO1" s="9" t="s">
        <v>5406</v>
      </c>
      <c r="GWP1" s="9" t="s">
        <v>5407</v>
      </c>
      <c r="GWQ1" s="9" t="s">
        <v>5408</v>
      </c>
      <c r="GWR1" s="9" t="s">
        <v>5409</v>
      </c>
      <c r="GWS1" s="9" t="s">
        <v>5410</v>
      </c>
      <c r="GWT1" s="9" t="s">
        <v>5411</v>
      </c>
      <c r="GWU1" s="9" t="s">
        <v>5412</v>
      </c>
      <c r="GWV1" s="9" t="s">
        <v>5413</v>
      </c>
      <c r="GWW1" s="9" t="s">
        <v>5414</v>
      </c>
      <c r="GWX1" s="9" t="s">
        <v>5415</v>
      </c>
      <c r="GWY1" s="9" t="s">
        <v>5416</v>
      </c>
      <c r="GWZ1" s="9" t="s">
        <v>5417</v>
      </c>
      <c r="GXA1" s="9" t="s">
        <v>5418</v>
      </c>
      <c r="GXB1" s="9" t="s">
        <v>5419</v>
      </c>
      <c r="GXC1" s="9" t="s">
        <v>5420</v>
      </c>
      <c r="GXD1" s="9" t="s">
        <v>5421</v>
      </c>
      <c r="GXE1" s="9" t="s">
        <v>5422</v>
      </c>
      <c r="GXF1" s="9" t="s">
        <v>5423</v>
      </c>
      <c r="GXG1" s="9" t="s">
        <v>5424</v>
      </c>
      <c r="GXH1" s="9" t="s">
        <v>5425</v>
      </c>
      <c r="GXI1" s="9" t="s">
        <v>5426</v>
      </c>
      <c r="GXJ1" s="9" t="s">
        <v>5427</v>
      </c>
      <c r="GXK1" s="9" t="s">
        <v>5428</v>
      </c>
      <c r="GXL1" s="9" t="s">
        <v>5429</v>
      </c>
      <c r="GXM1" s="9" t="s">
        <v>5430</v>
      </c>
      <c r="GXN1" s="9" t="s">
        <v>5431</v>
      </c>
      <c r="GXO1" s="9" t="s">
        <v>5432</v>
      </c>
      <c r="GXP1" s="9" t="s">
        <v>5433</v>
      </c>
      <c r="GXQ1" s="9" t="s">
        <v>5434</v>
      </c>
      <c r="GXR1" s="9" t="s">
        <v>5435</v>
      </c>
      <c r="GXS1" s="9" t="s">
        <v>5436</v>
      </c>
      <c r="GXT1" s="9" t="s">
        <v>5437</v>
      </c>
      <c r="GXU1" s="9" t="s">
        <v>5438</v>
      </c>
      <c r="GXV1" s="9" t="s">
        <v>5439</v>
      </c>
      <c r="GXW1" s="9" t="s">
        <v>5440</v>
      </c>
      <c r="GXX1" s="9" t="s">
        <v>5441</v>
      </c>
      <c r="GXY1" s="9" t="s">
        <v>5442</v>
      </c>
      <c r="GXZ1" s="9" t="s">
        <v>5443</v>
      </c>
      <c r="GYA1" s="9" t="s">
        <v>5444</v>
      </c>
      <c r="GYB1" s="9" t="s">
        <v>5445</v>
      </c>
      <c r="GYC1" s="9" t="s">
        <v>5446</v>
      </c>
      <c r="GYD1" s="9" t="s">
        <v>5447</v>
      </c>
      <c r="GYE1" s="9" t="s">
        <v>5448</v>
      </c>
      <c r="GYF1" s="9" t="s">
        <v>5449</v>
      </c>
      <c r="GYG1" s="9" t="s">
        <v>5450</v>
      </c>
      <c r="GYH1" s="9" t="s">
        <v>5451</v>
      </c>
      <c r="GYI1" s="9" t="s">
        <v>5452</v>
      </c>
      <c r="GYJ1" s="9" t="s">
        <v>5453</v>
      </c>
      <c r="GYK1" s="9" t="s">
        <v>5454</v>
      </c>
      <c r="GYL1" s="9" t="s">
        <v>5455</v>
      </c>
      <c r="GYM1" s="9" t="s">
        <v>5456</v>
      </c>
      <c r="GYN1" s="9" t="s">
        <v>5457</v>
      </c>
      <c r="GYO1" s="9" t="s">
        <v>5458</v>
      </c>
      <c r="GYP1" s="9" t="s">
        <v>5459</v>
      </c>
      <c r="GYQ1" s="9" t="s">
        <v>5460</v>
      </c>
      <c r="GYR1" s="9" t="s">
        <v>5461</v>
      </c>
      <c r="GYS1" s="9" t="s">
        <v>5462</v>
      </c>
      <c r="GYT1" s="9" t="s">
        <v>5463</v>
      </c>
      <c r="GYU1" s="9" t="s">
        <v>5464</v>
      </c>
      <c r="GYV1" s="9" t="s">
        <v>5465</v>
      </c>
      <c r="GYW1" s="9" t="s">
        <v>5466</v>
      </c>
      <c r="GYX1" s="9" t="s">
        <v>5467</v>
      </c>
      <c r="GYY1" s="9" t="s">
        <v>5468</v>
      </c>
      <c r="GYZ1" s="9" t="s">
        <v>5469</v>
      </c>
      <c r="GZA1" s="9" t="s">
        <v>5470</v>
      </c>
      <c r="GZB1" s="9" t="s">
        <v>5471</v>
      </c>
      <c r="GZC1" s="9" t="s">
        <v>5472</v>
      </c>
      <c r="GZD1" s="9" t="s">
        <v>5473</v>
      </c>
      <c r="GZE1" s="9" t="s">
        <v>5474</v>
      </c>
      <c r="GZF1" s="9" t="s">
        <v>5475</v>
      </c>
      <c r="GZG1" s="9" t="s">
        <v>5476</v>
      </c>
      <c r="GZH1" s="9" t="s">
        <v>5477</v>
      </c>
      <c r="GZI1" s="9" t="s">
        <v>5478</v>
      </c>
      <c r="GZJ1" s="9" t="s">
        <v>5479</v>
      </c>
      <c r="GZK1" s="9" t="s">
        <v>5480</v>
      </c>
      <c r="GZL1" s="9" t="s">
        <v>5481</v>
      </c>
      <c r="GZM1" s="9" t="s">
        <v>5482</v>
      </c>
      <c r="GZN1" s="9" t="s">
        <v>5483</v>
      </c>
      <c r="GZO1" s="9" t="s">
        <v>5484</v>
      </c>
      <c r="GZP1" s="9" t="s">
        <v>5485</v>
      </c>
      <c r="GZQ1" s="9" t="s">
        <v>5486</v>
      </c>
      <c r="GZR1" s="9" t="s">
        <v>5487</v>
      </c>
      <c r="GZS1" s="9" t="s">
        <v>5488</v>
      </c>
      <c r="GZT1" s="9" t="s">
        <v>5489</v>
      </c>
      <c r="GZU1" s="9" t="s">
        <v>5490</v>
      </c>
      <c r="GZV1" s="9" t="s">
        <v>5491</v>
      </c>
      <c r="GZW1" s="9" t="s">
        <v>5492</v>
      </c>
      <c r="GZX1" s="9" t="s">
        <v>5493</v>
      </c>
      <c r="GZY1" s="9" t="s">
        <v>5494</v>
      </c>
      <c r="GZZ1" s="9" t="s">
        <v>5495</v>
      </c>
      <c r="HAA1" s="9" t="s">
        <v>5496</v>
      </c>
      <c r="HAB1" s="9" t="s">
        <v>5497</v>
      </c>
      <c r="HAC1" s="9" t="s">
        <v>5498</v>
      </c>
      <c r="HAD1" s="9" t="s">
        <v>5499</v>
      </c>
      <c r="HAE1" s="9" t="s">
        <v>5500</v>
      </c>
      <c r="HAF1" s="9" t="s">
        <v>5501</v>
      </c>
      <c r="HAG1" s="9" t="s">
        <v>5502</v>
      </c>
      <c r="HAH1" s="9" t="s">
        <v>5503</v>
      </c>
      <c r="HAI1" s="9" t="s">
        <v>5504</v>
      </c>
      <c r="HAJ1" s="9" t="s">
        <v>5505</v>
      </c>
      <c r="HAK1" s="9" t="s">
        <v>5506</v>
      </c>
      <c r="HAL1" s="9" t="s">
        <v>5507</v>
      </c>
      <c r="HAM1" s="9" t="s">
        <v>5508</v>
      </c>
      <c r="HAN1" s="9" t="s">
        <v>5509</v>
      </c>
      <c r="HAO1" s="9" t="s">
        <v>5510</v>
      </c>
      <c r="HAP1" s="9" t="s">
        <v>5511</v>
      </c>
      <c r="HAQ1" s="9" t="s">
        <v>5512</v>
      </c>
      <c r="HAR1" s="9" t="s">
        <v>5513</v>
      </c>
      <c r="HAS1" s="9" t="s">
        <v>5514</v>
      </c>
      <c r="HAT1" s="9" t="s">
        <v>5515</v>
      </c>
      <c r="HAU1" s="9" t="s">
        <v>5516</v>
      </c>
      <c r="HAV1" s="9" t="s">
        <v>5517</v>
      </c>
      <c r="HAW1" s="9" t="s">
        <v>5518</v>
      </c>
      <c r="HAX1" s="9" t="s">
        <v>5519</v>
      </c>
      <c r="HAY1" s="9" t="s">
        <v>5520</v>
      </c>
      <c r="HAZ1" s="9" t="s">
        <v>5521</v>
      </c>
      <c r="HBA1" s="9" t="s">
        <v>5522</v>
      </c>
      <c r="HBB1" s="9" t="s">
        <v>5523</v>
      </c>
      <c r="HBC1" s="9" t="s">
        <v>5524</v>
      </c>
      <c r="HBD1" s="9" t="s">
        <v>5525</v>
      </c>
      <c r="HBE1" s="9" t="s">
        <v>5526</v>
      </c>
      <c r="HBF1" s="9" t="s">
        <v>5527</v>
      </c>
      <c r="HBG1" s="9" t="s">
        <v>5528</v>
      </c>
      <c r="HBH1" s="9" t="s">
        <v>5529</v>
      </c>
      <c r="HBI1" s="9" t="s">
        <v>5530</v>
      </c>
      <c r="HBJ1" s="9" t="s">
        <v>5531</v>
      </c>
      <c r="HBK1" s="9" t="s">
        <v>5532</v>
      </c>
      <c r="HBL1" s="9" t="s">
        <v>5533</v>
      </c>
      <c r="HBM1" s="9" t="s">
        <v>5534</v>
      </c>
      <c r="HBN1" s="9" t="s">
        <v>5535</v>
      </c>
      <c r="HBO1" s="9" t="s">
        <v>5536</v>
      </c>
      <c r="HBP1" s="9" t="s">
        <v>5537</v>
      </c>
      <c r="HBQ1" s="9" t="s">
        <v>5538</v>
      </c>
      <c r="HBR1" s="9" t="s">
        <v>5539</v>
      </c>
      <c r="HBS1" s="9" t="s">
        <v>5540</v>
      </c>
      <c r="HBT1" s="9" t="s">
        <v>5541</v>
      </c>
      <c r="HBU1" s="9" t="s">
        <v>5542</v>
      </c>
      <c r="HBV1" s="9" t="s">
        <v>5543</v>
      </c>
      <c r="HBW1" s="9" t="s">
        <v>5544</v>
      </c>
      <c r="HBX1" s="9" t="s">
        <v>5545</v>
      </c>
      <c r="HBY1" s="9" t="s">
        <v>5546</v>
      </c>
      <c r="HBZ1" s="9" t="s">
        <v>5547</v>
      </c>
      <c r="HCA1" s="9" t="s">
        <v>5548</v>
      </c>
      <c r="HCB1" s="9" t="s">
        <v>5549</v>
      </c>
      <c r="HCC1" s="9" t="s">
        <v>5550</v>
      </c>
      <c r="HCD1" s="9" t="s">
        <v>5551</v>
      </c>
      <c r="HCE1" s="9" t="s">
        <v>5552</v>
      </c>
      <c r="HCF1" s="9" t="s">
        <v>5553</v>
      </c>
      <c r="HCG1" s="9" t="s">
        <v>5554</v>
      </c>
      <c r="HCH1" s="9" t="s">
        <v>5555</v>
      </c>
      <c r="HCI1" s="9" t="s">
        <v>5556</v>
      </c>
      <c r="HCJ1" s="9" t="s">
        <v>5557</v>
      </c>
      <c r="HCK1" s="9" t="s">
        <v>5558</v>
      </c>
      <c r="HCL1" s="9" t="s">
        <v>5559</v>
      </c>
      <c r="HCM1" s="9" t="s">
        <v>5560</v>
      </c>
      <c r="HCN1" s="9" t="s">
        <v>5561</v>
      </c>
      <c r="HCO1" s="9" t="s">
        <v>5562</v>
      </c>
      <c r="HCP1" s="9" t="s">
        <v>5563</v>
      </c>
      <c r="HCQ1" s="9" t="s">
        <v>5564</v>
      </c>
      <c r="HCR1" s="9" t="s">
        <v>5565</v>
      </c>
      <c r="HCS1" s="9" t="s">
        <v>5566</v>
      </c>
      <c r="HCT1" s="9" t="s">
        <v>5567</v>
      </c>
      <c r="HCU1" s="9" t="s">
        <v>5568</v>
      </c>
      <c r="HCV1" s="9" t="s">
        <v>5569</v>
      </c>
      <c r="HCW1" s="9" t="s">
        <v>5570</v>
      </c>
      <c r="HCX1" s="9" t="s">
        <v>5571</v>
      </c>
      <c r="HCY1" s="9" t="s">
        <v>5572</v>
      </c>
      <c r="HCZ1" s="9" t="s">
        <v>5573</v>
      </c>
      <c r="HDA1" s="9" t="s">
        <v>5574</v>
      </c>
      <c r="HDB1" s="9" t="s">
        <v>5575</v>
      </c>
      <c r="HDC1" s="9" t="s">
        <v>5576</v>
      </c>
      <c r="HDD1" s="9" t="s">
        <v>5577</v>
      </c>
      <c r="HDE1" s="9" t="s">
        <v>5578</v>
      </c>
      <c r="HDF1" s="9" t="s">
        <v>5579</v>
      </c>
      <c r="HDG1" s="9" t="s">
        <v>5580</v>
      </c>
      <c r="HDH1" s="9" t="s">
        <v>5581</v>
      </c>
      <c r="HDI1" s="9" t="s">
        <v>5582</v>
      </c>
      <c r="HDJ1" s="9" t="s">
        <v>5583</v>
      </c>
      <c r="HDK1" s="9" t="s">
        <v>5584</v>
      </c>
      <c r="HDL1" s="9" t="s">
        <v>5585</v>
      </c>
      <c r="HDM1" s="9" t="s">
        <v>5586</v>
      </c>
      <c r="HDN1" s="9" t="s">
        <v>5587</v>
      </c>
      <c r="HDO1" s="9" t="s">
        <v>5588</v>
      </c>
      <c r="HDP1" s="9" t="s">
        <v>5589</v>
      </c>
      <c r="HDQ1" s="9" t="s">
        <v>5590</v>
      </c>
      <c r="HDR1" s="9" t="s">
        <v>5591</v>
      </c>
      <c r="HDS1" s="9" t="s">
        <v>5592</v>
      </c>
      <c r="HDT1" s="9" t="s">
        <v>5593</v>
      </c>
      <c r="HDU1" s="9" t="s">
        <v>5594</v>
      </c>
      <c r="HDV1" s="9" t="s">
        <v>5595</v>
      </c>
      <c r="HDW1" s="9" t="s">
        <v>5596</v>
      </c>
      <c r="HDX1" s="9" t="s">
        <v>5597</v>
      </c>
      <c r="HDY1" s="9" t="s">
        <v>5598</v>
      </c>
      <c r="HDZ1" s="9" t="s">
        <v>5599</v>
      </c>
      <c r="HEA1" s="9" t="s">
        <v>5600</v>
      </c>
      <c r="HEB1" s="9" t="s">
        <v>5601</v>
      </c>
      <c r="HEC1" s="9" t="s">
        <v>5602</v>
      </c>
      <c r="HED1" s="9" t="s">
        <v>5603</v>
      </c>
      <c r="HEE1" s="9" t="s">
        <v>5604</v>
      </c>
      <c r="HEF1" s="9" t="s">
        <v>5605</v>
      </c>
      <c r="HEG1" s="9" t="s">
        <v>5606</v>
      </c>
      <c r="HEH1" s="9" t="s">
        <v>5607</v>
      </c>
      <c r="HEI1" s="9" t="s">
        <v>5608</v>
      </c>
      <c r="HEJ1" s="9" t="s">
        <v>5609</v>
      </c>
      <c r="HEK1" s="9" t="s">
        <v>5610</v>
      </c>
      <c r="HEL1" s="9" t="s">
        <v>5611</v>
      </c>
      <c r="HEM1" s="9" t="s">
        <v>5612</v>
      </c>
      <c r="HEN1" s="9" t="s">
        <v>5613</v>
      </c>
      <c r="HEO1" s="9" t="s">
        <v>5614</v>
      </c>
      <c r="HEP1" s="9" t="s">
        <v>5615</v>
      </c>
      <c r="HEQ1" s="9" t="s">
        <v>5616</v>
      </c>
      <c r="HER1" s="9" t="s">
        <v>5617</v>
      </c>
      <c r="HES1" s="9" t="s">
        <v>5618</v>
      </c>
      <c r="HET1" s="9" t="s">
        <v>5619</v>
      </c>
      <c r="HEU1" s="9" t="s">
        <v>5620</v>
      </c>
      <c r="HEV1" s="9" t="s">
        <v>5621</v>
      </c>
      <c r="HEW1" s="9" t="s">
        <v>5622</v>
      </c>
      <c r="HEX1" s="9" t="s">
        <v>5623</v>
      </c>
      <c r="HEY1" s="9" t="s">
        <v>5624</v>
      </c>
      <c r="HEZ1" s="9" t="s">
        <v>5625</v>
      </c>
      <c r="HFA1" s="9" t="s">
        <v>5626</v>
      </c>
      <c r="HFB1" s="9" t="s">
        <v>5627</v>
      </c>
      <c r="HFC1" s="9" t="s">
        <v>5628</v>
      </c>
      <c r="HFD1" s="9" t="s">
        <v>5629</v>
      </c>
      <c r="HFE1" s="9" t="s">
        <v>5630</v>
      </c>
      <c r="HFF1" s="9" t="s">
        <v>5631</v>
      </c>
      <c r="HFG1" s="9" t="s">
        <v>5632</v>
      </c>
      <c r="HFH1" s="9" t="s">
        <v>5633</v>
      </c>
      <c r="HFI1" s="9" t="s">
        <v>5634</v>
      </c>
      <c r="HFJ1" s="9" t="s">
        <v>5635</v>
      </c>
      <c r="HFK1" s="9" t="s">
        <v>5636</v>
      </c>
      <c r="HFL1" s="9" t="s">
        <v>5637</v>
      </c>
      <c r="HFM1" s="9" t="s">
        <v>5638</v>
      </c>
      <c r="HFN1" s="9" t="s">
        <v>5639</v>
      </c>
      <c r="HFO1" s="9" t="s">
        <v>5640</v>
      </c>
      <c r="HFP1" s="9" t="s">
        <v>5641</v>
      </c>
      <c r="HFQ1" s="9" t="s">
        <v>5642</v>
      </c>
      <c r="HFR1" s="9" t="s">
        <v>5643</v>
      </c>
      <c r="HFS1" s="9" t="s">
        <v>5644</v>
      </c>
      <c r="HFT1" s="9" t="s">
        <v>5645</v>
      </c>
      <c r="HFU1" s="9" t="s">
        <v>5646</v>
      </c>
      <c r="HFV1" s="9" t="s">
        <v>5647</v>
      </c>
      <c r="HFW1" s="9" t="s">
        <v>5648</v>
      </c>
      <c r="HFX1" s="9" t="s">
        <v>5649</v>
      </c>
      <c r="HFY1" s="9" t="s">
        <v>5650</v>
      </c>
      <c r="HFZ1" s="9" t="s">
        <v>5651</v>
      </c>
      <c r="HGA1" s="9" t="s">
        <v>5652</v>
      </c>
      <c r="HGB1" s="9" t="s">
        <v>5653</v>
      </c>
      <c r="HGC1" s="9" t="s">
        <v>5654</v>
      </c>
      <c r="HGD1" s="9" t="s">
        <v>5655</v>
      </c>
      <c r="HGE1" s="9" t="s">
        <v>5656</v>
      </c>
      <c r="HGF1" s="9" t="s">
        <v>5657</v>
      </c>
      <c r="HGG1" s="9" t="s">
        <v>5658</v>
      </c>
      <c r="HGH1" s="9" t="s">
        <v>5659</v>
      </c>
      <c r="HGI1" s="9" t="s">
        <v>5660</v>
      </c>
      <c r="HGJ1" s="9" t="s">
        <v>5661</v>
      </c>
      <c r="HGK1" s="9" t="s">
        <v>5662</v>
      </c>
      <c r="HGL1" s="9" t="s">
        <v>5663</v>
      </c>
      <c r="HGM1" s="9" t="s">
        <v>5664</v>
      </c>
      <c r="HGN1" s="9" t="s">
        <v>5665</v>
      </c>
      <c r="HGO1" s="9" t="s">
        <v>5666</v>
      </c>
      <c r="HGP1" s="9" t="s">
        <v>5667</v>
      </c>
      <c r="HGQ1" s="9" t="s">
        <v>5668</v>
      </c>
      <c r="HGR1" s="9" t="s">
        <v>5669</v>
      </c>
      <c r="HGS1" s="9" t="s">
        <v>5670</v>
      </c>
      <c r="HGT1" s="9" t="s">
        <v>5671</v>
      </c>
      <c r="HGU1" s="9" t="s">
        <v>5672</v>
      </c>
      <c r="HGV1" s="9" t="s">
        <v>5673</v>
      </c>
      <c r="HGW1" s="9" t="s">
        <v>5674</v>
      </c>
      <c r="HGX1" s="9" t="s">
        <v>5675</v>
      </c>
      <c r="HGY1" s="9" t="s">
        <v>5676</v>
      </c>
      <c r="HGZ1" s="9" t="s">
        <v>5677</v>
      </c>
      <c r="HHA1" s="9" t="s">
        <v>5678</v>
      </c>
      <c r="HHB1" s="9" t="s">
        <v>5679</v>
      </c>
      <c r="HHC1" s="9" t="s">
        <v>5680</v>
      </c>
      <c r="HHD1" s="9" t="s">
        <v>5681</v>
      </c>
      <c r="HHE1" s="9" t="s">
        <v>5682</v>
      </c>
      <c r="HHF1" s="9" t="s">
        <v>5683</v>
      </c>
      <c r="HHG1" s="9" t="s">
        <v>5684</v>
      </c>
      <c r="HHH1" s="9" t="s">
        <v>5685</v>
      </c>
      <c r="HHI1" s="9" t="s">
        <v>5686</v>
      </c>
      <c r="HHJ1" s="9" t="s">
        <v>5687</v>
      </c>
      <c r="HHK1" s="9" t="s">
        <v>5688</v>
      </c>
      <c r="HHL1" s="9" t="s">
        <v>5689</v>
      </c>
      <c r="HHM1" s="9" t="s">
        <v>5690</v>
      </c>
      <c r="HHN1" s="9" t="s">
        <v>5691</v>
      </c>
      <c r="HHO1" s="9" t="s">
        <v>5692</v>
      </c>
      <c r="HHP1" s="9" t="s">
        <v>5693</v>
      </c>
      <c r="HHQ1" s="9" t="s">
        <v>5694</v>
      </c>
      <c r="HHR1" s="9" t="s">
        <v>5695</v>
      </c>
      <c r="HHS1" s="9" t="s">
        <v>5696</v>
      </c>
      <c r="HHT1" s="9" t="s">
        <v>5697</v>
      </c>
      <c r="HHU1" s="9" t="s">
        <v>5698</v>
      </c>
      <c r="HHV1" s="9" t="s">
        <v>5699</v>
      </c>
      <c r="HHW1" s="9" t="s">
        <v>5700</v>
      </c>
      <c r="HHX1" s="9" t="s">
        <v>5701</v>
      </c>
      <c r="HHY1" s="9" t="s">
        <v>5702</v>
      </c>
      <c r="HHZ1" s="9" t="s">
        <v>5703</v>
      </c>
      <c r="HIA1" s="9" t="s">
        <v>5704</v>
      </c>
      <c r="HIB1" s="9" t="s">
        <v>5705</v>
      </c>
      <c r="HIC1" s="9" t="s">
        <v>5706</v>
      </c>
      <c r="HID1" s="9" t="s">
        <v>5707</v>
      </c>
      <c r="HIE1" s="9" t="s">
        <v>5708</v>
      </c>
      <c r="HIF1" s="9" t="s">
        <v>5709</v>
      </c>
      <c r="HIG1" s="9" t="s">
        <v>5710</v>
      </c>
      <c r="HIH1" s="9" t="s">
        <v>5711</v>
      </c>
      <c r="HII1" s="9" t="s">
        <v>5712</v>
      </c>
      <c r="HIJ1" s="9" t="s">
        <v>5713</v>
      </c>
      <c r="HIK1" s="9" t="s">
        <v>5714</v>
      </c>
      <c r="HIL1" s="9" t="s">
        <v>5715</v>
      </c>
      <c r="HIM1" s="9" t="s">
        <v>5716</v>
      </c>
      <c r="HIN1" s="9" t="s">
        <v>5717</v>
      </c>
      <c r="HIO1" s="9" t="s">
        <v>5718</v>
      </c>
      <c r="HIP1" s="9" t="s">
        <v>5719</v>
      </c>
      <c r="HIQ1" s="9" t="s">
        <v>5720</v>
      </c>
      <c r="HIR1" s="9" t="s">
        <v>5721</v>
      </c>
      <c r="HIS1" s="9" t="s">
        <v>5722</v>
      </c>
      <c r="HIT1" s="9" t="s">
        <v>5723</v>
      </c>
      <c r="HIU1" s="9" t="s">
        <v>5724</v>
      </c>
      <c r="HIV1" s="9" t="s">
        <v>5725</v>
      </c>
      <c r="HIW1" s="9" t="s">
        <v>5726</v>
      </c>
      <c r="HIX1" s="9" t="s">
        <v>5727</v>
      </c>
      <c r="HIY1" s="9" t="s">
        <v>5728</v>
      </c>
      <c r="HIZ1" s="9" t="s">
        <v>5729</v>
      </c>
      <c r="HJA1" s="9" t="s">
        <v>5730</v>
      </c>
      <c r="HJB1" s="9" t="s">
        <v>5731</v>
      </c>
      <c r="HJC1" s="9" t="s">
        <v>5732</v>
      </c>
      <c r="HJD1" s="9" t="s">
        <v>5733</v>
      </c>
      <c r="HJE1" s="9" t="s">
        <v>5734</v>
      </c>
      <c r="HJF1" s="9" t="s">
        <v>5735</v>
      </c>
      <c r="HJG1" s="9" t="s">
        <v>5736</v>
      </c>
      <c r="HJH1" s="9" t="s">
        <v>5737</v>
      </c>
      <c r="HJI1" s="9" t="s">
        <v>5738</v>
      </c>
      <c r="HJJ1" s="9" t="s">
        <v>5739</v>
      </c>
      <c r="HJK1" s="9" t="s">
        <v>5740</v>
      </c>
      <c r="HJL1" s="9" t="s">
        <v>5741</v>
      </c>
      <c r="HJM1" s="9" t="s">
        <v>5742</v>
      </c>
      <c r="HJN1" s="9" t="s">
        <v>5743</v>
      </c>
      <c r="HJO1" s="9" t="s">
        <v>5744</v>
      </c>
      <c r="HJP1" s="9" t="s">
        <v>5745</v>
      </c>
      <c r="HJQ1" s="9" t="s">
        <v>5746</v>
      </c>
      <c r="HJR1" s="9" t="s">
        <v>5747</v>
      </c>
      <c r="HJS1" s="9" t="s">
        <v>5748</v>
      </c>
      <c r="HJT1" s="9" t="s">
        <v>5749</v>
      </c>
      <c r="HJU1" s="9" t="s">
        <v>5750</v>
      </c>
      <c r="HJV1" s="9" t="s">
        <v>5751</v>
      </c>
      <c r="HJW1" s="9" t="s">
        <v>5752</v>
      </c>
      <c r="HJX1" s="9" t="s">
        <v>5753</v>
      </c>
      <c r="HJY1" s="9" t="s">
        <v>5754</v>
      </c>
      <c r="HJZ1" s="9" t="s">
        <v>5755</v>
      </c>
      <c r="HKA1" s="9" t="s">
        <v>5756</v>
      </c>
      <c r="HKB1" s="9" t="s">
        <v>5757</v>
      </c>
      <c r="HKC1" s="9" t="s">
        <v>5758</v>
      </c>
      <c r="HKD1" s="9" t="s">
        <v>5759</v>
      </c>
      <c r="HKE1" s="9" t="s">
        <v>5760</v>
      </c>
      <c r="HKF1" s="9" t="s">
        <v>5761</v>
      </c>
      <c r="HKG1" s="9" t="s">
        <v>5762</v>
      </c>
      <c r="HKH1" s="9" t="s">
        <v>5763</v>
      </c>
      <c r="HKI1" s="9" t="s">
        <v>5764</v>
      </c>
      <c r="HKJ1" s="9" t="s">
        <v>5765</v>
      </c>
      <c r="HKK1" s="9" t="s">
        <v>5766</v>
      </c>
      <c r="HKL1" s="9" t="s">
        <v>5767</v>
      </c>
      <c r="HKM1" s="9" t="s">
        <v>5768</v>
      </c>
      <c r="HKN1" s="9" t="s">
        <v>5769</v>
      </c>
      <c r="HKO1" s="9" t="s">
        <v>5770</v>
      </c>
      <c r="HKP1" s="9" t="s">
        <v>5771</v>
      </c>
      <c r="HKQ1" s="9" t="s">
        <v>5772</v>
      </c>
      <c r="HKR1" s="9" t="s">
        <v>5773</v>
      </c>
      <c r="HKS1" s="9" t="s">
        <v>5774</v>
      </c>
      <c r="HKT1" s="9" t="s">
        <v>5775</v>
      </c>
      <c r="HKU1" s="9" t="s">
        <v>5776</v>
      </c>
      <c r="HKV1" s="9" t="s">
        <v>5777</v>
      </c>
      <c r="HKW1" s="9" t="s">
        <v>5778</v>
      </c>
      <c r="HKX1" s="9" t="s">
        <v>5779</v>
      </c>
      <c r="HKY1" s="9" t="s">
        <v>5780</v>
      </c>
      <c r="HKZ1" s="9" t="s">
        <v>5781</v>
      </c>
      <c r="HLA1" s="9" t="s">
        <v>5782</v>
      </c>
      <c r="HLB1" s="9" t="s">
        <v>5783</v>
      </c>
      <c r="HLC1" s="9" t="s">
        <v>5784</v>
      </c>
      <c r="HLD1" s="9" t="s">
        <v>5785</v>
      </c>
      <c r="HLE1" s="9" t="s">
        <v>5786</v>
      </c>
      <c r="HLF1" s="9" t="s">
        <v>5787</v>
      </c>
      <c r="HLG1" s="9" t="s">
        <v>5788</v>
      </c>
      <c r="HLH1" s="9" t="s">
        <v>5789</v>
      </c>
      <c r="HLI1" s="9" t="s">
        <v>5790</v>
      </c>
      <c r="HLJ1" s="9" t="s">
        <v>5791</v>
      </c>
      <c r="HLK1" s="9" t="s">
        <v>5792</v>
      </c>
      <c r="HLL1" s="9" t="s">
        <v>5793</v>
      </c>
      <c r="HLM1" s="9" t="s">
        <v>5794</v>
      </c>
      <c r="HLN1" s="9" t="s">
        <v>5795</v>
      </c>
      <c r="HLO1" s="9" t="s">
        <v>5796</v>
      </c>
      <c r="HLP1" s="9" t="s">
        <v>5797</v>
      </c>
      <c r="HLQ1" s="9" t="s">
        <v>5798</v>
      </c>
      <c r="HLR1" s="9" t="s">
        <v>5799</v>
      </c>
      <c r="HLS1" s="9" t="s">
        <v>5800</v>
      </c>
      <c r="HLT1" s="9" t="s">
        <v>5801</v>
      </c>
      <c r="HLU1" s="9" t="s">
        <v>5802</v>
      </c>
      <c r="HLV1" s="9" t="s">
        <v>5803</v>
      </c>
      <c r="HLW1" s="9" t="s">
        <v>5804</v>
      </c>
      <c r="HLX1" s="9" t="s">
        <v>5805</v>
      </c>
      <c r="HLY1" s="9" t="s">
        <v>5806</v>
      </c>
      <c r="HLZ1" s="9" t="s">
        <v>5807</v>
      </c>
      <c r="HMA1" s="9" t="s">
        <v>5808</v>
      </c>
      <c r="HMB1" s="9" t="s">
        <v>5809</v>
      </c>
      <c r="HMC1" s="9" t="s">
        <v>5810</v>
      </c>
      <c r="HMD1" s="9" t="s">
        <v>5811</v>
      </c>
      <c r="HME1" s="9" t="s">
        <v>5812</v>
      </c>
      <c r="HMF1" s="9" t="s">
        <v>5813</v>
      </c>
      <c r="HMG1" s="9" t="s">
        <v>5814</v>
      </c>
      <c r="HMH1" s="9" t="s">
        <v>5815</v>
      </c>
      <c r="HMI1" s="9" t="s">
        <v>5816</v>
      </c>
      <c r="HMJ1" s="9" t="s">
        <v>5817</v>
      </c>
      <c r="HMK1" s="9" t="s">
        <v>5818</v>
      </c>
      <c r="HML1" s="9" t="s">
        <v>5819</v>
      </c>
      <c r="HMM1" s="9" t="s">
        <v>5820</v>
      </c>
      <c r="HMN1" s="9" t="s">
        <v>5821</v>
      </c>
      <c r="HMO1" s="9" t="s">
        <v>5822</v>
      </c>
      <c r="HMP1" s="9" t="s">
        <v>5823</v>
      </c>
      <c r="HMQ1" s="9" t="s">
        <v>5824</v>
      </c>
      <c r="HMR1" s="9" t="s">
        <v>5825</v>
      </c>
      <c r="HMS1" s="9" t="s">
        <v>5826</v>
      </c>
      <c r="HMT1" s="9" t="s">
        <v>5827</v>
      </c>
      <c r="HMU1" s="9" t="s">
        <v>5828</v>
      </c>
      <c r="HMV1" s="9" t="s">
        <v>5829</v>
      </c>
      <c r="HMW1" s="9" t="s">
        <v>5830</v>
      </c>
      <c r="HMX1" s="9" t="s">
        <v>5831</v>
      </c>
      <c r="HMY1" s="9" t="s">
        <v>5832</v>
      </c>
      <c r="HMZ1" s="9" t="s">
        <v>5833</v>
      </c>
      <c r="HNA1" s="9" t="s">
        <v>5834</v>
      </c>
      <c r="HNB1" s="9" t="s">
        <v>5835</v>
      </c>
      <c r="HNC1" s="9" t="s">
        <v>5836</v>
      </c>
      <c r="HND1" s="9" t="s">
        <v>5837</v>
      </c>
      <c r="HNE1" s="9" t="s">
        <v>5838</v>
      </c>
      <c r="HNF1" s="9" t="s">
        <v>5839</v>
      </c>
      <c r="HNG1" s="9" t="s">
        <v>5840</v>
      </c>
      <c r="HNH1" s="9" t="s">
        <v>5841</v>
      </c>
      <c r="HNI1" s="9" t="s">
        <v>5842</v>
      </c>
      <c r="HNJ1" s="9" t="s">
        <v>5843</v>
      </c>
      <c r="HNK1" s="9" t="s">
        <v>5844</v>
      </c>
      <c r="HNL1" s="9" t="s">
        <v>5845</v>
      </c>
      <c r="HNM1" s="9" t="s">
        <v>5846</v>
      </c>
      <c r="HNN1" s="9" t="s">
        <v>5847</v>
      </c>
      <c r="HNO1" s="9" t="s">
        <v>5848</v>
      </c>
      <c r="HNP1" s="9" t="s">
        <v>5849</v>
      </c>
      <c r="HNQ1" s="9" t="s">
        <v>5850</v>
      </c>
      <c r="HNR1" s="9" t="s">
        <v>5851</v>
      </c>
      <c r="HNS1" s="9" t="s">
        <v>5852</v>
      </c>
      <c r="HNT1" s="9" t="s">
        <v>5853</v>
      </c>
      <c r="HNU1" s="9" t="s">
        <v>5854</v>
      </c>
      <c r="HNV1" s="9" t="s">
        <v>5855</v>
      </c>
      <c r="HNW1" s="9" t="s">
        <v>5856</v>
      </c>
      <c r="HNX1" s="9" t="s">
        <v>5857</v>
      </c>
      <c r="HNY1" s="9" t="s">
        <v>5858</v>
      </c>
      <c r="HNZ1" s="9" t="s">
        <v>5859</v>
      </c>
      <c r="HOA1" s="9" t="s">
        <v>5860</v>
      </c>
      <c r="HOB1" s="9" t="s">
        <v>5861</v>
      </c>
      <c r="HOC1" s="9" t="s">
        <v>5862</v>
      </c>
      <c r="HOD1" s="9" t="s">
        <v>5863</v>
      </c>
      <c r="HOE1" s="9" t="s">
        <v>5864</v>
      </c>
      <c r="HOF1" s="9" t="s">
        <v>5865</v>
      </c>
      <c r="HOG1" s="9" t="s">
        <v>5866</v>
      </c>
      <c r="HOH1" s="9" t="s">
        <v>5867</v>
      </c>
      <c r="HOI1" s="9" t="s">
        <v>5868</v>
      </c>
      <c r="HOJ1" s="9" t="s">
        <v>5869</v>
      </c>
      <c r="HOK1" s="9" t="s">
        <v>5870</v>
      </c>
      <c r="HOL1" s="9" t="s">
        <v>5871</v>
      </c>
      <c r="HOM1" s="9" t="s">
        <v>5872</v>
      </c>
      <c r="HON1" s="9" t="s">
        <v>5873</v>
      </c>
      <c r="HOO1" s="9" t="s">
        <v>5874</v>
      </c>
      <c r="HOP1" s="9" t="s">
        <v>5875</v>
      </c>
      <c r="HOQ1" s="9" t="s">
        <v>5876</v>
      </c>
      <c r="HOR1" s="9" t="s">
        <v>5877</v>
      </c>
      <c r="HOS1" s="9" t="s">
        <v>5878</v>
      </c>
      <c r="HOT1" s="9" t="s">
        <v>5879</v>
      </c>
      <c r="HOU1" s="9" t="s">
        <v>5880</v>
      </c>
      <c r="HOV1" s="9" t="s">
        <v>5881</v>
      </c>
      <c r="HOW1" s="9" t="s">
        <v>5882</v>
      </c>
      <c r="HOX1" s="9" t="s">
        <v>5883</v>
      </c>
      <c r="HOY1" s="9" t="s">
        <v>5884</v>
      </c>
      <c r="HOZ1" s="9" t="s">
        <v>5885</v>
      </c>
      <c r="HPA1" s="9" t="s">
        <v>5886</v>
      </c>
      <c r="HPB1" s="9" t="s">
        <v>5887</v>
      </c>
      <c r="HPC1" s="9" t="s">
        <v>5888</v>
      </c>
      <c r="HPD1" s="9" t="s">
        <v>5889</v>
      </c>
      <c r="HPE1" s="9" t="s">
        <v>5890</v>
      </c>
      <c r="HPF1" s="9" t="s">
        <v>5891</v>
      </c>
      <c r="HPG1" s="9" t="s">
        <v>5892</v>
      </c>
      <c r="HPH1" s="9" t="s">
        <v>5893</v>
      </c>
      <c r="HPI1" s="9" t="s">
        <v>5894</v>
      </c>
      <c r="HPJ1" s="9" t="s">
        <v>5895</v>
      </c>
      <c r="HPK1" s="9" t="s">
        <v>5896</v>
      </c>
      <c r="HPL1" s="9" t="s">
        <v>5897</v>
      </c>
      <c r="HPM1" s="9" t="s">
        <v>5898</v>
      </c>
      <c r="HPN1" s="9" t="s">
        <v>5899</v>
      </c>
      <c r="HPO1" s="9" t="s">
        <v>5900</v>
      </c>
      <c r="HPP1" s="9" t="s">
        <v>5901</v>
      </c>
      <c r="HPQ1" s="9" t="s">
        <v>5902</v>
      </c>
      <c r="HPR1" s="9" t="s">
        <v>5903</v>
      </c>
      <c r="HPS1" s="9" t="s">
        <v>5904</v>
      </c>
      <c r="HPT1" s="9" t="s">
        <v>5905</v>
      </c>
      <c r="HPU1" s="9" t="s">
        <v>5906</v>
      </c>
      <c r="HPV1" s="9" t="s">
        <v>5907</v>
      </c>
      <c r="HPW1" s="9" t="s">
        <v>5908</v>
      </c>
      <c r="HPX1" s="9" t="s">
        <v>5909</v>
      </c>
      <c r="HPY1" s="9" t="s">
        <v>5910</v>
      </c>
      <c r="HPZ1" s="9" t="s">
        <v>5911</v>
      </c>
      <c r="HQA1" s="9" t="s">
        <v>5912</v>
      </c>
      <c r="HQB1" s="9" t="s">
        <v>5913</v>
      </c>
      <c r="HQC1" s="9" t="s">
        <v>5914</v>
      </c>
      <c r="HQD1" s="9" t="s">
        <v>5915</v>
      </c>
      <c r="HQE1" s="9" t="s">
        <v>5916</v>
      </c>
      <c r="HQF1" s="9" t="s">
        <v>5917</v>
      </c>
      <c r="HQG1" s="9" t="s">
        <v>5918</v>
      </c>
      <c r="HQH1" s="9" t="s">
        <v>5919</v>
      </c>
      <c r="HQI1" s="9" t="s">
        <v>5920</v>
      </c>
      <c r="HQJ1" s="9" t="s">
        <v>5921</v>
      </c>
      <c r="HQK1" s="9" t="s">
        <v>5922</v>
      </c>
      <c r="HQL1" s="9" t="s">
        <v>5923</v>
      </c>
      <c r="HQM1" s="9" t="s">
        <v>5924</v>
      </c>
      <c r="HQN1" s="9" t="s">
        <v>5925</v>
      </c>
      <c r="HQO1" s="9" t="s">
        <v>5926</v>
      </c>
      <c r="HQP1" s="9" t="s">
        <v>5927</v>
      </c>
      <c r="HQQ1" s="9" t="s">
        <v>5928</v>
      </c>
      <c r="HQR1" s="9" t="s">
        <v>5929</v>
      </c>
      <c r="HQS1" s="9" t="s">
        <v>5930</v>
      </c>
      <c r="HQT1" s="9" t="s">
        <v>5931</v>
      </c>
      <c r="HQU1" s="9" t="s">
        <v>5932</v>
      </c>
      <c r="HQV1" s="9" t="s">
        <v>5933</v>
      </c>
      <c r="HQW1" s="9" t="s">
        <v>5934</v>
      </c>
      <c r="HQX1" s="9" t="s">
        <v>5935</v>
      </c>
      <c r="HQY1" s="9" t="s">
        <v>5936</v>
      </c>
      <c r="HQZ1" s="9" t="s">
        <v>5937</v>
      </c>
      <c r="HRA1" s="9" t="s">
        <v>5938</v>
      </c>
      <c r="HRB1" s="9" t="s">
        <v>5939</v>
      </c>
      <c r="HRC1" s="9" t="s">
        <v>5940</v>
      </c>
      <c r="HRD1" s="9" t="s">
        <v>5941</v>
      </c>
      <c r="HRE1" s="9" t="s">
        <v>5942</v>
      </c>
      <c r="HRF1" s="9" t="s">
        <v>5943</v>
      </c>
      <c r="HRG1" s="9" t="s">
        <v>5944</v>
      </c>
      <c r="HRH1" s="9" t="s">
        <v>5945</v>
      </c>
      <c r="HRI1" s="9" t="s">
        <v>5946</v>
      </c>
      <c r="HRJ1" s="9" t="s">
        <v>5947</v>
      </c>
      <c r="HRK1" s="9" t="s">
        <v>5948</v>
      </c>
      <c r="HRL1" s="9" t="s">
        <v>5949</v>
      </c>
      <c r="HRM1" s="9" t="s">
        <v>5950</v>
      </c>
      <c r="HRN1" s="9" t="s">
        <v>5951</v>
      </c>
      <c r="HRO1" s="9" t="s">
        <v>5952</v>
      </c>
      <c r="HRP1" s="9" t="s">
        <v>5953</v>
      </c>
      <c r="HRQ1" s="9" t="s">
        <v>5954</v>
      </c>
      <c r="HRR1" s="9" t="s">
        <v>5955</v>
      </c>
      <c r="HRS1" s="9" t="s">
        <v>5956</v>
      </c>
      <c r="HRT1" s="9" t="s">
        <v>5957</v>
      </c>
      <c r="HRU1" s="9" t="s">
        <v>5958</v>
      </c>
      <c r="HRV1" s="9" t="s">
        <v>5959</v>
      </c>
      <c r="HRW1" s="9" t="s">
        <v>5960</v>
      </c>
      <c r="HRX1" s="9" t="s">
        <v>5961</v>
      </c>
      <c r="HRY1" s="9" t="s">
        <v>5962</v>
      </c>
      <c r="HRZ1" s="9" t="s">
        <v>5963</v>
      </c>
      <c r="HSA1" s="9" t="s">
        <v>5964</v>
      </c>
      <c r="HSB1" s="9" t="s">
        <v>5965</v>
      </c>
      <c r="HSC1" s="9" t="s">
        <v>5966</v>
      </c>
      <c r="HSD1" s="9" t="s">
        <v>5967</v>
      </c>
      <c r="HSE1" s="9" t="s">
        <v>5968</v>
      </c>
      <c r="HSF1" s="9" t="s">
        <v>5969</v>
      </c>
      <c r="HSG1" s="9" t="s">
        <v>5970</v>
      </c>
      <c r="HSH1" s="9" t="s">
        <v>5971</v>
      </c>
      <c r="HSI1" s="9" t="s">
        <v>5972</v>
      </c>
      <c r="HSJ1" s="9" t="s">
        <v>5973</v>
      </c>
      <c r="HSK1" s="9" t="s">
        <v>5974</v>
      </c>
      <c r="HSL1" s="9" t="s">
        <v>5975</v>
      </c>
      <c r="HSM1" s="9" t="s">
        <v>5976</v>
      </c>
      <c r="HSN1" s="9" t="s">
        <v>5977</v>
      </c>
      <c r="HSO1" s="9" t="s">
        <v>5978</v>
      </c>
      <c r="HSP1" s="9" t="s">
        <v>5979</v>
      </c>
      <c r="HSQ1" s="9" t="s">
        <v>5980</v>
      </c>
      <c r="HSR1" s="9" t="s">
        <v>5981</v>
      </c>
      <c r="HSS1" s="9" t="s">
        <v>5982</v>
      </c>
      <c r="HST1" s="9" t="s">
        <v>5983</v>
      </c>
      <c r="HSU1" s="9" t="s">
        <v>5984</v>
      </c>
      <c r="HSV1" s="9" t="s">
        <v>5985</v>
      </c>
      <c r="HSW1" s="9" t="s">
        <v>5986</v>
      </c>
      <c r="HSX1" s="9" t="s">
        <v>5987</v>
      </c>
      <c r="HSY1" s="9" t="s">
        <v>5988</v>
      </c>
      <c r="HSZ1" s="9" t="s">
        <v>5989</v>
      </c>
      <c r="HTA1" s="9" t="s">
        <v>5990</v>
      </c>
      <c r="HTB1" s="9" t="s">
        <v>5991</v>
      </c>
      <c r="HTC1" s="9" t="s">
        <v>5992</v>
      </c>
      <c r="HTD1" s="9" t="s">
        <v>5993</v>
      </c>
      <c r="HTE1" s="9" t="s">
        <v>5994</v>
      </c>
      <c r="HTF1" s="9" t="s">
        <v>5995</v>
      </c>
      <c r="HTG1" s="9" t="s">
        <v>5996</v>
      </c>
      <c r="HTH1" s="9" t="s">
        <v>5997</v>
      </c>
      <c r="HTI1" s="9" t="s">
        <v>5998</v>
      </c>
      <c r="HTJ1" s="9" t="s">
        <v>5999</v>
      </c>
      <c r="HTK1" s="9" t="s">
        <v>6000</v>
      </c>
      <c r="HTL1" s="9" t="s">
        <v>6001</v>
      </c>
      <c r="HTM1" s="9" t="s">
        <v>6002</v>
      </c>
      <c r="HTN1" s="9" t="s">
        <v>6003</v>
      </c>
      <c r="HTO1" s="9" t="s">
        <v>6004</v>
      </c>
      <c r="HTP1" s="9" t="s">
        <v>6005</v>
      </c>
      <c r="HTQ1" s="9" t="s">
        <v>6006</v>
      </c>
      <c r="HTR1" s="9" t="s">
        <v>6007</v>
      </c>
      <c r="HTS1" s="9" t="s">
        <v>6008</v>
      </c>
      <c r="HTT1" s="9" t="s">
        <v>6009</v>
      </c>
      <c r="HTU1" s="9" t="s">
        <v>6010</v>
      </c>
      <c r="HTV1" s="9" t="s">
        <v>6011</v>
      </c>
      <c r="HTW1" s="9" t="s">
        <v>6012</v>
      </c>
      <c r="HTX1" s="9" t="s">
        <v>6013</v>
      </c>
      <c r="HTY1" s="9" t="s">
        <v>6014</v>
      </c>
      <c r="HTZ1" s="9" t="s">
        <v>6015</v>
      </c>
      <c r="HUA1" s="9" t="s">
        <v>6016</v>
      </c>
      <c r="HUB1" s="9" t="s">
        <v>6017</v>
      </c>
      <c r="HUC1" s="9" t="s">
        <v>6018</v>
      </c>
      <c r="HUD1" s="9" t="s">
        <v>6019</v>
      </c>
      <c r="HUE1" s="9" t="s">
        <v>6020</v>
      </c>
      <c r="HUF1" s="9" t="s">
        <v>6021</v>
      </c>
      <c r="HUG1" s="9" t="s">
        <v>6022</v>
      </c>
      <c r="HUH1" s="9" t="s">
        <v>6023</v>
      </c>
      <c r="HUI1" s="9" t="s">
        <v>6024</v>
      </c>
      <c r="HUJ1" s="9" t="s">
        <v>6025</v>
      </c>
      <c r="HUK1" s="9" t="s">
        <v>6026</v>
      </c>
      <c r="HUL1" s="9" t="s">
        <v>6027</v>
      </c>
      <c r="HUM1" s="9" t="s">
        <v>6028</v>
      </c>
      <c r="HUN1" s="9" t="s">
        <v>6029</v>
      </c>
      <c r="HUO1" s="9" t="s">
        <v>6030</v>
      </c>
      <c r="HUP1" s="9" t="s">
        <v>6031</v>
      </c>
      <c r="HUQ1" s="9" t="s">
        <v>6032</v>
      </c>
      <c r="HUR1" s="9" t="s">
        <v>6033</v>
      </c>
      <c r="HUS1" s="9" t="s">
        <v>6034</v>
      </c>
      <c r="HUT1" s="9" t="s">
        <v>6035</v>
      </c>
      <c r="HUU1" s="9" t="s">
        <v>6036</v>
      </c>
      <c r="HUV1" s="9" t="s">
        <v>6037</v>
      </c>
      <c r="HUW1" s="9" t="s">
        <v>6038</v>
      </c>
      <c r="HUX1" s="9" t="s">
        <v>6039</v>
      </c>
      <c r="HUY1" s="9" t="s">
        <v>6040</v>
      </c>
      <c r="HUZ1" s="9" t="s">
        <v>6041</v>
      </c>
      <c r="HVA1" s="9" t="s">
        <v>6042</v>
      </c>
      <c r="HVB1" s="9" t="s">
        <v>6043</v>
      </c>
      <c r="HVC1" s="9" t="s">
        <v>6044</v>
      </c>
      <c r="HVD1" s="9" t="s">
        <v>6045</v>
      </c>
      <c r="HVE1" s="9" t="s">
        <v>6046</v>
      </c>
      <c r="HVF1" s="9" t="s">
        <v>6047</v>
      </c>
      <c r="HVG1" s="9" t="s">
        <v>6048</v>
      </c>
      <c r="HVH1" s="9" t="s">
        <v>6049</v>
      </c>
      <c r="HVI1" s="9" t="s">
        <v>6050</v>
      </c>
      <c r="HVJ1" s="9" t="s">
        <v>6051</v>
      </c>
      <c r="HVK1" s="9" t="s">
        <v>6052</v>
      </c>
      <c r="HVL1" s="9" t="s">
        <v>6053</v>
      </c>
      <c r="HVM1" s="9" t="s">
        <v>6054</v>
      </c>
      <c r="HVN1" s="9" t="s">
        <v>6055</v>
      </c>
      <c r="HVO1" s="9" t="s">
        <v>6056</v>
      </c>
      <c r="HVP1" s="9" t="s">
        <v>6057</v>
      </c>
      <c r="HVQ1" s="9" t="s">
        <v>6058</v>
      </c>
      <c r="HVR1" s="9" t="s">
        <v>6059</v>
      </c>
      <c r="HVS1" s="9" t="s">
        <v>6060</v>
      </c>
      <c r="HVT1" s="9" t="s">
        <v>6061</v>
      </c>
      <c r="HVU1" s="9" t="s">
        <v>6062</v>
      </c>
      <c r="HVV1" s="9" t="s">
        <v>6063</v>
      </c>
      <c r="HVW1" s="9" t="s">
        <v>6064</v>
      </c>
      <c r="HVX1" s="9" t="s">
        <v>6065</v>
      </c>
      <c r="HVY1" s="9" t="s">
        <v>6066</v>
      </c>
      <c r="HVZ1" s="9" t="s">
        <v>6067</v>
      </c>
      <c r="HWA1" s="9" t="s">
        <v>6068</v>
      </c>
      <c r="HWB1" s="9" t="s">
        <v>6069</v>
      </c>
      <c r="HWC1" s="9" t="s">
        <v>6070</v>
      </c>
      <c r="HWD1" s="9" t="s">
        <v>6071</v>
      </c>
      <c r="HWE1" s="9" t="s">
        <v>6072</v>
      </c>
      <c r="HWF1" s="9" t="s">
        <v>6073</v>
      </c>
      <c r="HWG1" s="9" t="s">
        <v>6074</v>
      </c>
      <c r="HWH1" s="9" t="s">
        <v>6075</v>
      </c>
      <c r="HWI1" s="9" t="s">
        <v>6076</v>
      </c>
      <c r="HWJ1" s="9" t="s">
        <v>6077</v>
      </c>
      <c r="HWK1" s="9" t="s">
        <v>6078</v>
      </c>
      <c r="HWL1" s="9" t="s">
        <v>6079</v>
      </c>
      <c r="HWM1" s="9" t="s">
        <v>6080</v>
      </c>
      <c r="HWN1" s="9" t="s">
        <v>6081</v>
      </c>
      <c r="HWO1" s="9" t="s">
        <v>6082</v>
      </c>
      <c r="HWP1" s="9" t="s">
        <v>6083</v>
      </c>
      <c r="HWQ1" s="9" t="s">
        <v>6084</v>
      </c>
      <c r="HWR1" s="9" t="s">
        <v>6085</v>
      </c>
      <c r="HWS1" s="9" t="s">
        <v>6086</v>
      </c>
      <c r="HWT1" s="9" t="s">
        <v>6087</v>
      </c>
      <c r="HWU1" s="9" t="s">
        <v>6088</v>
      </c>
      <c r="HWV1" s="9" t="s">
        <v>6089</v>
      </c>
      <c r="HWW1" s="9" t="s">
        <v>6090</v>
      </c>
      <c r="HWX1" s="9" t="s">
        <v>6091</v>
      </c>
      <c r="HWY1" s="9" t="s">
        <v>6092</v>
      </c>
      <c r="HWZ1" s="9" t="s">
        <v>6093</v>
      </c>
      <c r="HXA1" s="9" t="s">
        <v>6094</v>
      </c>
      <c r="HXB1" s="9" t="s">
        <v>6095</v>
      </c>
      <c r="HXC1" s="9" t="s">
        <v>6096</v>
      </c>
      <c r="HXD1" s="9" t="s">
        <v>6097</v>
      </c>
      <c r="HXE1" s="9" t="s">
        <v>6098</v>
      </c>
      <c r="HXF1" s="9" t="s">
        <v>6099</v>
      </c>
      <c r="HXG1" s="9" t="s">
        <v>6100</v>
      </c>
      <c r="HXH1" s="9" t="s">
        <v>6101</v>
      </c>
      <c r="HXI1" s="9" t="s">
        <v>6102</v>
      </c>
      <c r="HXJ1" s="9" t="s">
        <v>6103</v>
      </c>
      <c r="HXK1" s="9" t="s">
        <v>6104</v>
      </c>
      <c r="HXL1" s="9" t="s">
        <v>6105</v>
      </c>
      <c r="HXM1" s="9" t="s">
        <v>6106</v>
      </c>
      <c r="HXN1" s="9" t="s">
        <v>6107</v>
      </c>
      <c r="HXO1" s="9" t="s">
        <v>6108</v>
      </c>
      <c r="HXP1" s="9" t="s">
        <v>6109</v>
      </c>
      <c r="HXQ1" s="9" t="s">
        <v>6110</v>
      </c>
      <c r="HXR1" s="9" t="s">
        <v>6111</v>
      </c>
      <c r="HXS1" s="9" t="s">
        <v>6112</v>
      </c>
      <c r="HXT1" s="9" t="s">
        <v>6113</v>
      </c>
      <c r="HXU1" s="9" t="s">
        <v>6114</v>
      </c>
      <c r="HXV1" s="9" t="s">
        <v>6115</v>
      </c>
      <c r="HXW1" s="9" t="s">
        <v>6116</v>
      </c>
      <c r="HXX1" s="9" t="s">
        <v>6117</v>
      </c>
      <c r="HXY1" s="9" t="s">
        <v>6118</v>
      </c>
      <c r="HXZ1" s="9" t="s">
        <v>6119</v>
      </c>
      <c r="HYA1" s="9" t="s">
        <v>6120</v>
      </c>
      <c r="HYB1" s="9" t="s">
        <v>6121</v>
      </c>
      <c r="HYC1" s="9" t="s">
        <v>6122</v>
      </c>
      <c r="HYD1" s="9" t="s">
        <v>6123</v>
      </c>
      <c r="HYE1" s="9" t="s">
        <v>6124</v>
      </c>
      <c r="HYF1" s="9" t="s">
        <v>6125</v>
      </c>
      <c r="HYG1" s="9" t="s">
        <v>6126</v>
      </c>
      <c r="HYH1" s="9" t="s">
        <v>6127</v>
      </c>
      <c r="HYI1" s="9" t="s">
        <v>6128</v>
      </c>
      <c r="HYJ1" s="9" t="s">
        <v>6129</v>
      </c>
      <c r="HYK1" s="9" t="s">
        <v>6130</v>
      </c>
      <c r="HYL1" s="9" t="s">
        <v>6131</v>
      </c>
      <c r="HYM1" s="9" t="s">
        <v>6132</v>
      </c>
      <c r="HYN1" s="9" t="s">
        <v>6133</v>
      </c>
      <c r="HYO1" s="9" t="s">
        <v>6134</v>
      </c>
      <c r="HYP1" s="9" t="s">
        <v>6135</v>
      </c>
      <c r="HYQ1" s="9" t="s">
        <v>6136</v>
      </c>
      <c r="HYR1" s="9" t="s">
        <v>6137</v>
      </c>
      <c r="HYS1" s="9" t="s">
        <v>6138</v>
      </c>
      <c r="HYT1" s="9" t="s">
        <v>6139</v>
      </c>
      <c r="HYU1" s="9" t="s">
        <v>6140</v>
      </c>
      <c r="HYV1" s="9" t="s">
        <v>6141</v>
      </c>
      <c r="HYW1" s="9" t="s">
        <v>6142</v>
      </c>
      <c r="HYX1" s="9" t="s">
        <v>6143</v>
      </c>
      <c r="HYY1" s="9" t="s">
        <v>6144</v>
      </c>
      <c r="HYZ1" s="9" t="s">
        <v>6145</v>
      </c>
      <c r="HZA1" s="9" t="s">
        <v>6146</v>
      </c>
      <c r="HZB1" s="9" t="s">
        <v>6147</v>
      </c>
      <c r="HZC1" s="9" t="s">
        <v>6148</v>
      </c>
      <c r="HZD1" s="9" t="s">
        <v>6149</v>
      </c>
      <c r="HZE1" s="9" t="s">
        <v>6150</v>
      </c>
      <c r="HZF1" s="9" t="s">
        <v>6151</v>
      </c>
      <c r="HZG1" s="9" t="s">
        <v>6152</v>
      </c>
      <c r="HZH1" s="9" t="s">
        <v>6153</v>
      </c>
      <c r="HZI1" s="9" t="s">
        <v>6154</v>
      </c>
      <c r="HZJ1" s="9" t="s">
        <v>6155</v>
      </c>
      <c r="HZK1" s="9" t="s">
        <v>6156</v>
      </c>
      <c r="HZL1" s="9" t="s">
        <v>6157</v>
      </c>
      <c r="HZM1" s="9" t="s">
        <v>6158</v>
      </c>
      <c r="HZN1" s="9" t="s">
        <v>6159</v>
      </c>
      <c r="HZO1" s="9" t="s">
        <v>6160</v>
      </c>
      <c r="HZP1" s="9" t="s">
        <v>6161</v>
      </c>
      <c r="HZQ1" s="9" t="s">
        <v>6162</v>
      </c>
      <c r="HZR1" s="9" t="s">
        <v>6163</v>
      </c>
      <c r="HZS1" s="9" t="s">
        <v>6164</v>
      </c>
      <c r="HZT1" s="9" t="s">
        <v>6165</v>
      </c>
      <c r="HZU1" s="9" t="s">
        <v>6166</v>
      </c>
      <c r="HZV1" s="9" t="s">
        <v>6167</v>
      </c>
      <c r="HZW1" s="9" t="s">
        <v>6168</v>
      </c>
      <c r="HZX1" s="9" t="s">
        <v>6169</v>
      </c>
      <c r="HZY1" s="9" t="s">
        <v>6170</v>
      </c>
      <c r="HZZ1" s="9" t="s">
        <v>6171</v>
      </c>
      <c r="IAA1" s="9" t="s">
        <v>6172</v>
      </c>
      <c r="IAB1" s="9" t="s">
        <v>6173</v>
      </c>
      <c r="IAC1" s="9" t="s">
        <v>6174</v>
      </c>
      <c r="IAD1" s="9" t="s">
        <v>6175</v>
      </c>
      <c r="IAE1" s="9" t="s">
        <v>6176</v>
      </c>
      <c r="IAF1" s="9" t="s">
        <v>6177</v>
      </c>
      <c r="IAG1" s="9" t="s">
        <v>6178</v>
      </c>
      <c r="IAH1" s="9" t="s">
        <v>6179</v>
      </c>
      <c r="IAI1" s="9" t="s">
        <v>6180</v>
      </c>
      <c r="IAJ1" s="9" t="s">
        <v>6181</v>
      </c>
      <c r="IAK1" s="9" t="s">
        <v>6182</v>
      </c>
      <c r="IAL1" s="9" t="s">
        <v>6183</v>
      </c>
      <c r="IAM1" s="9" t="s">
        <v>6184</v>
      </c>
      <c r="IAN1" s="9" t="s">
        <v>6185</v>
      </c>
      <c r="IAO1" s="9" t="s">
        <v>6186</v>
      </c>
      <c r="IAP1" s="9" t="s">
        <v>6187</v>
      </c>
      <c r="IAQ1" s="9" t="s">
        <v>6188</v>
      </c>
      <c r="IAR1" s="9" t="s">
        <v>6189</v>
      </c>
      <c r="IAS1" s="9" t="s">
        <v>6190</v>
      </c>
      <c r="IAT1" s="9" t="s">
        <v>6191</v>
      </c>
      <c r="IAU1" s="9" t="s">
        <v>6192</v>
      </c>
      <c r="IAV1" s="9" t="s">
        <v>6193</v>
      </c>
      <c r="IAW1" s="9" t="s">
        <v>6194</v>
      </c>
      <c r="IAX1" s="9" t="s">
        <v>6195</v>
      </c>
      <c r="IAY1" s="9" t="s">
        <v>6196</v>
      </c>
      <c r="IAZ1" s="9" t="s">
        <v>6197</v>
      </c>
      <c r="IBA1" s="9" t="s">
        <v>6198</v>
      </c>
      <c r="IBB1" s="9" t="s">
        <v>6199</v>
      </c>
      <c r="IBC1" s="9" t="s">
        <v>6200</v>
      </c>
      <c r="IBD1" s="9" t="s">
        <v>6201</v>
      </c>
      <c r="IBE1" s="9" t="s">
        <v>6202</v>
      </c>
      <c r="IBF1" s="9" t="s">
        <v>6203</v>
      </c>
      <c r="IBG1" s="9" t="s">
        <v>6204</v>
      </c>
      <c r="IBH1" s="9" t="s">
        <v>6205</v>
      </c>
      <c r="IBI1" s="9" t="s">
        <v>6206</v>
      </c>
      <c r="IBJ1" s="9" t="s">
        <v>6207</v>
      </c>
      <c r="IBK1" s="9" t="s">
        <v>6208</v>
      </c>
      <c r="IBL1" s="9" t="s">
        <v>6209</v>
      </c>
      <c r="IBM1" s="9" t="s">
        <v>6210</v>
      </c>
      <c r="IBN1" s="9" t="s">
        <v>6211</v>
      </c>
      <c r="IBO1" s="9" t="s">
        <v>6212</v>
      </c>
      <c r="IBP1" s="9" t="s">
        <v>6213</v>
      </c>
      <c r="IBQ1" s="9" t="s">
        <v>6214</v>
      </c>
      <c r="IBR1" s="9" t="s">
        <v>6215</v>
      </c>
      <c r="IBS1" s="9" t="s">
        <v>6216</v>
      </c>
      <c r="IBT1" s="9" t="s">
        <v>6217</v>
      </c>
      <c r="IBU1" s="9" t="s">
        <v>6218</v>
      </c>
      <c r="IBV1" s="9" t="s">
        <v>6219</v>
      </c>
      <c r="IBW1" s="9" t="s">
        <v>6220</v>
      </c>
      <c r="IBX1" s="9" t="s">
        <v>6221</v>
      </c>
      <c r="IBY1" s="9" t="s">
        <v>6222</v>
      </c>
      <c r="IBZ1" s="9" t="s">
        <v>6223</v>
      </c>
      <c r="ICA1" s="9" t="s">
        <v>6224</v>
      </c>
      <c r="ICB1" s="9" t="s">
        <v>6225</v>
      </c>
      <c r="ICC1" s="9" t="s">
        <v>6226</v>
      </c>
      <c r="ICD1" s="9" t="s">
        <v>6227</v>
      </c>
      <c r="ICE1" s="9" t="s">
        <v>6228</v>
      </c>
      <c r="ICF1" s="9" t="s">
        <v>6229</v>
      </c>
      <c r="ICG1" s="9" t="s">
        <v>6230</v>
      </c>
      <c r="ICH1" s="9" t="s">
        <v>6231</v>
      </c>
      <c r="ICI1" s="9" t="s">
        <v>6232</v>
      </c>
      <c r="ICJ1" s="9" t="s">
        <v>6233</v>
      </c>
      <c r="ICK1" s="9" t="s">
        <v>6234</v>
      </c>
      <c r="ICL1" s="9" t="s">
        <v>6235</v>
      </c>
      <c r="ICM1" s="9" t="s">
        <v>6236</v>
      </c>
      <c r="ICN1" s="9" t="s">
        <v>6237</v>
      </c>
      <c r="ICO1" s="9" t="s">
        <v>6238</v>
      </c>
      <c r="ICP1" s="9" t="s">
        <v>6239</v>
      </c>
      <c r="ICQ1" s="9" t="s">
        <v>6240</v>
      </c>
      <c r="ICR1" s="9" t="s">
        <v>6241</v>
      </c>
      <c r="ICS1" s="9" t="s">
        <v>6242</v>
      </c>
      <c r="ICT1" s="9" t="s">
        <v>6243</v>
      </c>
      <c r="ICU1" s="9" t="s">
        <v>6244</v>
      </c>
      <c r="ICV1" s="9" t="s">
        <v>6245</v>
      </c>
      <c r="ICW1" s="9" t="s">
        <v>6246</v>
      </c>
      <c r="ICX1" s="9" t="s">
        <v>6247</v>
      </c>
      <c r="ICY1" s="9" t="s">
        <v>6248</v>
      </c>
      <c r="ICZ1" s="9" t="s">
        <v>6249</v>
      </c>
      <c r="IDA1" s="9" t="s">
        <v>6250</v>
      </c>
      <c r="IDB1" s="9" t="s">
        <v>6251</v>
      </c>
      <c r="IDC1" s="9" t="s">
        <v>6252</v>
      </c>
      <c r="IDD1" s="9" t="s">
        <v>6253</v>
      </c>
      <c r="IDE1" s="9" t="s">
        <v>6254</v>
      </c>
      <c r="IDF1" s="9" t="s">
        <v>6255</v>
      </c>
      <c r="IDG1" s="9" t="s">
        <v>6256</v>
      </c>
      <c r="IDH1" s="9" t="s">
        <v>6257</v>
      </c>
      <c r="IDI1" s="9" t="s">
        <v>6258</v>
      </c>
      <c r="IDJ1" s="9" t="s">
        <v>6259</v>
      </c>
      <c r="IDK1" s="9" t="s">
        <v>6260</v>
      </c>
      <c r="IDL1" s="9" t="s">
        <v>6261</v>
      </c>
      <c r="IDM1" s="9" t="s">
        <v>6262</v>
      </c>
      <c r="IDN1" s="9" t="s">
        <v>6263</v>
      </c>
      <c r="IDO1" s="9" t="s">
        <v>6264</v>
      </c>
      <c r="IDP1" s="9" t="s">
        <v>6265</v>
      </c>
      <c r="IDQ1" s="9" t="s">
        <v>6266</v>
      </c>
      <c r="IDR1" s="9" t="s">
        <v>6267</v>
      </c>
      <c r="IDS1" s="9" t="s">
        <v>6268</v>
      </c>
      <c r="IDT1" s="9" t="s">
        <v>6269</v>
      </c>
      <c r="IDU1" s="9" t="s">
        <v>6270</v>
      </c>
      <c r="IDV1" s="9" t="s">
        <v>6271</v>
      </c>
      <c r="IDW1" s="9" t="s">
        <v>6272</v>
      </c>
      <c r="IDX1" s="9" t="s">
        <v>6273</v>
      </c>
      <c r="IDY1" s="9" t="s">
        <v>6274</v>
      </c>
      <c r="IDZ1" s="9" t="s">
        <v>6275</v>
      </c>
      <c r="IEA1" s="9" t="s">
        <v>6276</v>
      </c>
      <c r="IEB1" s="9" t="s">
        <v>6277</v>
      </c>
      <c r="IEC1" s="9" t="s">
        <v>6278</v>
      </c>
      <c r="IED1" s="9" t="s">
        <v>6279</v>
      </c>
      <c r="IEE1" s="9" t="s">
        <v>6280</v>
      </c>
      <c r="IEF1" s="9" t="s">
        <v>6281</v>
      </c>
      <c r="IEG1" s="9" t="s">
        <v>6282</v>
      </c>
      <c r="IEH1" s="9" t="s">
        <v>6283</v>
      </c>
      <c r="IEI1" s="9" t="s">
        <v>6284</v>
      </c>
      <c r="IEJ1" s="9" t="s">
        <v>6285</v>
      </c>
      <c r="IEK1" s="9" t="s">
        <v>6286</v>
      </c>
      <c r="IEL1" s="9" t="s">
        <v>6287</v>
      </c>
      <c r="IEM1" s="9" t="s">
        <v>6288</v>
      </c>
      <c r="IEN1" s="9" t="s">
        <v>6289</v>
      </c>
      <c r="IEO1" s="9" t="s">
        <v>6290</v>
      </c>
      <c r="IEP1" s="9" t="s">
        <v>6291</v>
      </c>
      <c r="IEQ1" s="9" t="s">
        <v>6292</v>
      </c>
      <c r="IER1" s="9" t="s">
        <v>6293</v>
      </c>
      <c r="IES1" s="9" t="s">
        <v>6294</v>
      </c>
      <c r="IET1" s="9" t="s">
        <v>6295</v>
      </c>
      <c r="IEU1" s="9" t="s">
        <v>6296</v>
      </c>
      <c r="IEV1" s="9" t="s">
        <v>6297</v>
      </c>
      <c r="IEW1" s="9" t="s">
        <v>6298</v>
      </c>
      <c r="IEX1" s="9" t="s">
        <v>6299</v>
      </c>
      <c r="IEY1" s="9" t="s">
        <v>6300</v>
      </c>
      <c r="IEZ1" s="9" t="s">
        <v>6301</v>
      </c>
      <c r="IFA1" s="9" t="s">
        <v>6302</v>
      </c>
      <c r="IFB1" s="9" t="s">
        <v>6303</v>
      </c>
      <c r="IFC1" s="9" t="s">
        <v>6304</v>
      </c>
      <c r="IFD1" s="9" t="s">
        <v>6305</v>
      </c>
      <c r="IFE1" s="9" t="s">
        <v>6306</v>
      </c>
      <c r="IFF1" s="9" t="s">
        <v>6307</v>
      </c>
      <c r="IFG1" s="9" t="s">
        <v>6308</v>
      </c>
      <c r="IFH1" s="9" t="s">
        <v>6309</v>
      </c>
      <c r="IFI1" s="9" t="s">
        <v>6310</v>
      </c>
      <c r="IFJ1" s="9" t="s">
        <v>6311</v>
      </c>
      <c r="IFK1" s="9" t="s">
        <v>6312</v>
      </c>
      <c r="IFL1" s="9" t="s">
        <v>6313</v>
      </c>
      <c r="IFM1" s="9" t="s">
        <v>6314</v>
      </c>
      <c r="IFN1" s="9" t="s">
        <v>6315</v>
      </c>
      <c r="IFO1" s="9" t="s">
        <v>6316</v>
      </c>
      <c r="IFP1" s="9" t="s">
        <v>6317</v>
      </c>
      <c r="IFQ1" s="9" t="s">
        <v>6318</v>
      </c>
      <c r="IFR1" s="9" t="s">
        <v>6319</v>
      </c>
      <c r="IFS1" s="9" t="s">
        <v>6320</v>
      </c>
      <c r="IFT1" s="9" t="s">
        <v>6321</v>
      </c>
      <c r="IFU1" s="9" t="s">
        <v>6322</v>
      </c>
      <c r="IFV1" s="9" t="s">
        <v>6323</v>
      </c>
      <c r="IFW1" s="9" t="s">
        <v>6324</v>
      </c>
      <c r="IFX1" s="9" t="s">
        <v>6325</v>
      </c>
      <c r="IFY1" s="9" t="s">
        <v>6326</v>
      </c>
      <c r="IFZ1" s="9" t="s">
        <v>6327</v>
      </c>
      <c r="IGA1" s="9" t="s">
        <v>6328</v>
      </c>
      <c r="IGB1" s="9" t="s">
        <v>6329</v>
      </c>
      <c r="IGC1" s="9" t="s">
        <v>6330</v>
      </c>
      <c r="IGD1" s="9" t="s">
        <v>6331</v>
      </c>
      <c r="IGE1" s="9" t="s">
        <v>6332</v>
      </c>
      <c r="IGF1" s="9" t="s">
        <v>6333</v>
      </c>
      <c r="IGG1" s="9" t="s">
        <v>6334</v>
      </c>
      <c r="IGH1" s="9" t="s">
        <v>6335</v>
      </c>
      <c r="IGI1" s="9" t="s">
        <v>6336</v>
      </c>
      <c r="IGJ1" s="9" t="s">
        <v>6337</v>
      </c>
      <c r="IGK1" s="9" t="s">
        <v>6338</v>
      </c>
      <c r="IGL1" s="9" t="s">
        <v>6339</v>
      </c>
      <c r="IGM1" s="9" t="s">
        <v>6340</v>
      </c>
      <c r="IGN1" s="9" t="s">
        <v>6341</v>
      </c>
      <c r="IGO1" s="9" t="s">
        <v>6342</v>
      </c>
      <c r="IGP1" s="9" t="s">
        <v>6343</v>
      </c>
      <c r="IGQ1" s="9" t="s">
        <v>6344</v>
      </c>
      <c r="IGR1" s="9" t="s">
        <v>6345</v>
      </c>
      <c r="IGS1" s="9" t="s">
        <v>6346</v>
      </c>
      <c r="IGT1" s="9" t="s">
        <v>6347</v>
      </c>
      <c r="IGU1" s="9" t="s">
        <v>6348</v>
      </c>
      <c r="IGV1" s="9" t="s">
        <v>6349</v>
      </c>
      <c r="IGW1" s="9" t="s">
        <v>6350</v>
      </c>
      <c r="IGX1" s="9" t="s">
        <v>6351</v>
      </c>
      <c r="IGY1" s="9" t="s">
        <v>6352</v>
      </c>
      <c r="IGZ1" s="9" t="s">
        <v>6353</v>
      </c>
      <c r="IHA1" s="9" t="s">
        <v>6354</v>
      </c>
      <c r="IHB1" s="9" t="s">
        <v>6355</v>
      </c>
      <c r="IHC1" s="9" t="s">
        <v>6356</v>
      </c>
      <c r="IHD1" s="9" t="s">
        <v>6357</v>
      </c>
      <c r="IHE1" s="9" t="s">
        <v>6358</v>
      </c>
      <c r="IHF1" s="9" t="s">
        <v>6359</v>
      </c>
      <c r="IHG1" s="9" t="s">
        <v>6360</v>
      </c>
      <c r="IHH1" s="9" t="s">
        <v>6361</v>
      </c>
      <c r="IHI1" s="9" t="s">
        <v>6362</v>
      </c>
      <c r="IHJ1" s="9" t="s">
        <v>6363</v>
      </c>
      <c r="IHK1" s="9" t="s">
        <v>6364</v>
      </c>
      <c r="IHL1" s="9" t="s">
        <v>6365</v>
      </c>
      <c r="IHM1" s="9" t="s">
        <v>6366</v>
      </c>
      <c r="IHN1" s="9" t="s">
        <v>6367</v>
      </c>
      <c r="IHO1" s="9" t="s">
        <v>6368</v>
      </c>
      <c r="IHP1" s="9" t="s">
        <v>6369</v>
      </c>
      <c r="IHQ1" s="9" t="s">
        <v>6370</v>
      </c>
      <c r="IHR1" s="9" t="s">
        <v>6371</v>
      </c>
      <c r="IHS1" s="9" t="s">
        <v>6372</v>
      </c>
      <c r="IHT1" s="9" t="s">
        <v>6373</v>
      </c>
      <c r="IHU1" s="9" t="s">
        <v>6374</v>
      </c>
      <c r="IHV1" s="9" t="s">
        <v>6375</v>
      </c>
      <c r="IHW1" s="9" t="s">
        <v>6376</v>
      </c>
      <c r="IHX1" s="9" t="s">
        <v>6377</v>
      </c>
      <c r="IHY1" s="9" t="s">
        <v>6378</v>
      </c>
      <c r="IHZ1" s="9" t="s">
        <v>6379</v>
      </c>
      <c r="IIA1" s="9" t="s">
        <v>6380</v>
      </c>
      <c r="IIB1" s="9" t="s">
        <v>6381</v>
      </c>
      <c r="IIC1" s="9" t="s">
        <v>6382</v>
      </c>
      <c r="IID1" s="9" t="s">
        <v>6383</v>
      </c>
      <c r="IIE1" s="9" t="s">
        <v>6384</v>
      </c>
      <c r="IIF1" s="9" t="s">
        <v>6385</v>
      </c>
      <c r="IIG1" s="9" t="s">
        <v>6386</v>
      </c>
      <c r="IIH1" s="9" t="s">
        <v>6387</v>
      </c>
      <c r="III1" s="9" t="s">
        <v>6388</v>
      </c>
      <c r="IIJ1" s="9" t="s">
        <v>6389</v>
      </c>
      <c r="IIK1" s="9" t="s">
        <v>6390</v>
      </c>
      <c r="IIL1" s="9" t="s">
        <v>6391</v>
      </c>
      <c r="IIM1" s="9" t="s">
        <v>6392</v>
      </c>
      <c r="IIN1" s="9" t="s">
        <v>6393</v>
      </c>
      <c r="IIO1" s="9" t="s">
        <v>6394</v>
      </c>
      <c r="IIP1" s="9" t="s">
        <v>6395</v>
      </c>
      <c r="IIQ1" s="9" t="s">
        <v>6396</v>
      </c>
      <c r="IIR1" s="9" t="s">
        <v>6397</v>
      </c>
      <c r="IIS1" s="9" t="s">
        <v>6398</v>
      </c>
      <c r="IIT1" s="9" t="s">
        <v>6399</v>
      </c>
      <c r="IIU1" s="9" t="s">
        <v>6400</v>
      </c>
      <c r="IIV1" s="9" t="s">
        <v>6401</v>
      </c>
      <c r="IIW1" s="9" t="s">
        <v>6402</v>
      </c>
      <c r="IIX1" s="9" t="s">
        <v>6403</v>
      </c>
      <c r="IIY1" s="9" t="s">
        <v>6404</v>
      </c>
      <c r="IIZ1" s="9" t="s">
        <v>6405</v>
      </c>
      <c r="IJA1" s="9" t="s">
        <v>6406</v>
      </c>
      <c r="IJB1" s="9" t="s">
        <v>6407</v>
      </c>
      <c r="IJC1" s="9" t="s">
        <v>6408</v>
      </c>
      <c r="IJD1" s="9" t="s">
        <v>6409</v>
      </c>
      <c r="IJE1" s="9" t="s">
        <v>6410</v>
      </c>
      <c r="IJF1" s="9" t="s">
        <v>6411</v>
      </c>
      <c r="IJG1" s="9" t="s">
        <v>6412</v>
      </c>
      <c r="IJH1" s="9" t="s">
        <v>6413</v>
      </c>
      <c r="IJI1" s="9" t="s">
        <v>6414</v>
      </c>
      <c r="IJJ1" s="9" t="s">
        <v>6415</v>
      </c>
      <c r="IJK1" s="9" t="s">
        <v>6416</v>
      </c>
      <c r="IJL1" s="9" t="s">
        <v>6417</v>
      </c>
      <c r="IJM1" s="9" t="s">
        <v>6418</v>
      </c>
      <c r="IJN1" s="9" t="s">
        <v>6419</v>
      </c>
      <c r="IJO1" s="9" t="s">
        <v>6420</v>
      </c>
      <c r="IJP1" s="9" t="s">
        <v>6421</v>
      </c>
      <c r="IJQ1" s="9" t="s">
        <v>6422</v>
      </c>
      <c r="IJR1" s="9" t="s">
        <v>6423</v>
      </c>
      <c r="IJS1" s="9" t="s">
        <v>6424</v>
      </c>
      <c r="IJT1" s="9" t="s">
        <v>6425</v>
      </c>
      <c r="IJU1" s="9" t="s">
        <v>6426</v>
      </c>
      <c r="IJV1" s="9" t="s">
        <v>6427</v>
      </c>
      <c r="IJW1" s="9" t="s">
        <v>6428</v>
      </c>
      <c r="IJX1" s="9" t="s">
        <v>6429</v>
      </c>
      <c r="IJY1" s="9" t="s">
        <v>6430</v>
      </c>
      <c r="IJZ1" s="9" t="s">
        <v>6431</v>
      </c>
      <c r="IKA1" s="9" t="s">
        <v>6432</v>
      </c>
      <c r="IKB1" s="9" t="s">
        <v>6433</v>
      </c>
      <c r="IKC1" s="9" t="s">
        <v>6434</v>
      </c>
      <c r="IKD1" s="9" t="s">
        <v>6435</v>
      </c>
      <c r="IKE1" s="9" t="s">
        <v>6436</v>
      </c>
      <c r="IKF1" s="9" t="s">
        <v>6437</v>
      </c>
      <c r="IKG1" s="9" t="s">
        <v>6438</v>
      </c>
      <c r="IKH1" s="9" t="s">
        <v>6439</v>
      </c>
      <c r="IKI1" s="9" t="s">
        <v>6440</v>
      </c>
      <c r="IKJ1" s="9" t="s">
        <v>6441</v>
      </c>
      <c r="IKK1" s="9" t="s">
        <v>6442</v>
      </c>
      <c r="IKL1" s="9" t="s">
        <v>6443</v>
      </c>
      <c r="IKM1" s="9" t="s">
        <v>6444</v>
      </c>
      <c r="IKN1" s="9" t="s">
        <v>6445</v>
      </c>
      <c r="IKO1" s="9" t="s">
        <v>6446</v>
      </c>
      <c r="IKP1" s="9" t="s">
        <v>6447</v>
      </c>
      <c r="IKQ1" s="9" t="s">
        <v>6448</v>
      </c>
      <c r="IKR1" s="9" t="s">
        <v>6449</v>
      </c>
      <c r="IKS1" s="9" t="s">
        <v>6450</v>
      </c>
      <c r="IKT1" s="9" t="s">
        <v>6451</v>
      </c>
      <c r="IKU1" s="9" t="s">
        <v>6452</v>
      </c>
      <c r="IKV1" s="9" t="s">
        <v>6453</v>
      </c>
      <c r="IKW1" s="9" t="s">
        <v>6454</v>
      </c>
      <c r="IKX1" s="9" t="s">
        <v>6455</v>
      </c>
      <c r="IKY1" s="9" t="s">
        <v>6456</v>
      </c>
      <c r="IKZ1" s="9" t="s">
        <v>6457</v>
      </c>
      <c r="ILA1" s="9" t="s">
        <v>6458</v>
      </c>
      <c r="ILB1" s="9" t="s">
        <v>6459</v>
      </c>
      <c r="ILC1" s="9" t="s">
        <v>6460</v>
      </c>
      <c r="ILD1" s="9" t="s">
        <v>6461</v>
      </c>
      <c r="ILE1" s="9" t="s">
        <v>6462</v>
      </c>
      <c r="ILF1" s="9" t="s">
        <v>6463</v>
      </c>
      <c r="ILG1" s="9" t="s">
        <v>6464</v>
      </c>
      <c r="ILH1" s="9" t="s">
        <v>6465</v>
      </c>
      <c r="ILI1" s="9" t="s">
        <v>6466</v>
      </c>
      <c r="ILJ1" s="9" t="s">
        <v>6467</v>
      </c>
      <c r="ILK1" s="9" t="s">
        <v>6468</v>
      </c>
      <c r="ILL1" s="9" t="s">
        <v>6469</v>
      </c>
      <c r="ILM1" s="9" t="s">
        <v>6470</v>
      </c>
      <c r="ILN1" s="9" t="s">
        <v>6471</v>
      </c>
      <c r="ILO1" s="9" t="s">
        <v>6472</v>
      </c>
      <c r="ILP1" s="9" t="s">
        <v>6473</v>
      </c>
      <c r="ILQ1" s="9" t="s">
        <v>6474</v>
      </c>
      <c r="ILR1" s="9" t="s">
        <v>6475</v>
      </c>
      <c r="ILS1" s="9" t="s">
        <v>6476</v>
      </c>
      <c r="ILT1" s="9" t="s">
        <v>6477</v>
      </c>
      <c r="ILU1" s="9" t="s">
        <v>6478</v>
      </c>
      <c r="ILV1" s="9" t="s">
        <v>6479</v>
      </c>
      <c r="ILW1" s="9" t="s">
        <v>6480</v>
      </c>
      <c r="ILX1" s="9" t="s">
        <v>6481</v>
      </c>
      <c r="ILY1" s="9" t="s">
        <v>6482</v>
      </c>
      <c r="ILZ1" s="9" t="s">
        <v>6483</v>
      </c>
      <c r="IMA1" s="9" t="s">
        <v>6484</v>
      </c>
      <c r="IMB1" s="9" t="s">
        <v>6485</v>
      </c>
      <c r="IMC1" s="9" t="s">
        <v>6486</v>
      </c>
      <c r="IMD1" s="9" t="s">
        <v>6487</v>
      </c>
      <c r="IME1" s="9" t="s">
        <v>6488</v>
      </c>
      <c r="IMF1" s="9" t="s">
        <v>6489</v>
      </c>
      <c r="IMG1" s="9" t="s">
        <v>6490</v>
      </c>
      <c r="IMH1" s="9" t="s">
        <v>6491</v>
      </c>
      <c r="IMI1" s="9" t="s">
        <v>6492</v>
      </c>
      <c r="IMJ1" s="9" t="s">
        <v>6493</v>
      </c>
      <c r="IMK1" s="9" t="s">
        <v>6494</v>
      </c>
      <c r="IML1" s="9" t="s">
        <v>6495</v>
      </c>
      <c r="IMM1" s="9" t="s">
        <v>6496</v>
      </c>
      <c r="IMN1" s="9" t="s">
        <v>6497</v>
      </c>
      <c r="IMO1" s="9" t="s">
        <v>6498</v>
      </c>
      <c r="IMP1" s="9" t="s">
        <v>6499</v>
      </c>
      <c r="IMQ1" s="9" t="s">
        <v>6500</v>
      </c>
      <c r="IMR1" s="9" t="s">
        <v>6501</v>
      </c>
      <c r="IMS1" s="9" t="s">
        <v>6502</v>
      </c>
      <c r="IMT1" s="9" t="s">
        <v>6503</v>
      </c>
      <c r="IMU1" s="9" t="s">
        <v>6504</v>
      </c>
      <c r="IMV1" s="9" t="s">
        <v>6505</v>
      </c>
      <c r="IMW1" s="9" t="s">
        <v>6506</v>
      </c>
      <c r="IMX1" s="9" t="s">
        <v>6507</v>
      </c>
      <c r="IMY1" s="9" t="s">
        <v>6508</v>
      </c>
      <c r="IMZ1" s="9" t="s">
        <v>6509</v>
      </c>
      <c r="INA1" s="9" t="s">
        <v>6510</v>
      </c>
      <c r="INB1" s="9" t="s">
        <v>6511</v>
      </c>
      <c r="INC1" s="9" t="s">
        <v>6512</v>
      </c>
      <c r="IND1" s="9" t="s">
        <v>6513</v>
      </c>
      <c r="INE1" s="9" t="s">
        <v>6514</v>
      </c>
      <c r="INF1" s="9" t="s">
        <v>6515</v>
      </c>
      <c r="ING1" s="9" t="s">
        <v>6516</v>
      </c>
      <c r="INH1" s="9" t="s">
        <v>6517</v>
      </c>
      <c r="INI1" s="9" t="s">
        <v>6518</v>
      </c>
      <c r="INJ1" s="9" t="s">
        <v>6519</v>
      </c>
      <c r="INK1" s="9" t="s">
        <v>6520</v>
      </c>
      <c r="INL1" s="9" t="s">
        <v>6521</v>
      </c>
      <c r="INM1" s="9" t="s">
        <v>6522</v>
      </c>
      <c r="INN1" s="9" t="s">
        <v>6523</v>
      </c>
      <c r="INO1" s="9" t="s">
        <v>6524</v>
      </c>
      <c r="INP1" s="9" t="s">
        <v>6525</v>
      </c>
      <c r="INQ1" s="9" t="s">
        <v>6526</v>
      </c>
      <c r="INR1" s="9" t="s">
        <v>6527</v>
      </c>
      <c r="INS1" s="9" t="s">
        <v>6528</v>
      </c>
      <c r="INT1" s="9" t="s">
        <v>6529</v>
      </c>
      <c r="INU1" s="9" t="s">
        <v>6530</v>
      </c>
      <c r="INV1" s="9" t="s">
        <v>6531</v>
      </c>
      <c r="INW1" s="9" t="s">
        <v>6532</v>
      </c>
      <c r="INX1" s="9" t="s">
        <v>6533</v>
      </c>
      <c r="INY1" s="9" t="s">
        <v>6534</v>
      </c>
      <c r="INZ1" s="9" t="s">
        <v>6535</v>
      </c>
      <c r="IOA1" s="9" t="s">
        <v>6536</v>
      </c>
      <c r="IOB1" s="9" t="s">
        <v>6537</v>
      </c>
      <c r="IOC1" s="9" t="s">
        <v>6538</v>
      </c>
      <c r="IOD1" s="9" t="s">
        <v>6539</v>
      </c>
      <c r="IOE1" s="9" t="s">
        <v>6540</v>
      </c>
      <c r="IOF1" s="9" t="s">
        <v>6541</v>
      </c>
      <c r="IOG1" s="9" t="s">
        <v>6542</v>
      </c>
      <c r="IOH1" s="9" t="s">
        <v>6543</v>
      </c>
      <c r="IOI1" s="9" t="s">
        <v>6544</v>
      </c>
      <c r="IOJ1" s="9" t="s">
        <v>6545</v>
      </c>
      <c r="IOK1" s="9" t="s">
        <v>6546</v>
      </c>
      <c r="IOL1" s="9" t="s">
        <v>6547</v>
      </c>
      <c r="IOM1" s="9" t="s">
        <v>6548</v>
      </c>
      <c r="ION1" s="9" t="s">
        <v>6549</v>
      </c>
      <c r="IOO1" s="9" t="s">
        <v>6550</v>
      </c>
      <c r="IOP1" s="9" t="s">
        <v>6551</v>
      </c>
      <c r="IOQ1" s="9" t="s">
        <v>6552</v>
      </c>
      <c r="IOR1" s="9" t="s">
        <v>6553</v>
      </c>
      <c r="IOS1" s="9" t="s">
        <v>6554</v>
      </c>
      <c r="IOT1" s="9" t="s">
        <v>6555</v>
      </c>
      <c r="IOU1" s="9" t="s">
        <v>6556</v>
      </c>
      <c r="IOV1" s="9" t="s">
        <v>6557</v>
      </c>
      <c r="IOW1" s="9" t="s">
        <v>6558</v>
      </c>
      <c r="IOX1" s="9" t="s">
        <v>6559</v>
      </c>
      <c r="IOY1" s="9" t="s">
        <v>6560</v>
      </c>
      <c r="IOZ1" s="9" t="s">
        <v>6561</v>
      </c>
      <c r="IPA1" s="9" t="s">
        <v>6562</v>
      </c>
      <c r="IPB1" s="9" t="s">
        <v>6563</v>
      </c>
      <c r="IPC1" s="9" t="s">
        <v>6564</v>
      </c>
      <c r="IPD1" s="9" t="s">
        <v>6565</v>
      </c>
      <c r="IPE1" s="9" t="s">
        <v>6566</v>
      </c>
      <c r="IPF1" s="9" t="s">
        <v>6567</v>
      </c>
      <c r="IPG1" s="9" t="s">
        <v>6568</v>
      </c>
      <c r="IPH1" s="9" t="s">
        <v>6569</v>
      </c>
      <c r="IPI1" s="9" t="s">
        <v>6570</v>
      </c>
      <c r="IPJ1" s="9" t="s">
        <v>6571</v>
      </c>
      <c r="IPK1" s="9" t="s">
        <v>6572</v>
      </c>
      <c r="IPL1" s="9" t="s">
        <v>6573</v>
      </c>
      <c r="IPM1" s="9" t="s">
        <v>6574</v>
      </c>
      <c r="IPN1" s="9" t="s">
        <v>6575</v>
      </c>
      <c r="IPO1" s="9" t="s">
        <v>6576</v>
      </c>
      <c r="IPP1" s="9" t="s">
        <v>6577</v>
      </c>
      <c r="IPQ1" s="9" t="s">
        <v>6578</v>
      </c>
      <c r="IPR1" s="9" t="s">
        <v>6579</v>
      </c>
      <c r="IPS1" s="9" t="s">
        <v>6580</v>
      </c>
      <c r="IPT1" s="9" t="s">
        <v>6581</v>
      </c>
      <c r="IPU1" s="9" t="s">
        <v>6582</v>
      </c>
      <c r="IPV1" s="9" t="s">
        <v>6583</v>
      </c>
      <c r="IPW1" s="9" t="s">
        <v>6584</v>
      </c>
      <c r="IPX1" s="9" t="s">
        <v>6585</v>
      </c>
      <c r="IPY1" s="9" t="s">
        <v>6586</v>
      </c>
      <c r="IPZ1" s="9" t="s">
        <v>6587</v>
      </c>
      <c r="IQA1" s="9" t="s">
        <v>6588</v>
      </c>
      <c r="IQB1" s="9" t="s">
        <v>6589</v>
      </c>
      <c r="IQC1" s="9" t="s">
        <v>6590</v>
      </c>
      <c r="IQD1" s="9" t="s">
        <v>6591</v>
      </c>
      <c r="IQE1" s="9" t="s">
        <v>6592</v>
      </c>
      <c r="IQF1" s="9" t="s">
        <v>6593</v>
      </c>
      <c r="IQG1" s="9" t="s">
        <v>6594</v>
      </c>
      <c r="IQH1" s="9" t="s">
        <v>6595</v>
      </c>
      <c r="IQI1" s="9" t="s">
        <v>6596</v>
      </c>
      <c r="IQJ1" s="9" t="s">
        <v>6597</v>
      </c>
      <c r="IQK1" s="9" t="s">
        <v>6598</v>
      </c>
      <c r="IQL1" s="9" t="s">
        <v>6599</v>
      </c>
      <c r="IQM1" s="9" t="s">
        <v>6600</v>
      </c>
      <c r="IQN1" s="9" t="s">
        <v>6601</v>
      </c>
      <c r="IQO1" s="9" t="s">
        <v>6602</v>
      </c>
      <c r="IQP1" s="9" t="s">
        <v>6603</v>
      </c>
      <c r="IQQ1" s="9" t="s">
        <v>6604</v>
      </c>
      <c r="IQR1" s="9" t="s">
        <v>6605</v>
      </c>
      <c r="IQS1" s="9" t="s">
        <v>6606</v>
      </c>
      <c r="IQT1" s="9" t="s">
        <v>6607</v>
      </c>
      <c r="IQU1" s="9" t="s">
        <v>6608</v>
      </c>
      <c r="IQV1" s="9" t="s">
        <v>6609</v>
      </c>
      <c r="IQW1" s="9" t="s">
        <v>6610</v>
      </c>
      <c r="IQX1" s="9" t="s">
        <v>6611</v>
      </c>
      <c r="IQY1" s="9" t="s">
        <v>6612</v>
      </c>
      <c r="IQZ1" s="9" t="s">
        <v>6613</v>
      </c>
      <c r="IRA1" s="9" t="s">
        <v>6614</v>
      </c>
      <c r="IRB1" s="9" t="s">
        <v>6615</v>
      </c>
      <c r="IRC1" s="9" t="s">
        <v>6616</v>
      </c>
      <c r="IRD1" s="9" t="s">
        <v>6617</v>
      </c>
      <c r="IRE1" s="9" t="s">
        <v>6618</v>
      </c>
      <c r="IRF1" s="9" t="s">
        <v>6619</v>
      </c>
      <c r="IRG1" s="9" t="s">
        <v>6620</v>
      </c>
      <c r="IRH1" s="9" t="s">
        <v>6621</v>
      </c>
      <c r="IRI1" s="9" t="s">
        <v>6622</v>
      </c>
      <c r="IRJ1" s="9" t="s">
        <v>6623</v>
      </c>
      <c r="IRK1" s="9" t="s">
        <v>6624</v>
      </c>
      <c r="IRL1" s="9" t="s">
        <v>6625</v>
      </c>
      <c r="IRM1" s="9" t="s">
        <v>6626</v>
      </c>
      <c r="IRN1" s="9" t="s">
        <v>6627</v>
      </c>
      <c r="IRO1" s="9" t="s">
        <v>6628</v>
      </c>
      <c r="IRP1" s="9" t="s">
        <v>6629</v>
      </c>
      <c r="IRQ1" s="9" t="s">
        <v>6630</v>
      </c>
      <c r="IRR1" s="9" t="s">
        <v>6631</v>
      </c>
      <c r="IRS1" s="9" t="s">
        <v>6632</v>
      </c>
      <c r="IRT1" s="9" t="s">
        <v>6633</v>
      </c>
      <c r="IRU1" s="9" t="s">
        <v>6634</v>
      </c>
      <c r="IRV1" s="9" t="s">
        <v>6635</v>
      </c>
      <c r="IRW1" s="9" t="s">
        <v>6636</v>
      </c>
      <c r="IRX1" s="9" t="s">
        <v>6637</v>
      </c>
      <c r="IRY1" s="9" t="s">
        <v>6638</v>
      </c>
      <c r="IRZ1" s="9" t="s">
        <v>6639</v>
      </c>
      <c r="ISA1" s="9" t="s">
        <v>6640</v>
      </c>
      <c r="ISB1" s="9" t="s">
        <v>6641</v>
      </c>
      <c r="ISC1" s="9" t="s">
        <v>6642</v>
      </c>
      <c r="ISD1" s="9" t="s">
        <v>6643</v>
      </c>
      <c r="ISE1" s="9" t="s">
        <v>6644</v>
      </c>
      <c r="ISF1" s="9" t="s">
        <v>6645</v>
      </c>
      <c r="ISG1" s="9" t="s">
        <v>6646</v>
      </c>
      <c r="ISH1" s="9" t="s">
        <v>6647</v>
      </c>
      <c r="ISI1" s="9" t="s">
        <v>6648</v>
      </c>
      <c r="ISJ1" s="9" t="s">
        <v>6649</v>
      </c>
      <c r="ISK1" s="9" t="s">
        <v>6650</v>
      </c>
      <c r="ISL1" s="9" t="s">
        <v>6651</v>
      </c>
      <c r="ISM1" s="9" t="s">
        <v>6652</v>
      </c>
      <c r="ISN1" s="9" t="s">
        <v>6653</v>
      </c>
      <c r="ISO1" s="9" t="s">
        <v>6654</v>
      </c>
      <c r="ISP1" s="9" t="s">
        <v>6655</v>
      </c>
      <c r="ISQ1" s="9" t="s">
        <v>6656</v>
      </c>
      <c r="ISR1" s="9" t="s">
        <v>6657</v>
      </c>
      <c r="ISS1" s="9" t="s">
        <v>6658</v>
      </c>
      <c r="IST1" s="9" t="s">
        <v>6659</v>
      </c>
      <c r="ISU1" s="9" t="s">
        <v>6660</v>
      </c>
      <c r="ISV1" s="9" t="s">
        <v>6661</v>
      </c>
      <c r="ISW1" s="9" t="s">
        <v>6662</v>
      </c>
      <c r="ISX1" s="9" t="s">
        <v>6663</v>
      </c>
      <c r="ISY1" s="9" t="s">
        <v>6664</v>
      </c>
      <c r="ISZ1" s="9" t="s">
        <v>6665</v>
      </c>
      <c r="ITA1" s="9" t="s">
        <v>6666</v>
      </c>
      <c r="ITB1" s="9" t="s">
        <v>6667</v>
      </c>
      <c r="ITC1" s="9" t="s">
        <v>6668</v>
      </c>
      <c r="ITD1" s="9" t="s">
        <v>6669</v>
      </c>
      <c r="ITE1" s="9" t="s">
        <v>6670</v>
      </c>
      <c r="ITF1" s="9" t="s">
        <v>6671</v>
      </c>
      <c r="ITG1" s="9" t="s">
        <v>6672</v>
      </c>
      <c r="ITH1" s="9" t="s">
        <v>6673</v>
      </c>
      <c r="ITI1" s="9" t="s">
        <v>6674</v>
      </c>
      <c r="ITJ1" s="9" t="s">
        <v>6675</v>
      </c>
      <c r="ITK1" s="9" t="s">
        <v>6676</v>
      </c>
      <c r="ITL1" s="9" t="s">
        <v>6677</v>
      </c>
      <c r="ITM1" s="9" t="s">
        <v>6678</v>
      </c>
      <c r="ITN1" s="9" t="s">
        <v>6679</v>
      </c>
      <c r="ITO1" s="9" t="s">
        <v>6680</v>
      </c>
      <c r="ITP1" s="9" t="s">
        <v>6681</v>
      </c>
      <c r="ITQ1" s="9" t="s">
        <v>6682</v>
      </c>
      <c r="ITR1" s="9" t="s">
        <v>6683</v>
      </c>
      <c r="ITS1" s="9" t="s">
        <v>6684</v>
      </c>
      <c r="ITT1" s="9" t="s">
        <v>6685</v>
      </c>
      <c r="ITU1" s="9" t="s">
        <v>6686</v>
      </c>
      <c r="ITV1" s="9" t="s">
        <v>6687</v>
      </c>
      <c r="ITW1" s="9" t="s">
        <v>6688</v>
      </c>
      <c r="ITX1" s="9" t="s">
        <v>6689</v>
      </c>
      <c r="ITY1" s="9" t="s">
        <v>6690</v>
      </c>
      <c r="ITZ1" s="9" t="s">
        <v>6691</v>
      </c>
      <c r="IUA1" s="9" t="s">
        <v>6692</v>
      </c>
      <c r="IUB1" s="9" t="s">
        <v>6693</v>
      </c>
      <c r="IUC1" s="9" t="s">
        <v>6694</v>
      </c>
      <c r="IUD1" s="9" t="s">
        <v>6695</v>
      </c>
      <c r="IUE1" s="9" t="s">
        <v>6696</v>
      </c>
      <c r="IUF1" s="9" t="s">
        <v>6697</v>
      </c>
      <c r="IUG1" s="9" t="s">
        <v>6698</v>
      </c>
      <c r="IUH1" s="9" t="s">
        <v>6699</v>
      </c>
      <c r="IUI1" s="9" t="s">
        <v>6700</v>
      </c>
      <c r="IUJ1" s="9" t="s">
        <v>6701</v>
      </c>
      <c r="IUK1" s="9" t="s">
        <v>6702</v>
      </c>
      <c r="IUL1" s="9" t="s">
        <v>6703</v>
      </c>
      <c r="IUM1" s="9" t="s">
        <v>6704</v>
      </c>
      <c r="IUN1" s="9" t="s">
        <v>6705</v>
      </c>
      <c r="IUO1" s="9" t="s">
        <v>6706</v>
      </c>
      <c r="IUP1" s="9" t="s">
        <v>6707</v>
      </c>
      <c r="IUQ1" s="9" t="s">
        <v>6708</v>
      </c>
      <c r="IUR1" s="9" t="s">
        <v>6709</v>
      </c>
      <c r="IUS1" s="9" t="s">
        <v>6710</v>
      </c>
      <c r="IUT1" s="9" t="s">
        <v>6711</v>
      </c>
      <c r="IUU1" s="9" t="s">
        <v>6712</v>
      </c>
      <c r="IUV1" s="9" t="s">
        <v>6713</v>
      </c>
      <c r="IUW1" s="9" t="s">
        <v>6714</v>
      </c>
      <c r="IUX1" s="9" t="s">
        <v>6715</v>
      </c>
      <c r="IUY1" s="9" t="s">
        <v>6716</v>
      </c>
      <c r="IUZ1" s="9" t="s">
        <v>6717</v>
      </c>
      <c r="IVA1" s="9" t="s">
        <v>6718</v>
      </c>
      <c r="IVB1" s="9" t="s">
        <v>6719</v>
      </c>
      <c r="IVC1" s="9" t="s">
        <v>6720</v>
      </c>
      <c r="IVD1" s="9" t="s">
        <v>6721</v>
      </c>
      <c r="IVE1" s="9" t="s">
        <v>6722</v>
      </c>
      <c r="IVF1" s="9" t="s">
        <v>6723</v>
      </c>
      <c r="IVG1" s="9" t="s">
        <v>6724</v>
      </c>
      <c r="IVH1" s="9" t="s">
        <v>6725</v>
      </c>
      <c r="IVI1" s="9" t="s">
        <v>6726</v>
      </c>
      <c r="IVJ1" s="9" t="s">
        <v>6727</v>
      </c>
      <c r="IVK1" s="9" t="s">
        <v>6728</v>
      </c>
      <c r="IVL1" s="9" t="s">
        <v>6729</v>
      </c>
      <c r="IVM1" s="9" t="s">
        <v>6730</v>
      </c>
      <c r="IVN1" s="9" t="s">
        <v>6731</v>
      </c>
      <c r="IVO1" s="9" t="s">
        <v>6732</v>
      </c>
      <c r="IVP1" s="9" t="s">
        <v>6733</v>
      </c>
      <c r="IVQ1" s="9" t="s">
        <v>6734</v>
      </c>
      <c r="IVR1" s="9" t="s">
        <v>6735</v>
      </c>
      <c r="IVS1" s="9" t="s">
        <v>6736</v>
      </c>
      <c r="IVT1" s="9" t="s">
        <v>6737</v>
      </c>
      <c r="IVU1" s="9" t="s">
        <v>6738</v>
      </c>
      <c r="IVV1" s="9" t="s">
        <v>6739</v>
      </c>
      <c r="IVW1" s="9" t="s">
        <v>6740</v>
      </c>
      <c r="IVX1" s="9" t="s">
        <v>6741</v>
      </c>
      <c r="IVY1" s="9" t="s">
        <v>6742</v>
      </c>
      <c r="IVZ1" s="9" t="s">
        <v>6743</v>
      </c>
      <c r="IWA1" s="9" t="s">
        <v>6744</v>
      </c>
      <c r="IWB1" s="9" t="s">
        <v>6745</v>
      </c>
      <c r="IWC1" s="9" t="s">
        <v>6746</v>
      </c>
      <c r="IWD1" s="9" t="s">
        <v>6747</v>
      </c>
      <c r="IWE1" s="9" t="s">
        <v>6748</v>
      </c>
      <c r="IWF1" s="9" t="s">
        <v>6749</v>
      </c>
      <c r="IWG1" s="9" t="s">
        <v>6750</v>
      </c>
      <c r="IWH1" s="9" t="s">
        <v>6751</v>
      </c>
      <c r="IWI1" s="9" t="s">
        <v>6752</v>
      </c>
      <c r="IWJ1" s="9" t="s">
        <v>6753</v>
      </c>
      <c r="IWK1" s="9" t="s">
        <v>6754</v>
      </c>
      <c r="IWL1" s="9" t="s">
        <v>6755</v>
      </c>
      <c r="IWM1" s="9" t="s">
        <v>6756</v>
      </c>
      <c r="IWN1" s="9" t="s">
        <v>6757</v>
      </c>
      <c r="IWO1" s="9" t="s">
        <v>6758</v>
      </c>
      <c r="IWP1" s="9" t="s">
        <v>6759</v>
      </c>
      <c r="IWQ1" s="9" t="s">
        <v>6760</v>
      </c>
      <c r="IWR1" s="9" t="s">
        <v>6761</v>
      </c>
      <c r="IWS1" s="9" t="s">
        <v>6762</v>
      </c>
      <c r="IWT1" s="9" t="s">
        <v>6763</v>
      </c>
      <c r="IWU1" s="9" t="s">
        <v>6764</v>
      </c>
      <c r="IWV1" s="9" t="s">
        <v>6765</v>
      </c>
      <c r="IWW1" s="9" t="s">
        <v>6766</v>
      </c>
      <c r="IWX1" s="9" t="s">
        <v>6767</v>
      </c>
      <c r="IWY1" s="9" t="s">
        <v>6768</v>
      </c>
      <c r="IWZ1" s="9" t="s">
        <v>6769</v>
      </c>
      <c r="IXA1" s="9" t="s">
        <v>6770</v>
      </c>
      <c r="IXB1" s="9" t="s">
        <v>6771</v>
      </c>
      <c r="IXC1" s="9" t="s">
        <v>6772</v>
      </c>
      <c r="IXD1" s="9" t="s">
        <v>6773</v>
      </c>
      <c r="IXE1" s="9" t="s">
        <v>6774</v>
      </c>
      <c r="IXF1" s="9" t="s">
        <v>6775</v>
      </c>
      <c r="IXG1" s="9" t="s">
        <v>6776</v>
      </c>
      <c r="IXH1" s="9" t="s">
        <v>6777</v>
      </c>
      <c r="IXI1" s="9" t="s">
        <v>6778</v>
      </c>
      <c r="IXJ1" s="9" t="s">
        <v>6779</v>
      </c>
      <c r="IXK1" s="9" t="s">
        <v>6780</v>
      </c>
      <c r="IXL1" s="9" t="s">
        <v>6781</v>
      </c>
      <c r="IXM1" s="9" t="s">
        <v>6782</v>
      </c>
      <c r="IXN1" s="9" t="s">
        <v>6783</v>
      </c>
      <c r="IXO1" s="9" t="s">
        <v>6784</v>
      </c>
      <c r="IXP1" s="9" t="s">
        <v>6785</v>
      </c>
      <c r="IXQ1" s="9" t="s">
        <v>6786</v>
      </c>
      <c r="IXR1" s="9" t="s">
        <v>6787</v>
      </c>
      <c r="IXS1" s="9" t="s">
        <v>6788</v>
      </c>
      <c r="IXT1" s="9" t="s">
        <v>6789</v>
      </c>
      <c r="IXU1" s="9" t="s">
        <v>6790</v>
      </c>
      <c r="IXV1" s="9" t="s">
        <v>6791</v>
      </c>
      <c r="IXW1" s="9" t="s">
        <v>6792</v>
      </c>
      <c r="IXX1" s="9" t="s">
        <v>6793</v>
      </c>
      <c r="IXY1" s="9" t="s">
        <v>6794</v>
      </c>
      <c r="IXZ1" s="9" t="s">
        <v>6795</v>
      </c>
      <c r="IYA1" s="9" t="s">
        <v>6796</v>
      </c>
      <c r="IYB1" s="9" t="s">
        <v>6797</v>
      </c>
      <c r="IYC1" s="9" t="s">
        <v>6798</v>
      </c>
      <c r="IYD1" s="9" t="s">
        <v>6799</v>
      </c>
      <c r="IYE1" s="9" t="s">
        <v>6800</v>
      </c>
      <c r="IYF1" s="9" t="s">
        <v>6801</v>
      </c>
      <c r="IYG1" s="9" t="s">
        <v>6802</v>
      </c>
      <c r="IYH1" s="9" t="s">
        <v>6803</v>
      </c>
      <c r="IYI1" s="9" t="s">
        <v>6804</v>
      </c>
      <c r="IYJ1" s="9" t="s">
        <v>6805</v>
      </c>
      <c r="IYK1" s="9" t="s">
        <v>6806</v>
      </c>
      <c r="IYL1" s="9" t="s">
        <v>6807</v>
      </c>
      <c r="IYM1" s="9" t="s">
        <v>6808</v>
      </c>
      <c r="IYN1" s="9" t="s">
        <v>6809</v>
      </c>
      <c r="IYO1" s="9" t="s">
        <v>6810</v>
      </c>
      <c r="IYP1" s="9" t="s">
        <v>6811</v>
      </c>
      <c r="IYQ1" s="9" t="s">
        <v>6812</v>
      </c>
      <c r="IYR1" s="9" t="s">
        <v>6813</v>
      </c>
      <c r="IYS1" s="9" t="s">
        <v>6814</v>
      </c>
      <c r="IYT1" s="9" t="s">
        <v>6815</v>
      </c>
      <c r="IYU1" s="9" t="s">
        <v>6816</v>
      </c>
      <c r="IYV1" s="9" t="s">
        <v>6817</v>
      </c>
      <c r="IYW1" s="9" t="s">
        <v>6818</v>
      </c>
      <c r="IYX1" s="9" t="s">
        <v>6819</v>
      </c>
      <c r="IYY1" s="9" t="s">
        <v>6820</v>
      </c>
      <c r="IYZ1" s="9" t="s">
        <v>6821</v>
      </c>
      <c r="IZA1" s="9" t="s">
        <v>6822</v>
      </c>
      <c r="IZB1" s="9" t="s">
        <v>6823</v>
      </c>
      <c r="IZC1" s="9" t="s">
        <v>6824</v>
      </c>
      <c r="IZD1" s="9" t="s">
        <v>6825</v>
      </c>
      <c r="IZE1" s="9" t="s">
        <v>6826</v>
      </c>
      <c r="IZF1" s="9" t="s">
        <v>6827</v>
      </c>
      <c r="IZG1" s="9" t="s">
        <v>6828</v>
      </c>
      <c r="IZH1" s="9" t="s">
        <v>6829</v>
      </c>
      <c r="IZI1" s="9" t="s">
        <v>6830</v>
      </c>
      <c r="IZJ1" s="9" t="s">
        <v>6831</v>
      </c>
      <c r="IZK1" s="9" t="s">
        <v>6832</v>
      </c>
      <c r="IZL1" s="9" t="s">
        <v>6833</v>
      </c>
      <c r="IZM1" s="9" t="s">
        <v>6834</v>
      </c>
      <c r="IZN1" s="9" t="s">
        <v>6835</v>
      </c>
      <c r="IZO1" s="9" t="s">
        <v>6836</v>
      </c>
      <c r="IZP1" s="9" t="s">
        <v>6837</v>
      </c>
      <c r="IZQ1" s="9" t="s">
        <v>6838</v>
      </c>
      <c r="IZR1" s="9" t="s">
        <v>6839</v>
      </c>
      <c r="IZS1" s="9" t="s">
        <v>6840</v>
      </c>
      <c r="IZT1" s="9" t="s">
        <v>6841</v>
      </c>
      <c r="IZU1" s="9" t="s">
        <v>6842</v>
      </c>
      <c r="IZV1" s="9" t="s">
        <v>6843</v>
      </c>
      <c r="IZW1" s="9" t="s">
        <v>6844</v>
      </c>
      <c r="IZX1" s="9" t="s">
        <v>6845</v>
      </c>
      <c r="IZY1" s="9" t="s">
        <v>6846</v>
      </c>
      <c r="IZZ1" s="9" t="s">
        <v>6847</v>
      </c>
      <c r="JAA1" s="9" t="s">
        <v>6848</v>
      </c>
      <c r="JAB1" s="9" t="s">
        <v>6849</v>
      </c>
      <c r="JAC1" s="9" t="s">
        <v>6850</v>
      </c>
      <c r="JAD1" s="9" t="s">
        <v>6851</v>
      </c>
      <c r="JAE1" s="9" t="s">
        <v>6852</v>
      </c>
      <c r="JAF1" s="9" t="s">
        <v>6853</v>
      </c>
      <c r="JAG1" s="9" t="s">
        <v>6854</v>
      </c>
      <c r="JAH1" s="9" t="s">
        <v>6855</v>
      </c>
      <c r="JAI1" s="9" t="s">
        <v>6856</v>
      </c>
      <c r="JAJ1" s="9" t="s">
        <v>6857</v>
      </c>
      <c r="JAK1" s="9" t="s">
        <v>6858</v>
      </c>
      <c r="JAL1" s="9" t="s">
        <v>6859</v>
      </c>
      <c r="JAM1" s="9" t="s">
        <v>6860</v>
      </c>
      <c r="JAN1" s="9" t="s">
        <v>6861</v>
      </c>
      <c r="JAO1" s="9" t="s">
        <v>6862</v>
      </c>
      <c r="JAP1" s="9" t="s">
        <v>6863</v>
      </c>
      <c r="JAQ1" s="9" t="s">
        <v>6864</v>
      </c>
      <c r="JAR1" s="9" t="s">
        <v>6865</v>
      </c>
      <c r="JAS1" s="9" t="s">
        <v>6866</v>
      </c>
      <c r="JAT1" s="9" t="s">
        <v>6867</v>
      </c>
      <c r="JAU1" s="9" t="s">
        <v>6868</v>
      </c>
      <c r="JAV1" s="9" t="s">
        <v>6869</v>
      </c>
      <c r="JAW1" s="9" t="s">
        <v>6870</v>
      </c>
      <c r="JAX1" s="9" t="s">
        <v>6871</v>
      </c>
      <c r="JAY1" s="9" t="s">
        <v>6872</v>
      </c>
      <c r="JAZ1" s="9" t="s">
        <v>6873</v>
      </c>
      <c r="JBA1" s="9" t="s">
        <v>6874</v>
      </c>
      <c r="JBB1" s="9" t="s">
        <v>6875</v>
      </c>
      <c r="JBC1" s="9" t="s">
        <v>6876</v>
      </c>
      <c r="JBD1" s="9" t="s">
        <v>6877</v>
      </c>
      <c r="JBE1" s="9" t="s">
        <v>6878</v>
      </c>
      <c r="JBF1" s="9" t="s">
        <v>6879</v>
      </c>
      <c r="JBG1" s="9" t="s">
        <v>6880</v>
      </c>
      <c r="JBH1" s="9" t="s">
        <v>6881</v>
      </c>
      <c r="JBI1" s="9" t="s">
        <v>6882</v>
      </c>
      <c r="JBJ1" s="9" t="s">
        <v>6883</v>
      </c>
      <c r="JBK1" s="9" t="s">
        <v>6884</v>
      </c>
      <c r="JBL1" s="9" t="s">
        <v>6885</v>
      </c>
      <c r="JBM1" s="9" t="s">
        <v>6886</v>
      </c>
      <c r="JBN1" s="9" t="s">
        <v>6887</v>
      </c>
      <c r="JBO1" s="9" t="s">
        <v>6888</v>
      </c>
      <c r="JBP1" s="9" t="s">
        <v>6889</v>
      </c>
      <c r="JBQ1" s="9" t="s">
        <v>6890</v>
      </c>
      <c r="JBR1" s="9" t="s">
        <v>6891</v>
      </c>
      <c r="JBS1" s="9" t="s">
        <v>6892</v>
      </c>
      <c r="JBT1" s="9" t="s">
        <v>6893</v>
      </c>
      <c r="JBU1" s="9" t="s">
        <v>6894</v>
      </c>
      <c r="JBV1" s="9" t="s">
        <v>6895</v>
      </c>
      <c r="JBW1" s="9" t="s">
        <v>6896</v>
      </c>
      <c r="JBX1" s="9" t="s">
        <v>6897</v>
      </c>
      <c r="JBY1" s="9" t="s">
        <v>6898</v>
      </c>
      <c r="JBZ1" s="9" t="s">
        <v>6899</v>
      </c>
      <c r="JCA1" s="9" t="s">
        <v>6900</v>
      </c>
      <c r="JCB1" s="9" t="s">
        <v>6901</v>
      </c>
      <c r="JCC1" s="9" t="s">
        <v>6902</v>
      </c>
      <c r="JCD1" s="9" t="s">
        <v>6903</v>
      </c>
      <c r="JCE1" s="9" t="s">
        <v>6904</v>
      </c>
      <c r="JCF1" s="9" t="s">
        <v>6905</v>
      </c>
      <c r="JCG1" s="9" t="s">
        <v>6906</v>
      </c>
      <c r="JCH1" s="9" t="s">
        <v>6907</v>
      </c>
      <c r="JCI1" s="9" t="s">
        <v>6908</v>
      </c>
      <c r="JCJ1" s="9" t="s">
        <v>6909</v>
      </c>
      <c r="JCK1" s="9" t="s">
        <v>6910</v>
      </c>
      <c r="JCL1" s="9" t="s">
        <v>6911</v>
      </c>
      <c r="JCM1" s="9" t="s">
        <v>6912</v>
      </c>
      <c r="JCN1" s="9" t="s">
        <v>6913</v>
      </c>
      <c r="JCO1" s="9" t="s">
        <v>6914</v>
      </c>
      <c r="JCP1" s="9" t="s">
        <v>6915</v>
      </c>
      <c r="JCQ1" s="9" t="s">
        <v>6916</v>
      </c>
      <c r="JCR1" s="9" t="s">
        <v>6917</v>
      </c>
      <c r="JCS1" s="9" t="s">
        <v>6918</v>
      </c>
      <c r="JCT1" s="9" t="s">
        <v>6919</v>
      </c>
      <c r="JCU1" s="9" t="s">
        <v>6920</v>
      </c>
      <c r="JCV1" s="9" t="s">
        <v>6921</v>
      </c>
      <c r="JCW1" s="9" t="s">
        <v>6922</v>
      </c>
      <c r="JCX1" s="9" t="s">
        <v>6923</v>
      </c>
      <c r="JCY1" s="9" t="s">
        <v>6924</v>
      </c>
      <c r="JCZ1" s="9" t="s">
        <v>6925</v>
      </c>
      <c r="JDA1" s="9" t="s">
        <v>6926</v>
      </c>
      <c r="JDB1" s="9" t="s">
        <v>6927</v>
      </c>
      <c r="JDC1" s="9" t="s">
        <v>6928</v>
      </c>
      <c r="JDD1" s="9" t="s">
        <v>6929</v>
      </c>
      <c r="JDE1" s="9" t="s">
        <v>6930</v>
      </c>
      <c r="JDF1" s="9" t="s">
        <v>6931</v>
      </c>
      <c r="JDG1" s="9" t="s">
        <v>6932</v>
      </c>
      <c r="JDH1" s="9" t="s">
        <v>6933</v>
      </c>
      <c r="JDI1" s="9" t="s">
        <v>6934</v>
      </c>
      <c r="JDJ1" s="9" t="s">
        <v>6935</v>
      </c>
      <c r="JDK1" s="9" t="s">
        <v>6936</v>
      </c>
      <c r="JDL1" s="9" t="s">
        <v>6937</v>
      </c>
      <c r="JDM1" s="9" t="s">
        <v>6938</v>
      </c>
      <c r="JDN1" s="9" t="s">
        <v>6939</v>
      </c>
      <c r="JDO1" s="9" t="s">
        <v>6940</v>
      </c>
      <c r="JDP1" s="9" t="s">
        <v>6941</v>
      </c>
      <c r="JDQ1" s="9" t="s">
        <v>6942</v>
      </c>
      <c r="JDR1" s="9" t="s">
        <v>6943</v>
      </c>
      <c r="JDS1" s="9" t="s">
        <v>6944</v>
      </c>
      <c r="JDT1" s="9" t="s">
        <v>6945</v>
      </c>
      <c r="JDU1" s="9" t="s">
        <v>6946</v>
      </c>
      <c r="JDV1" s="9" t="s">
        <v>6947</v>
      </c>
      <c r="JDW1" s="9" t="s">
        <v>6948</v>
      </c>
      <c r="JDX1" s="9" t="s">
        <v>6949</v>
      </c>
      <c r="JDY1" s="9" t="s">
        <v>6950</v>
      </c>
      <c r="JDZ1" s="9" t="s">
        <v>6951</v>
      </c>
      <c r="JEA1" s="9" t="s">
        <v>6952</v>
      </c>
      <c r="JEB1" s="9" t="s">
        <v>6953</v>
      </c>
      <c r="JEC1" s="9" t="s">
        <v>6954</v>
      </c>
      <c r="JED1" s="9" t="s">
        <v>6955</v>
      </c>
      <c r="JEE1" s="9" t="s">
        <v>6956</v>
      </c>
      <c r="JEF1" s="9" t="s">
        <v>6957</v>
      </c>
      <c r="JEG1" s="9" t="s">
        <v>6958</v>
      </c>
      <c r="JEH1" s="9" t="s">
        <v>6959</v>
      </c>
      <c r="JEI1" s="9" t="s">
        <v>6960</v>
      </c>
      <c r="JEJ1" s="9" t="s">
        <v>6961</v>
      </c>
      <c r="JEK1" s="9" t="s">
        <v>6962</v>
      </c>
      <c r="JEL1" s="9" t="s">
        <v>6963</v>
      </c>
      <c r="JEM1" s="9" t="s">
        <v>6964</v>
      </c>
      <c r="JEN1" s="9" t="s">
        <v>6965</v>
      </c>
      <c r="JEO1" s="9" t="s">
        <v>6966</v>
      </c>
      <c r="JEP1" s="9" t="s">
        <v>6967</v>
      </c>
      <c r="JEQ1" s="9" t="s">
        <v>6968</v>
      </c>
      <c r="JER1" s="9" t="s">
        <v>6969</v>
      </c>
      <c r="JES1" s="9" t="s">
        <v>6970</v>
      </c>
      <c r="JET1" s="9" t="s">
        <v>6971</v>
      </c>
      <c r="JEU1" s="9" t="s">
        <v>6972</v>
      </c>
      <c r="JEV1" s="9" t="s">
        <v>6973</v>
      </c>
      <c r="JEW1" s="9" t="s">
        <v>6974</v>
      </c>
      <c r="JEX1" s="9" t="s">
        <v>6975</v>
      </c>
      <c r="JEY1" s="9" t="s">
        <v>6976</v>
      </c>
      <c r="JEZ1" s="9" t="s">
        <v>6977</v>
      </c>
      <c r="JFA1" s="9" t="s">
        <v>6978</v>
      </c>
      <c r="JFB1" s="9" t="s">
        <v>6979</v>
      </c>
      <c r="JFC1" s="9" t="s">
        <v>6980</v>
      </c>
      <c r="JFD1" s="9" t="s">
        <v>6981</v>
      </c>
      <c r="JFE1" s="9" t="s">
        <v>6982</v>
      </c>
      <c r="JFF1" s="9" t="s">
        <v>6983</v>
      </c>
      <c r="JFG1" s="9" t="s">
        <v>6984</v>
      </c>
      <c r="JFH1" s="9" t="s">
        <v>6985</v>
      </c>
      <c r="JFI1" s="9" t="s">
        <v>6986</v>
      </c>
      <c r="JFJ1" s="9" t="s">
        <v>6987</v>
      </c>
      <c r="JFK1" s="9" t="s">
        <v>6988</v>
      </c>
      <c r="JFL1" s="9" t="s">
        <v>6989</v>
      </c>
      <c r="JFM1" s="9" t="s">
        <v>6990</v>
      </c>
      <c r="JFN1" s="9" t="s">
        <v>6991</v>
      </c>
      <c r="JFO1" s="9" t="s">
        <v>6992</v>
      </c>
      <c r="JFP1" s="9" t="s">
        <v>6993</v>
      </c>
      <c r="JFQ1" s="9" t="s">
        <v>6994</v>
      </c>
      <c r="JFR1" s="9" t="s">
        <v>6995</v>
      </c>
      <c r="JFS1" s="9" t="s">
        <v>6996</v>
      </c>
      <c r="JFT1" s="9" t="s">
        <v>6997</v>
      </c>
      <c r="JFU1" s="9" t="s">
        <v>6998</v>
      </c>
      <c r="JFV1" s="9" t="s">
        <v>6999</v>
      </c>
      <c r="JFW1" s="9" t="s">
        <v>7000</v>
      </c>
      <c r="JFX1" s="9" t="s">
        <v>7001</v>
      </c>
      <c r="JFY1" s="9" t="s">
        <v>7002</v>
      </c>
      <c r="JFZ1" s="9" t="s">
        <v>7003</v>
      </c>
      <c r="JGA1" s="9" t="s">
        <v>7004</v>
      </c>
      <c r="JGB1" s="9" t="s">
        <v>7005</v>
      </c>
      <c r="JGC1" s="9" t="s">
        <v>7006</v>
      </c>
      <c r="JGD1" s="9" t="s">
        <v>7007</v>
      </c>
      <c r="JGE1" s="9" t="s">
        <v>7008</v>
      </c>
      <c r="JGF1" s="9" t="s">
        <v>7009</v>
      </c>
      <c r="JGG1" s="9" t="s">
        <v>7010</v>
      </c>
      <c r="JGH1" s="9" t="s">
        <v>7011</v>
      </c>
      <c r="JGI1" s="9" t="s">
        <v>7012</v>
      </c>
      <c r="JGJ1" s="9" t="s">
        <v>7013</v>
      </c>
      <c r="JGK1" s="9" t="s">
        <v>7014</v>
      </c>
      <c r="JGL1" s="9" t="s">
        <v>7015</v>
      </c>
      <c r="JGM1" s="9" t="s">
        <v>7016</v>
      </c>
      <c r="JGN1" s="9" t="s">
        <v>7017</v>
      </c>
      <c r="JGO1" s="9" t="s">
        <v>7018</v>
      </c>
      <c r="JGP1" s="9" t="s">
        <v>7019</v>
      </c>
      <c r="JGQ1" s="9" t="s">
        <v>7020</v>
      </c>
      <c r="JGR1" s="9" t="s">
        <v>7021</v>
      </c>
      <c r="JGS1" s="9" t="s">
        <v>7022</v>
      </c>
      <c r="JGT1" s="9" t="s">
        <v>7023</v>
      </c>
      <c r="JGU1" s="9" t="s">
        <v>7024</v>
      </c>
      <c r="JGV1" s="9" t="s">
        <v>7025</v>
      </c>
      <c r="JGW1" s="9" t="s">
        <v>7026</v>
      </c>
      <c r="JGX1" s="9" t="s">
        <v>7027</v>
      </c>
      <c r="JGY1" s="9" t="s">
        <v>7028</v>
      </c>
      <c r="JGZ1" s="9" t="s">
        <v>7029</v>
      </c>
      <c r="JHA1" s="9" t="s">
        <v>7030</v>
      </c>
      <c r="JHB1" s="9" t="s">
        <v>7031</v>
      </c>
      <c r="JHC1" s="9" t="s">
        <v>7032</v>
      </c>
      <c r="JHD1" s="9" t="s">
        <v>7033</v>
      </c>
      <c r="JHE1" s="9" t="s">
        <v>7034</v>
      </c>
      <c r="JHF1" s="9" t="s">
        <v>7035</v>
      </c>
      <c r="JHG1" s="9" t="s">
        <v>7036</v>
      </c>
      <c r="JHH1" s="9" t="s">
        <v>7037</v>
      </c>
      <c r="JHI1" s="9" t="s">
        <v>7038</v>
      </c>
      <c r="JHJ1" s="9" t="s">
        <v>7039</v>
      </c>
      <c r="JHK1" s="9" t="s">
        <v>7040</v>
      </c>
      <c r="JHL1" s="9" t="s">
        <v>7041</v>
      </c>
      <c r="JHM1" s="9" t="s">
        <v>7042</v>
      </c>
      <c r="JHN1" s="9" t="s">
        <v>7043</v>
      </c>
      <c r="JHO1" s="9" t="s">
        <v>7044</v>
      </c>
      <c r="JHP1" s="9" t="s">
        <v>7045</v>
      </c>
      <c r="JHQ1" s="9" t="s">
        <v>7046</v>
      </c>
      <c r="JHR1" s="9" t="s">
        <v>7047</v>
      </c>
      <c r="JHS1" s="9" t="s">
        <v>7048</v>
      </c>
      <c r="JHT1" s="9" t="s">
        <v>7049</v>
      </c>
      <c r="JHU1" s="9" t="s">
        <v>7050</v>
      </c>
      <c r="JHV1" s="9" t="s">
        <v>7051</v>
      </c>
      <c r="JHW1" s="9" t="s">
        <v>7052</v>
      </c>
      <c r="JHX1" s="9" t="s">
        <v>7053</v>
      </c>
      <c r="JHY1" s="9" t="s">
        <v>7054</v>
      </c>
      <c r="JHZ1" s="9" t="s">
        <v>7055</v>
      </c>
      <c r="JIA1" s="9" t="s">
        <v>7056</v>
      </c>
      <c r="JIB1" s="9" t="s">
        <v>7057</v>
      </c>
      <c r="JIC1" s="9" t="s">
        <v>7058</v>
      </c>
      <c r="JID1" s="9" t="s">
        <v>7059</v>
      </c>
      <c r="JIE1" s="9" t="s">
        <v>7060</v>
      </c>
      <c r="JIF1" s="9" t="s">
        <v>7061</v>
      </c>
      <c r="JIG1" s="9" t="s">
        <v>7062</v>
      </c>
      <c r="JIH1" s="9" t="s">
        <v>7063</v>
      </c>
      <c r="JII1" s="9" t="s">
        <v>7064</v>
      </c>
      <c r="JIJ1" s="9" t="s">
        <v>7065</v>
      </c>
      <c r="JIK1" s="9" t="s">
        <v>7066</v>
      </c>
      <c r="JIL1" s="9" t="s">
        <v>7067</v>
      </c>
      <c r="JIM1" s="9" t="s">
        <v>7068</v>
      </c>
      <c r="JIN1" s="9" t="s">
        <v>7069</v>
      </c>
      <c r="JIO1" s="9" t="s">
        <v>7070</v>
      </c>
      <c r="JIP1" s="9" t="s">
        <v>7071</v>
      </c>
      <c r="JIQ1" s="9" t="s">
        <v>7072</v>
      </c>
      <c r="JIR1" s="9" t="s">
        <v>7073</v>
      </c>
      <c r="JIS1" s="9" t="s">
        <v>7074</v>
      </c>
      <c r="JIT1" s="9" t="s">
        <v>7075</v>
      </c>
      <c r="JIU1" s="9" t="s">
        <v>7076</v>
      </c>
      <c r="JIV1" s="9" t="s">
        <v>7077</v>
      </c>
      <c r="JIW1" s="9" t="s">
        <v>7078</v>
      </c>
      <c r="JIX1" s="9" t="s">
        <v>7079</v>
      </c>
      <c r="JIY1" s="9" t="s">
        <v>7080</v>
      </c>
      <c r="JIZ1" s="9" t="s">
        <v>7081</v>
      </c>
      <c r="JJA1" s="9" t="s">
        <v>7082</v>
      </c>
      <c r="JJB1" s="9" t="s">
        <v>7083</v>
      </c>
      <c r="JJC1" s="9" t="s">
        <v>7084</v>
      </c>
      <c r="JJD1" s="9" t="s">
        <v>7085</v>
      </c>
      <c r="JJE1" s="9" t="s">
        <v>7086</v>
      </c>
      <c r="JJF1" s="9" t="s">
        <v>7087</v>
      </c>
      <c r="JJG1" s="9" t="s">
        <v>7088</v>
      </c>
      <c r="JJH1" s="9" t="s">
        <v>7089</v>
      </c>
      <c r="JJI1" s="9" t="s">
        <v>7090</v>
      </c>
      <c r="JJJ1" s="9" t="s">
        <v>7091</v>
      </c>
      <c r="JJK1" s="9" t="s">
        <v>7092</v>
      </c>
      <c r="JJL1" s="9" t="s">
        <v>7093</v>
      </c>
      <c r="JJM1" s="9" t="s">
        <v>7094</v>
      </c>
      <c r="JJN1" s="9" t="s">
        <v>7095</v>
      </c>
      <c r="JJO1" s="9" t="s">
        <v>7096</v>
      </c>
      <c r="JJP1" s="9" t="s">
        <v>7097</v>
      </c>
      <c r="JJQ1" s="9" t="s">
        <v>7098</v>
      </c>
      <c r="JJR1" s="9" t="s">
        <v>7099</v>
      </c>
      <c r="JJS1" s="9" t="s">
        <v>7100</v>
      </c>
      <c r="JJT1" s="9" t="s">
        <v>7101</v>
      </c>
      <c r="JJU1" s="9" t="s">
        <v>7102</v>
      </c>
      <c r="JJV1" s="9" t="s">
        <v>7103</v>
      </c>
      <c r="JJW1" s="9" t="s">
        <v>7104</v>
      </c>
      <c r="JJX1" s="9" t="s">
        <v>7105</v>
      </c>
      <c r="JJY1" s="9" t="s">
        <v>7106</v>
      </c>
      <c r="JJZ1" s="9" t="s">
        <v>7107</v>
      </c>
      <c r="JKA1" s="9" t="s">
        <v>7108</v>
      </c>
      <c r="JKB1" s="9" t="s">
        <v>7109</v>
      </c>
      <c r="JKC1" s="9" t="s">
        <v>7110</v>
      </c>
      <c r="JKD1" s="9" t="s">
        <v>7111</v>
      </c>
      <c r="JKE1" s="9" t="s">
        <v>7112</v>
      </c>
      <c r="JKF1" s="9" t="s">
        <v>7113</v>
      </c>
      <c r="JKG1" s="9" t="s">
        <v>7114</v>
      </c>
      <c r="JKH1" s="9" t="s">
        <v>7115</v>
      </c>
      <c r="JKI1" s="9" t="s">
        <v>7116</v>
      </c>
      <c r="JKJ1" s="9" t="s">
        <v>7117</v>
      </c>
      <c r="JKK1" s="9" t="s">
        <v>7118</v>
      </c>
      <c r="JKL1" s="9" t="s">
        <v>7119</v>
      </c>
      <c r="JKM1" s="9" t="s">
        <v>7120</v>
      </c>
      <c r="JKN1" s="9" t="s">
        <v>7121</v>
      </c>
      <c r="JKO1" s="9" t="s">
        <v>7122</v>
      </c>
      <c r="JKP1" s="9" t="s">
        <v>7123</v>
      </c>
      <c r="JKQ1" s="9" t="s">
        <v>7124</v>
      </c>
      <c r="JKR1" s="9" t="s">
        <v>7125</v>
      </c>
      <c r="JKS1" s="9" t="s">
        <v>7126</v>
      </c>
      <c r="JKT1" s="9" t="s">
        <v>7127</v>
      </c>
      <c r="JKU1" s="9" t="s">
        <v>7128</v>
      </c>
      <c r="JKV1" s="9" t="s">
        <v>7129</v>
      </c>
      <c r="JKW1" s="9" t="s">
        <v>7130</v>
      </c>
      <c r="JKX1" s="9" t="s">
        <v>7131</v>
      </c>
      <c r="JKY1" s="9" t="s">
        <v>7132</v>
      </c>
      <c r="JKZ1" s="9" t="s">
        <v>7133</v>
      </c>
      <c r="JLA1" s="9" t="s">
        <v>7134</v>
      </c>
      <c r="JLB1" s="9" t="s">
        <v>7135</v>
      </c>
      <c r="JLC1" s="9" t="s">
        <v>7136</v>
      </c>
      <c r="JLD1" s="9" t="s">
        <v>7137</v>
      </c>
      <c r="JLE1" s="9" t="s">
        <v>7138</v>
      </c>
      <c r="JLF1" s="9" t="s">
        <v>7139</v>
      </c>
      <c r="JLG1" s="9" t="s">
        <v>7140</v>
      </c>
      <c r="JLH1" s="9" t="s">
        <v>7141</v>
      </c>
      <c r="JLI1" s="9" t="s">
        <v>7142</v>
      </c>
      <c r="JLJ1" s="9" t="s">
        <v>7143</v>
      </c>
      <c r="JLK1" s="9" t="s">
        <v>7144</v>
      </c>
      <c r="JLL1" s="9" t="s">
        <v>7145</v>
      </c>
      <c r="JLM1" s="9" t="s">
        <v>7146</v>
      </c>
      <c r="JLN1" s="9" t="s">
        <v>7147</v>
      </c>
      <c r="JLO1" s="9" t="s">
        <v>7148</v>
      </c>
      <c r="JLP1" s="9" t="s">
        <v>7149</v>
      </c>
      <c r="JLQ1" s="9" t="s">
        <v>7150</v>
      </c>
      <c r="JLR1" s="9" t="s">
        <v>7151</v>
      </c>
      <c r="JLS1" s="9" t="s">
        <v>7152</v>
      </c>
      <c r="JLT1" s="9" t="s">
        <v>7153</v>
      </c>
      <c r="JLU1" s="9" t="s">
        <v>7154</v>
      </c>
      <c r="JLV1" s="9" t="s">
        <v>7155</v>
      </c>
      <c r="JLW1" s="9" t="s">
        <v>7156</v>
      </c>
      <c r="JLX1" s="9" t="s">
        <v>7157</v>
      </c>
      <c r="JLY1" s="9" t="s">
        <v>7158</v>
      </c>
      <c r="JLZ1" s="9" t="s">
        <v>7159</v>
      </c>
      <c r="JMA1" s="9" t="s">
        <v>7160</v>
      </c>
      <c r="JMB1" s="9" t="s">
        <v>7161</v>
      </c>
      <c r="JMC1" s="9" t="s">
        <v>7162</v>
      </c>
      <c r="JMD1" s="9" t="s">
        <v>7163</v>
      </c>
      <c r="JME1" s="9" t="s">
        <v>7164</v>
      </c>
      <c r="JMF1" s="9" t="s">
        <v>7165</v>
      </c>
      <c r="JMG1" s="9" t="s">
        <v>7166</v>
      </c>
      <c r="JMH1" s="9" t="s">
        <v>7167</v>
      </c>
      <c r="JMI1" s="9" t="s">
        <v>7168</v>
      </c>
      <c r="JMJ1" s="9" t="s">
        <v>7169</v>
      </c>
      <c r="JMK1" s="9" t="s">
        <v>7170</v>
      </c>
      <c r="JML1" s="9" t="s">
        <v>7171</v>
      </c>
      <c r="JMM1" s="9" t="s">
        <v>7172</v>
      </c>
      <c r="JMN1" s="9" t="s">
        <v>7173</v>
      </c>
      <c r="JMO1" s="9" t="s">
        <v>7174</v>
      </c>
      <c r="JMP1" s="9" t="s">
        <v>7175</v>
      </c>
      <c r="JMQ1" s="9" t="s">
        <v>7176</v>
      </c>
      <c r="JMR1" s="9" t="s">
        <v>7177</v>
      </c>
      <c r="JMS1" s="9" t="s">
        <v>7178</v>
      </c>
      <c r="JMT1" s="9" t="s">
        <v>7179</v>
      </c>
      <c r="JMU1" s="9" t="s">
        <v>7180</v>
      </c>
      <c r="JMV1" s="9" t="s">
        <v>7181</v>
      </c>
      <c r="JMW1" s="9" t="s">
        <v>7182</v>
      </c>
      <c r="JMX1" s="9" t="s">
        <v>7183</v>
      </c>
      <c r="JMY1" s="9" t="s">
        <v>7184</v>
      </c>
      <c r="JMZ1" s="9" t="s">
        <v>7185</v>
      </c>
      <c r="JNA1" s="9" t="s">
        <v>7186</v>
      </c>
      <c r="JNB1" s="9" t="s">
        <v>7187</v>
      </c>
      <c r="JNC1" s="9" t="s">
        <v>7188</v>
      </c>
      <c r="JND1" s="9" t="s">
        <v>7189</v>
      </c>
      <c r="JNE1" s="9" t="s">
        <v>7190</v>
      </c>
      <c r="JNF1" s="9" t="s">
        <v>7191</v>
      </c>
      <c r="JNG1" s="9" t="s">
        <v>7192</v>
      </c>
      <c r="JNH1" s="9" t="s">
        <v>7193</v>
      </c>
      <c r="JNI1" s="9" t="s">
        <v>7194</v>
      </c>
      <c r="JNJ1" s="9" t="s">
        <v>7195</v>
      </c>
      <c r="JNK1" s="9" t="s">
        <v>7196</v>
      </c>
      <c r="JNL1" s="9" t="s">
        <v>7197</v>
      </c>
      <c r="JNM1" s="9" t="s">
        <v>7198</v>
      </c>
      <c r="JNN1" s="9" t="s">
        <v>7199</v>
      </c>
      <c r="JNO1" s="9" t="s">
        <v>7200</v>
      </c>
      <c r="JNP1" s="9" t="s">
        <v>7201</v>
      </c>
      <c r="JNQ1" s="9" t="s">
        <v>7202</v>
      </c>
      <c r="JNR1" s="9" t="s">
        <v>7203</v>
      </c>
      <c r="JNS1" s="9" t="s">
        <v>7204</v>
      </c>
      <c r="JNT1" s="9" t="s">
        <v>7205</v>
      </c>
      <c r="JNU1" s="9" t="s">
        <v>7206</v>
      </c>
      <c r="JNV1" s="9" t="s">
        <v>7207</v>
      </c>
      <c r="JNW1" s="9" t="s">
        <v>7208</v>
      </c>
      <c r="JNX1" s="9" t="s">
        <v>7209</v>
      </c>
      <c r="JNY1" s="9" t="s">
        <v>7210</v>
      </c>
      <c r="JNZ1" s="9" t="s">
        <v>7211</v>
      </c>
      <c r="JOA1" s="9" t="s">
        <v>7212</v>
      </c>
      <c r="JOB1" s="9" t="s">
        <v>7213</v>
      </c>
      <c r="JOC1" s="9" t="s">
        <v>7214</v>
      </c>
      <c r="JOD1" s="9" t="s">
        <v>7215</v>
      </c>
      <c r="JOE1" s="9" t="s">
        <v>7216</v>
      </c>
      <c r="JOF1" s="9" t="s">
        <v>7217</v>
      </c>
      <c r="JOG1" s="9" t="s">
        <v>7218</v>
      </c>
      <c r="JOH1" s="9" t="s">
        <v>7219</v>
      </c>
      <c r="JOI1" s="9" t="s">
        <v>7220</v>
      </c>
      <c r="JOJ1" s="9" t="s">
        <v>7221</v>
      </c>
      <c r="JOK1" s="9" t="s">
        <v>7222</v>
      </c>
      <c r="JOL1" s="9" t="s">
        <v>7223</v>
      </c>
      <c r="JOM1" s="9" t="s">
        <v>7224</v>
      </c>
      <c r="JON1" s="9" t="s">
        <v>7225</v>
      </c>
      <c r="JOO1" s="9" t="s">
        <v>7226</v>
      </c>
      <c r="JOP1" s="9" t="s">
        <v>7227</v>
      </c>
      <c r="JOQ1" s="9" t="s">
        <v>7228</v>
      </c>
      <c r="JOR1" s="9" t="s">
        <v>7229</v>
      </c>
      <c r="JOS1" s="9" t="s">
        <v>7230</v>
      </c>
      <c r="JOT1" s="9" t="s">
        <v>7231</v>
      </c>
      <c r="JOU1" s="9" t="s">
        <v>7232</v>
      </c>
      <c r="JOV1" s="9" t="s">
        <v>7233</v>
      </c>
      <c r="JOW1" s="9" t="s">
        <v>7234</v>
      </c>
      <c r="JOX1" s="9" t="s">
        <v>7235</v>
      </c>
      <c r="JOY1" s="9" t="s">
        <v>7236</v>
      </c>
      <c r="JOZ1" s="9" t="s">
        <v>7237</v>
      </c>
      <c r="JPA1" s="9" t="s">
        <v>7238</v>
      </c>
      <c r="JPB1" s="9" t="s">
        <v>7239</v>
      </c>
      <c r="JPC1" s="9" t="s">
        <v>7240</v>
      </c>
      <c r="JPD1" s="9" t="s">
        <v>7241</v>
      </c>
      <c r="JPE1" s="9" t="s">
        <v>7242</v>
      </c>
      <c r="JPF1" s="9" t="s">
        <v>7243</v>
      </c>
      <c r="JPG1" s="9" t="s">
        <v>7244</v>
      </c>
      <c r="JPH1" s="9" t="s">
        <v>7245</v>
      </c>
      <c r="JPI1" s="9" t="s">
        <v>7246</v>
      </c>
      <c r="JPJ1" s="9" t="s">
        <v>7247</v>
      </c>
      <c r="JPK1" s="9" t="s">
        <v>7248</v>
      </c>
      <c r="JPL1" s="9" t="s">
        <v>7249</v>
      </c>
      <c r="JPM1" s="9" t="s">
        <v>7250</v>
      </c>
      <c r="JPN1" s="9" t="s">
        <v>7251</v>
      </c>
      <c r="JPO1" s="9" t="s">
        <v>7252</v>
      </c>
      <c r="JPP1" s="9" t="s">
        <v>7253</v>
      </c>
      <c r="JPQ1" s="9" t="s">
        <v>7254</v>
      </c>
      <c r="JPR1" s="9" t="s">
        <v>7255</v>
      </c>
      <c r="JPS1" s="9" t="s">
        <v>7256</v>
      </c>
      <c r="JPT1" s="9" t="s">
        <v>7257</v>
      </c>
      <c r="JPU1" s="9" t="s">
        <v>7258</v>
      </c>
      <c r="JPV1" s="9" t="s">
        <v>7259</v>
      </c>
      <c r="JPW1" s="9" t="s">
        <v>7260</v>
      </c>
      <c r="JPX1" s="9" t="s">
        <v>7261</v>
      </c>
      <c r="JPY1" s="9" t="s">
        <v>7262</v>
      </c>
      <c r="JPZ1" s="9" t="s">
        <v>7263</v>
      </c>
      <c r="JQA1" s="9" t="s">
        <v>7264</v>
      </c>
      <c r="JQB1" s="9" t="s">
        <v>7265</v>
      </c>
      <c r="JQC1" s="9" t="s">
        <v>7266</v>
      </c>
      <c r="JQD1" s="9" t="s">
        <v>7267</v>
      </c>
      <c r="JQE1" s="9" t="s">
        <v>7268</v>
      </c>
      <c r="JQF1" s="9" t="s">
        <v>7269</v>
      </c>
      <c r="JQG1" s="9" t="s">
        <v>7270</v>
      </c>
      <c r="JQH1" s="9" t="s">
        <v>7271</v>
      </c>
      <c r="JQI1" s="9" t="s">
        <v>7272</v>
      </c>
      <c r="JQJ1" s="9" t="s">
        <v>7273</v>
      </c>
      <c r="JQK1" s="9" t="s">
        <v>7274</v>
      </c>
      <c r="JQL1" s="9" t="s">
        <v>7275</v>
      </c>
      <c r="JQM1" s="9" t="s">
        <v>7276</v>
      </c>
      <c r="JQN1" s="9" t="s">
        <v>7277</v>
      </c>
      <c r="JQO1" s="9" t="s">
        <v>7278</v>
      </c>
      <c r="JQP1" s="9" t="s">
        <v>7279</v>
      </c>
      <c r="JQQ1" s="9" t="s">
        <v>7280</v>
      </c>
      <c r="JQR1" s="9" t="s">
        <v>7281</v>
      </c>
      <c r="JQS1" s="9" t="s">
        <v>7282</v>
      </c>
      <c r="JQT1" s="9" t="s">
        <v>7283</v>
      </c>
      <c r="JQU1" s="9" t="s">
        <v>7284</v>
      </c>
      <c r="JQV1" s="9" t="s">
        <v>7285</v>
      </c>
      <c r="JQW1" s="9" t="s">
        <v>7286</v>
      </c>
      <c r="JQX1" s="9" t="s">
        <v>7287</v>
      </c>
      <c r="JQY1" s="9" t="s">
        <v>7288</v>
      </c>
      <c r="JQZ1" s="9" t="s">
        <v>7289</v>
      </c>
      <c r="JRA1" s="9" t="s">
        <v>7290</v>
      </c>
      <c r="JRB1" s="9" t="s">
        <v>7291</v>
      </c>
      <c r="JRC1" s="9" t="s">
        <v>7292</v>
      </c>
      <c r="JRD1" s="9" t="s">
        <v>7293</v>
      </c>
      <c r="JRE1" s="9" t="s">
        <v>7294</v>
      </c>
      <c r="JRF1" s="9" t="s">
        <v>7295</v>
      </c>
      <c r="JRG1" s="9" t="s">
        <v>7296</v>
      </c>
      <c r="JRH1" s="9" t="s">
        <v>7297</v>
      </c>
      <c r="JRI1" s="9" t="s">
        <v>7298</v>
      </c>
      <c r="JRJ1" s="9" t="s">
        <v>7299</v>
      </c>
      <c r="JRK1" s="9" t="s">
        <v>7300</v>
      </c>
      <c r="JRL1" s="9" t="s">
        <v>7301</v>
      </c>
      <c r="JRM1" s="9" t="s">
        <v>7302</v>
      </c>
      <c r="JRN1" s="9" t="s">
        <v>7303</v>
      </c>
      <c r="JRO1" s="9" t="s">
        <v>7304</v>
      </c>
      <c r="JRP1" s="9" t="s">
        <v>7305</v>
      </c>
      <c r="JRQ1" s="9" t="s">
        <v>7306</v>
      </c>
      <c r="JRR1" s="9" t="s">
        <v>7307</v>
      </c>
      <c r="JRS1" s="9" t="s">
        <v>7308</v>
      </c>
      <c r="JRT1" s="9" t="s">
        <v>7309</v>
      </c>
      <c r="JRU1" s="9" t="s">
        <v>7310</v>
      </c>
      <c r="JRV1" s="9" t="s">
        <v>7311</v>
      </c>
      <c r="JRW1" s="9" t="s">
        <v>7312</v>
      </c>
      <c r="JRX1" s="9" t="s">
        <v>7313</v>
      </c>
      <c r="JRY1" s="9" t="s">
        <v>7314</v>
      </c>
      <c r="JRZ1" s="9" t="s">
        <v>7315</v>
      </c>
      <c r="JSA1" s="9" t="s">
        <v>7316</v>
      </c>
      <c r="JSB1" s="9" t="s">
        <v>7317</v>
      </c>
      <c r="JSC1" s="9" t="s">
        <v>7318</v>
      </c>
      <c r="JSD1" s="9" t="s">
        <v>7319</v>
      </c>
      <c r="JSE1" s="9" t="s">
        <v>7320</v>
      </c>
      <c r="JSF1" s="9" t="s">
        <v>7321</v>
      </c>
      <c r="JSG1" s="9" t="s">
        <v>7322</v>
      </c>
      <c r="JSH1" s="9" t="s">
        <v>7323</v>
      </c>
      <c r="JSI1" s="9" t="s">
        <v>7324</v>
      </c>
      <c r="JSJ1" s="9" t="s">
        <v>7325</v>
      </c>
      <c r="JSK1" s="9" t="s">
        <v>7326</v>
      </c>
      <c r="JSL1" s="9" t="s">
        <v>7327</v>
      </c>
      <c r="JSM1" s="9" t="s">
        <v>7328</v>
      </c>
      <c r="JSN1" s="9" t="s">
        <v>7329</v>
      </c>
      <c r="JSO1" s="9" t="s">
        <v>7330</v>
      </c>
      <c r="JSP1" s="9" t="s">
        <v>7331</v>
      </c>
      <c r="JSQ1" s="9" t="s">
        <v>7332</v>
      </c>
      <c r="JSR1" s="9" t="s">
        <v>7333</v>
      </c>
      <c r="JSS1" s="9" t="s">
        <v>7334</v>
      </c>
      <c r="JST1" s="9" t="s">
        <v>7335</v>
      </c>
      <c r="JSU1" s="9" t="s">
        <v>7336</v>
      </c>
      <c r="JSV1" s="9" t="s">
        <v>7337</v>
      </c>
      <c r="JSW1" s="9" t="s">
        <v>7338</v>
      </c>
      <c r="JSX1" s="9" t="s">
        <v>7339</v>
      </c>
      <c r="JSY1" s="9" t="s">
        <v>7340</v>
      </c>
      <c r="JSZ1" s="9" t="s">
        <v>7341</v>
      </c>
      <c r="JTA1" s="9" t="s">
        <v>7342</v>
      </c>
      <c r="JTB1" s="9" t="s">
        <v>7343</v>
      </c>
      <c r="JTC1" s="9" t="s">
        <v>7344</v>
      </c>
      <c r="JTD1" s="9" t="s">
        <v>7345</v>
      </c>
      <c r="JTE1" s="9" t="s">
        <v>7346</v>
      </c>
      <c r="JTF1" s="9" t="s">
        <v>7347</v>
      </c>
      <c r="JTG1" s="9" t="s">
        <v>7348</v>
      </c>
      <c r="JTH1" s="9" t="s">
        <v>7349</v>
      </c>
      <c r="JTI1" s="9" t="s">
        <v>7350</v>
      </c>
      <c r="JTJ1" s="9" t="s">
        <v>7351</v>
      </c>
      <c r="JTK1" s="9" t="s">
        <v>7352</v>
      </c>
      <c r="JTL1" s="9" t="s">
        <v>7353</v>
      </c>
      <c r="JTM1" s="9" t="s">
        <v>7354</v>
      </c>
      <c r="JTN1" s="9" t="s">
        <v>7355</v>
      </c>
      <c r="JTO1" s="9" t="s">
        <v>7356</v>
      </c>
      <c r="JTP1" s="9" t="s">
        <v>7357</v>
      </c>
      <c r="JTQ1" s="9" t="s">
        <v>7358</v>
      </c>
      <c r="JTR1" s="9" t="s">
        <v>7359</v>
      </c>
      <c r="JTS1" s="9" t="s">
        <v>7360</v>
      </c>
      <c r="JTT1" s="9" t="s">
        <v>7361</v>
      </c>
      <c r="JTU1" s="9" t="s">
        <v>7362</v>
      </c>
      <c r="JTV1" s="9" t="s">
        <v>7363</v>
      </c>
      <c r="JTW1" s="9" t="s">
        <v>7364</v>
      </c>
      <c r="JTX1" s="9" t="s">
        <v>7365</v>
      </c>
      <c r="JTY1" s="9" t="s">
        <v>7366</v>
      </c>
      <c r="JTZ1" s="9" t="s">
        <v>7367</v>
      </c>
      <c r="JUA1" s="9" t="s">
        <v>7368</v>
      </c>
      <c r="JUB1" s="9" t="s">
        <v>7369</v>
      </c>
      <c r="JUC1" s="9" t="s">
        <v>7370</v>
      </c>
      <c r="JUD1" s="9" t="s">
        <v>7371</v>
      </c>
      <c r="JUE1" s="9" t="s">
        <v>7372</v>
      </c>
      <c r="JUF1" s="9" t="s">
        <v>7373</v>
      </c>
      <c r="JUG1" s="9" t="s">
        <v>7374</v>
      </c>
      <c r="JUH1" s="9" t="s">
        <v>7375</v>
      </c>
      <c r="JUI1" s="9" t="s">
        <v>7376</v>
      </c>
      <c r="JUJ1" s="9" t="s">
        <v>7377</v>
      </c>
      <c r="JUK1" s="9" t="s">
        <v>7378</v>
      </c>
      <c r="JUL1" s="9" t="s">
        <v>7379</v>
      </c>
      <c r="JUM1" s="9" t="s">
        <v>7380</v>
      </c>
      <c r="JUN1" s="9" t="s">
        <v>7381</v>
      </c>
      <c r="JUO1" s="9" t="s">
        <v>7382</v>
      </c>
      <c r="JUP1" s="9" t="s">
        <v>7383</v>
      </c>
      <c r="JUQ1" s="9" t="s">
        <v>7384</v>
      </c>
      <c r="JUR1" s="9" t="s">
        <v>7385</v>
      </c>
      <c r="JUS1" s="9" t="s">
        <v>7386</v>
      </c>
      <c r="JUT1" s="9" t="s">
        <v>7387</v>
      </c>
      <c r="JUU1" s="9" t="s">
        <v>7388</v>
      </c>
      <c r="JUV1" s="9" t="s">
        <v>7389</v>
      </c>
      <c r="JUW1" s="9" t="s">
        <v>7390</v>
      </c>
      <c r="JUX1" s="9" t="s">
        <v>7391</v>
      </c>
      <c r="JUY1" s="9" t="s">
        <v>7392</v>
      </c>
      <c r="JUZ1" s="9" t="s">
        <v>7393</v>
      </c>
      <c r="JVA1" s="9" t="s">
        <v>7394</v>
      </c>
      <c r="JVB1" s="9" t="s">
        <v>7395</v>
      </c>
      <c r="JVC1" s="9" t="s">
        <v>7396</v>
      </c>
      <c r="JVD1" s="9" t="s">
        <v>7397</v>
      </c>
      <c r="JVE1" s="9" t="s">
        <v>7398</v>
      </c>
      <c r="JVF1" s="9" t="s">
        <v>7399</v>
      </c>
      <c r="JVG1" s="9" t="s">
        <v>7400</v>
      </c>
      <c r="JVH1" s="9" t="s">
        <v>7401</v>
      </c>
      <c r="JVI1" s="9" t="s">
        <v>7402</v>
      </c>
      <c r="JVJ1" s="9" t="s">
        <v>7403</v>
      </c>
      <c r="JVK1" s="9" t="s">
        <v>7404</v>
      </c>
      <c r="JVL1" s="9" t="s">
        <v>7405</v>
      </c>
      <c r="JVM1" s="9" t="s">
        <v>7406</v>
      </c>
      <c r="JVN1" s="9" t="s">
        <v>7407</v>
      </c>
      <c r="JVO1" s="9" t="s">
        <v>7408</v>
      </c>
      <c r="JVP1" s="9" t="s">
        <v>7409</v>
      </c>
      <c r="JVQ1" s="9" t="s">
        <v>7410</v>
      </c>
      <c r="JVR1" s="9" t="s">
        <v>7411</v>
      </c>
      <c r="JVS1" s="9" t="s">
        <v>7412</v>
      </c>
      <c r="JVT1" s="9" t="s">
        <v>7413</v>
      </c>
      <c r="JVU1" s="9" t="s">
        <v>7414</v>
      </c>
      <c r="JVV1" s="9" t="s">
        <v>7415</v>
      </c>
      <c r="JVW1" s="9" t="s">
        <v>7416</v>
      </c>
      <c r="JVX1" s="9" t="s">
        <v>7417</v>
      </c>
      <c r="JVY1" s="9" t="s">
        <v>7418</v>
      </c>
      <c r="JVZ1" s="9" t="s">
        <v>7419</v>
      </c>
      <c r="JWA1" s="9" t="s">
        <v>7420</v>
      </c>
      <c r="JWB1" s="9" t="s">
        <v>7421</v>
      </c>
      <c r="JWC1" s="9" t="s">
        <v>7422</v>
      </c>
      <c r="JWD1" s="9" t="s">
        <v>7423</v>
      </c>
      <c r="JWE1" s="9" t="s">
        <v>7424</v>
      </c>
      <c r="JWF1" s="9" t="s">
        <v>7425</v>
      </c>
      <c r="JWG1" s="9" t="s">
        <v>7426</v>
      </c>
      <c r="JWH1" s="9" t="s">
        <v>7427</v>
      </c>
      <c r="JWI1" s="9" t="s">
        <v>7428</v>
      </c>
      <c r="JWJ1" s="9" t="s">
        <v>7429</v>
      </c>
      <c r="JWK1" s="9" t="s">
        <v>7430</v>
      </c>
      <c r="JWL1" s="9" t="s">
        <v>7431</v>
      </c>
      <c r="JWM1" s="9" t="s">
        <v>7432</v>
      </c>
      <c r="JWN1" s="9" t="s">
        <v>7433</v>
      </c>
      <c r="JWO1" s="9" t="s">
        <v>7434</v>
      </c>
      <c r="JWP1" s="9" t="s">
        <v>7435</v>
      </c>
      <c r="JWQ1" s="9" t="s">
        <v>7436</v>
      </c>
      <c r="JWR1" s="9" t="s">
        <v>7437</v>
      </c>
      <c r="JWS1" s="9" t="s">
        <v>7438</v>
      </c>
      <c r="JWT1" s="9" t="s">
        <v>7439</v>
      </c>
      <c r="JWU1" s="9" t="s">
        <v>7440</v>
      </c>
      <c r="JWV1" s="9" t="s">
        <v>7441</v>
      </c>
      <c r="JWW1" s="9" t="s">
        <v>7442</v>
      </c>
      <c r="JWX1" s="9" t="s">
        <v>7443</v>
      </c>
      <c r="JWY1" s="9" t="s">
        <v>7444</v>
      </c>
      <c r="JWZ1" s="9" t="s">
        <v>7445</v>
      </c>
      <c r="JXA1" s="9" t="s">
        <v>7446</v>
      </c>
      <c r="JXB1" s="9" t="s">
        <v>7447</v>
      </c>
      <c r="JXC1" s="9" t="s">
        <v>7448</v>
      </c>
      <c r="JXD1" s="9" t="s">
        <v>7449</v>
      </c>
      <c r="JXE1" s="9" t="s">
        <v>7450</v>
      </c>
      <c r="JXF1" s="9" t="s">
        <v>7451</v>
      </c>
      <c r="JXG1" s="9" t="s">
        <v>7452</v>
      </c>
      <c r="JXH1" s="9" t="s">
        <v>7453</v>
      </c>
      <c r="JXI1" s="9" t="s">
        <v>7454</v>
      </c>
      <c r="JXJ1" s="9" t="s">
        <v>7455</v>
      </c>
      <c r="JXK1" s="9" t="s">
        <v>7456</v>
      </c>
      <c r="JXL1" s="9" t="s">
        <v>7457</v>
      </c>
      <c r="JXM1" s="9" t="s">
        <v>7458</v>
      </c>
      <c r="JXN1" s="9" t="s">
        <v>7459</v>
      </c>
      <c r="JXO1" s="9" t="s">
        <v>7460</v>
      </c>
      <c r="JXP1" s="9" t="s">
        <v>7461</v>
      </c>
      <c r="JXQ1" s="9" t="s">
        <v>7462</v>
      </c>
      <c r="JXR1" s="9" t="s">
        <v>7463</v>
      </c>
      <c r="JXS1" s="9" t="s">
        <v>7464</v>
      </c>
      <c r="JXT1" s="9" t="s">
        <v>7465</v>
      </c>
      <c r="JXU1" s="9" t="s">
        <v>7466</v>
      </c>
      <c r="JXV1" s="9" t="s">
        <v>7467</v>
      </c>
      <c r="JXW1" s="9" t="s">
        <v>7468</v>
      </c>
      <c r="JXX1" s="9" t="s">
        <v>7469</v>
      </c>
      <c r="JXY1" s="9" t="s">
        <v>7470</v>
      </c>
      <c r="JXZ1" s="9" t="s">
        <v>7471</v>
      </c>
      <c r="JYA1" s="9" t="s">
        <v>7472</v>
      </c>
      <c r="JYB1" s="9" t="s">
        <v>7473</v>
      </c>
      <c r="JYC1" s="9" t="s">
        <v>7474</v>
      </c>
      <c r="JYD1" s="9" t="s">
        <v>7475</v>
      </c>
      <c r="JYE1" s="9" t="s">
        <v>7476</v>
      </c>
      <c r="JYF1" s="9" t="s">
        <v>7477</v>
      </c>
      <c r="JYG1" s="9" t="s">
        <v>7478</v>
      </c>
      <c r="JYH1" s="9" t="s">
        <v>7479</v>
      </c>
      <c r="JYI1" s="9" t="s">
        <v>7480</v>
      </c>
      <c r="JYJ1" s="9" t="s">
        <v>7481</v>
      </c>
      <c r="JYK1" s="9" t="s">
        <v>7482</v>
      </c>
      <c r="JYL1" s="9" t="s">
        <v>7483</v>
      </c>
      <c r="JYM1" s="9" t="s">
        <v>7484</v>
      </c>
      <c r="JYN1" s="9" t="s">
        <v>7485</v>
      </c>
      <c r="JYO1" s="9" t="s">
        <v>7486</v>
      </c>
      <c r="JYP1" s="9" t="s">
        <v>7487</v>
      </c>
      <c r="JYQ1" s="9" t="s">
        <v>7488</v>
      </c>
      <c r="JYR1" s="9" t="s">
        <v>7489</v>
      </c>
      <c r="JYS1" s="9" t="s">
        <v>7490</v>
      </c>
      <c r="JYT1" s="9" t="s">
        <v>7491</v>
      </c>
      <c r="JYU1" s="9" t="s">
        <v>7492</v>
      </c>
      <c r="JYV1" s="9" t="s">
        <v>7493</v>
      </c>
      <c r="JYW1" s="9" t="s">
        <v>7494</v>
      </c>
      <c r="JYX1" s="9" t="s">
        <v>7495</v>
      </c>
      <c r="JYY1" s="9" t="s">
        <v>7496</v>
      </c>
      <c r="JYZ1" s="9" t="s">
        <v>7497</v>
      </c>
      <c r="JZA1" s="9" t="s">
        <v>7498</v>
      </c>
      <c r="JZB1" s="9" t="s">
        <v>7499</v>
      </c>
      <c r="JZC1" s="9" t="s">
        <v>7500</v>
      </c>
      <c r="JZD1" s="9" t="s">
        <v>7501</v>
      </c>
      <c r="JZE1" s="9" t="s">
        <v>7502</v>
      </c>
      <c r="JZF1" s="9" t="s">
        <v>7503</v>
      </c>
      <c r="JZG1" s="9" t="s">
        <v>7504</v>
      </c>
      <c r="JZH1" s="9" t="s">
        <v>7505</v>
      </c>
      <c r="JZI1" s="9" t="s">
        <v>7506</v>
      </c>
      <c r="JZJ1" s="9" t="s">
        <v>7507</v>
      </c>
      <c r="JZK1" s="9" t="s">
        <v>7508</v>
      </c>
      <c r="JZL1" s="9" t="s">
        <v>7509</v>
      </c>
      <c r="JZM1" s="9" t="s">
        <v>7510</v>
      </c>
      <c r="JZN1" s="9" t="s">
        <v>7511</v>
      </c>
      <c r="JZO1" s="9" t="s">
        <v>7512</v>
      </c>
      <c r="JZP1" s="9" t="s">
        <v>7513</v>
      </c>
      <c r="JZQ1" s="9" t="s">
        <v>7514</v>
      </c>
      <c r="JZR1" s="9" t="s">
        <v>7515</v>
      </c>
      <c r="JZS1" s="9" t="s">
        <v>7516</v>
      </c>
      <c r="JZT1" s="9" t="s">
        <v>7517</v>
      </c>
      <c r="JZU1" s="9" t="s">
        <v>7518</v>
      </c>
      <c r="JZV1" s="9" t="s">
        <v>7519</v>
      </c>
      <c r="JZW1" s="9" t="s">
        <v>7520</v>
      </c>
      <c r="JZX1" s="9" t="s">
        <v>7521</v>
      </c>
      <c r="JZY1" s="9" t="s">
        <v>7522</v>
      </c>
      <c r="JZZ1" s="9" t="s">
        <v>7523</v>
      </c>
      <c r="KAA1" s="9" t="s">
        <v>7524</v>
      </c>
      <c r="KAB1" s="9" t="s">
        <v>7525</v>
      </c>
      <c r="KAC1" s="9" t="s">
        <v>7526</v>
      </c>
      <c r="KAD1" s="9" t="s">
        <v>7527</v>
      </c>
      <c r="KAE1" s="9" t="s">
        <v>7528</v>
      </c>
      <c r="KAF1" s="9" t="s">
        <v>7529</v>
      </c>
      <c r="KAG1" s="9" t="s">
        <v>7530</v>
      </c>
      <c r="KAH1" s="9" t="s">
        <v>7531</v>
      </c>
      <c r="KAI1" s="9" t="s">
        <v>7532</v>
      </c>
      <c r="KAJ1" s="9" t="s">
        <v>7533</v>
      </c>
      <c r="KAK1" s="9" t="s">
        <v>7534</v>
      </c>
      <c r="KAL1" s="9" t="s">
        <v>7535</v>
      </c>
      <c r="KAM1" s="9" t="s">
        <v>7536</v>
      </c>
      <c r="KAN1" s="9" t="s">
        <v>7537</v>
      </c>
      <c r="KAO1" s="9" t="s">
        <v>7538</v>
      </c>
      <c r="KAP1" s="9" t="s">
        <v>7539</v>
      </c>
      <c r="KAQ1" s="9" t="s">
        <v>7540</v>
      </c>
      <c r="KAR1" s="9" t="s">
        <v>7541</v>
      </c>
      <c r="KAS1" s="9" t="s">
        <v>7542</v>
      </c>
      <c r="KAT1" s="9" t="s">
        <v>7543</v>
      </c>
      <c r="KAU1" s="9" t="s">
        <v>7544</v>
      </c>
      <c r="KAV1" s="9" t="s">
        <v>7545</v>
      </c>
      <c r="KAW1" s="9" t="s">
        <v>7546</v>
      </c>
      <c r="KAX1" s="9" t="s">
        <v>7547</v>
      </c>
      <c r="KAY1" s="9" t="s">
        <v>7548</v>
      </c>
      <c r="KAZ1" s="9" t="s">
        <v>7549</v>
      </c>
      <c r="KBA1" s="9" t="s">
        <v>7550</v>
      </c>
      <c r="KBB1" s="9" t="s">
        <v>7551</v>
      </c>
      <c r="KBC1" s="9" t="s">
        <v>7552</v>
      </c>
      <c r="KBD1" s="9" t="s">
        <v>7553</v>
      </c>
      <c r="KBE1" s="9" t="s">
        <v>7554</v>
      </c>
      <c r="KBF1" s="9" t="s">
        <v>7555</v>
      </c>
      <c r="KBG1" s="9" t="s">
        <v>7556</v>
      </c>
      <c r="KBH1" s="9" t="s">
        <v>7557</v>
      </c>
      <c r="KBI1" s="9" t="s">
        <v>7558</v>
      </c>
      <c r="KBJ1" s="9" t="s">
        <v>7559</v>
      </c>
      <c r="KBK1" s="9" t="s">
        <v>7560</v>
      </c>
      <c r="KBL1" s="9" t="s">
        <v>7561</v>
      </c>
      <c r="KBM1" s="9" t="s">
        <v>7562</v>
      </c>
      <c r="KBN1" s="9" t="s">
        <v>7563</v>
      </c>
      <c r="KBO1" s="9" t="s">
        <v>7564</v>
      </c>
      <c r="KBP1" s="9" t="s">
        <v>7565</v>
      </c>
      <c r="KBQ1" s="9" t="s">
        <v>7566</v>
      </c>
      <c r="KBR1" s="9" t="s">
        <v>7567</v>
      </c>
      <c r="KBS1" s="9" t="s">
        <v>7568</v>
      </c>
      <c r="KBT1" s="9" t="s">
        <v>7569</v>
      </c>
      <c r="KBU1" s="9" t="s">
        <v>7570</v>
      </c>
      <c r="KBV1" s="9" t="s">
        <v>7571</v>
      </c>
      <c r="KBW1" s="9" t="s">
        <v>7572</v>
      </c>
      <c r="KBX1" s="9" t="s">
        <v>7573</v>
      </c>
      <c r="KBY1" s="9" t="s">
        <v>7574</v>
      </c>
      <c r="KBZ1" s="9" t="s">
        <v>7575</v>
      </c>
      <c r="KCA1" s="9" t="s">
        <v>7576</v>
      </c>
      <c r="KCB1" s="9" t="s">
        <v>7577</v>
      </c>
      <c r="KCC1" s="9" t="s">
        <v>7578</v>
      </c>
      <c r="KCD1" s="9" t="s">
        <v>7579</v>
      </c>
      <c r="KCE1" s="9" t="s">
        <v>7580</v>
      </c>
      <c r="KCF1" s="9" t="s">
        <v>7581</v>
      </c>
      <c r="KCG1" s="9" t="s">
        <v>7582</v>
      </c>
      <c r="KCH1" s="9" t="s">
        <v>7583</v>
      </c>
      <c r="KCI1" s="9" t="s">
        <v>7584</v>
      </c>
      <c r="KCJ1" s="9" t="s">
        <v>7585</v>
      </c>
      <c r="KCK1" s="9" t="s">
        <v>7586</v>
      </c>
      <c r="KCL1" s="9" t="s">
        <v>7587</v>
      </c>
      <c r="KCM1" s="9" t="s">
        <v>7588</v>
      </c>
      <c r="KCN1" s="9" t="s">
        <v>7589</v>
      </c>
      <c r="KCO1" s="9" t="s">
        <v>7590</v>
      </c>
      <c r="KCP1" s="9" t="s">
        <v>7591</v>
      </c>
      <c r="KCQ1" s="9" t="s">
        <v>7592</v>
      </c>
      <c r="KCR1" s="9" t="s">
        <v>7593</v>
      </c>
      <c r="KCS1" s="9" t="s">
        <v>7594</v>
      </c>
      <c r="KCT1" s="9" t="s">
        <v>7595</v>
      </c>
      <c r="KCU1" s="9" t="s">
        <v>7596</v>
      </c>
      <c r="KCV1" s="9" t="s">
        <v>7597</v>
      </c>
      <c r="KCW1" s="9" t="s">
        <v>7598</v>
      </c>
      <c r="KCX1" s="9" t="s">
        <v>7599</v>
      </c>
      <c r="KCY1" s="9" t="s">
        <v>7600</v>
      </c>
      <c r="KCZ1" s="9" t="s">
        <v>7601</v>
      </c>
      <c r="KDA1" s="9" t="s">
        <v>7602</v>
      </c>
      <c r="KDB1" s="9" t="s">
        <v>7603</v>
      </c>
      <c r="KDC1" s="9" t="s">
        <v>7604</v>
      </c>
      <c r="KDD1" s="9" t="s">
        <v>7605</v>
      </c>
      <c r="KDE1" s="9" t="s">
        <v>7606</v>
      </c>
      <c r="KDF1" s="9" t="s">
        <v>7607</v>
      </c>
      <c r="KDG1" s="9" t="s">
        <v>7608</v>
      </c>
      <c r="KDH1" s="9" t="s">
        <v>7609</v>
      </c>
      <c r="KDI1" s="9" t="s">
        <v>7610</v>
      </c>
      <c r="KDJ1" s="9" t="s">
        <v>7611</v>
      </c>
      <c r="KDK1" s="9" t="s">
        <v>7612</v>
      </c>
      <c r="KDL1" s="9" t="s">
        <v>7613</v>
      </c>
      <c r="KDM1" s="9" t="s">
        <v>7614</v>
      </c>
      <c r="KDN1" s="9" t="s">
        <v>7615</v>
      </c>
      <c r="KDO1" s="9" t="s">
        <v>7616</v>
      </c>
      <c r="KDP1" s="9" t="s">
        <v>7617</v>
      </c>
      <c r="KDQ1" s="9" t="s">
        <v>7618</v>
      </c>
      <c r="KDR1" s="9" t="s">
        <v>7619</v>
      </c>
      <c r="KDS1" s="9" t="s">
        <v>7620</v>
      </c>
      <c r="KDT1" s="9" t="s">
        <v>7621</v>
      </c>
      <c r="KDU1" s="9" t="s">
        <v>7622</v>
      </c>
      <c r="KDV1" s="9" t="s">
        <v>7623</v>
      </c>
      <c r="KDW1" s="9" t="s">
        <v>7624</v>
      </c>
      <c r="KDX1" s="9" t="s">
        <v>7625</v>
      </c>
      <c r="KDY1" s="9" t="s">
        <v>7626</v>
      </c>
      <c r="KDZ1" s="9" t="s">
        <v>7627</v>
      </c>
      <c r="KEA1" s="9" t="s">
        <v>7628</v>
      </c>
      <c r="KEB1" s="9" t="s">
        <v>7629</v>
      </c>
      <c r="KEC1" s="9" t="s">
        <v>7630</v>
      </c>
      <c r="KED1" s="9" t="s">
        <v>7631</v>
      </c>
      <c r="KEE1" s="9" t="s">
        <v>7632</v>
      </c>
      <c r="KEF1" s="9" t="s">
        <v>7633</v>
      </c>
      <c r="KEG1" s="9" t="s">
        <v>7634</v>
      </c>
      <c r="KEH1" s="9" t="s">
        <v>7635</v>
      </c>
      <c r="KEI1" s="9" t="s">
        <v>7636</v>
      </c>
      <c r="KEJ1" s="9" t="s">
        <v>7637</v>
      </c>
      <c r="KEK1" s="9" t="s">
        <v>7638</v>
      </c>
      <c r="KEL1" s="9" t="s">
        <v>7639</v>
      </c>
      <c r="KEM1" s="9" t="s">
        <v>7640</v>
      </c>
      <c r="KEN1" s="9" t="s">
        <v>7641</v>
      </c>
      <c r="KEO1" s="9" t="s">
        <v>7642</v>
      </c>
      <c r="KEP1" s="9" t="s">
        <v>7643</v>
      </c>
      <c r="KEQ1" s="9" t="s">
        <v>7644</v>
      </c>
      <c r="KER1" s="9" t="s">
        <v>7645</v>
      </c>
      <c r="KES1" s="9" t="s">
        <v>7646</v>
      </c>
      <c r="KET1" s="9" t="s">
        <v>7647</v>
      </c>
      <c r="KEU1" s="9" t="s">
        <v>7648</v>
      </c>
      <c r="KEV1" s="9" t="s">
        <v>7649</v>
      </c>
      <c r="KEW1" s="9" t="s">
        <v>7650</v>
      </c>
      <c r="KEX1" s="9" t="s">
        <v>7651</v>
      </c>
      <c r="KEY1" s="9" t="s">
        <v>7652</v>
      </c>
      <c r="KEZ1" s="9" t="s">
        <v>7653</v>
      </c>
      <c r="KFA1" s="9" t="s">
        <v>7654</v>
      </c>
      <c r="KFB1" s="9" t="s">
        <v>7655</v>
      </c>
      <c r="KFC1" s="9" t="s">
        <v>7656</v>
      </c>
      <c r="KFD1" s="9" t="s">
        <v>7657</v>
      </c>
      <c r="KFE1" s="9" t="s">
        <v>7658</v>
      </c>
      <c r="KFF1" s="9" t="s">
        <v>7659</v>
      </c>
      <c r="KFG1" s="9" t="s">
        <v>7660</v>
      </c>
      <c r="KFH1" s="9" t="s">
        <v>7661</v>
      </c>
      <c r="KFI1" s="9" t="s">
        <v>7662</v>
      </c>
      <c r="KFJ1" s="9" t="s">
        <v>7663</v>
      </c>
      <c r="KFK1" s="9" t="s">
        <v>7664</v>
      </c>
      <c r="KFL1" s="9" t="s">
        <v>7665</v>
      </c>
      <c r="KFM1" s="9" t="s">
        <v>7666</v>
      </c>
      <c r="KFN1" s="9" t="s">
        <v>7667</v>
      </c>
      <c r="KFO1" s="9" t="s">
        <v>7668</v>
      </c>
      <c r="KFP1" s="9" t="s">
        <v>7669</v>
      </c>
      <c r="KFQ1" s="9" t="s">
        <v>7670</v>
      </c>
      <c r="KFR1" s="9" t="s">
        <v>7671</v>
      </c>
      <c r="KFS1" s="9" t="s">
        <v>7672</v>
      </c>
      <c r="KFT1" s="9" t="s">
        <v>7673</v>
      </c>
      <c r="KFU1" s="9" t="s">
        <v>7674</v>
      </c>
      <c r="KFV1" s="9" t="s">
        <v>7675</v>
      </c>
      <c r="KFW1" s="9" t="s">
        <v>7676</v>
      </c>
      <c r="KFX1" s="9" t="s">
        <v>7677</v>
      </c>
      <c r="KFY1" s="9" t="s">
        <v>7678</v>
      </c>
      <c r="KFZ1" s="9" t="s">
        <v>7679</v>
      </c>
      <c r="KGA1" s="9" t="s">
        <v>7680</v>
      </c>
      <c r="KGB1" s="9" t="s">
        <v>7681</v>
      </c>
      <c r="KGC1" s="9" t="s">
        <v>7682</v>
      </c>
      <c r="KGD1" s="9" t="s">
        <v>7683</v>
      </c>
      <c r="KGE1" s="9" t="s">
        <v>7684</v>
      </c>
      <c r="KGF1" s="9" t="s">
        <v>7685</v>
      </c>
      <c r="KGG1" s="9" t="s">
        <v>7686</v>
      </c>
      <c r="KGH1" s="9" t="s">
        <v>7687</v>
      </c>
      <c r="KGI1" s="9" t="s">
        <v>7688</v>
      </c>
      <c r="KGJ1" s="9" t="s">
        <v>7689</v>
      </c>
      <c r="KGK1" s="9" t="s">
        <v>7690</v>
      </c>
      <c r="KGL1" s="9" t="s">
        <v>7691</v>
      </c>
      <c r="KGM1" s="9" t="s">
        <v>7692</v>
      </c>
      <c r="KGN1" s="9" t="s">
        <v>7693</v>
      </c>
      <c r="KGO1" s="9" t="s">
        <v>7694</v>
      </c>
      <c r="KGP1" s="9" t="s">
        <v>7695</v>
      </c>
      <c r="KGQ1" s="9" t="s">
        <v>7696</v>
      </c>
      <c r="KGR1" s="9" t="s">
        <v>7697</v>
      </c>
      <c r="KGS1" s="9" t="s">
        <v>7698</v>
      </c>
      <c r="KGT1" s="9" t="s">
        <v>7699</v>
      </c>
      <c r="KGU1" s="9" t="s">
        <v>7700</v>
      </c>
      <c r="KGV1" s="9" t="s">
        <v>7701</v>
      </c>
      <c r="KGW1" s="9" t="s">
        <v>7702</v>
      </c>
      <c r="KGX1" s="9" t="s">
        <v>7703</v>
      </c>
      <c r="KGY1" s="9" t="s">
        <v>7704</v>
      </c>
      <c r="KGZ1" s="9" t="s">
        <v>7705</v>
      </c>
      <c r="KHA1" s="9" t="s">
        <v>7706</v>
      </c>
      <c r="KHB1" s="9" t="s">
        <v>7707</v>
      </c>
      <c r="KHC1" s="9" t="s">
        <v>7708</v>
      </c>
      <c r="KHD1" s="9" t="s">
        <v>7709</v>
      </c>
      <c r="KHE1" s="9" t="s">
        <v>7710</v>
      </c>
      <c r="KHF1" s="9" t="s">
        <v>7711</v>
      </c>
      <c r="KHG1" s="9" t="s">
        <v>7712</v>
      </c>
      <c r="KHH1" s="9" t="s">
        <v>7713</v>
      </c>
      <c r="KHI1" s="9" t="s">
        <v>7714</v>
      </c>
      <c r="KHJ1" s="9" t="s">
        <v>7715</v>
      </c>
      <c r="KHK1" s="9" t="s">
        <v>7716</v>
      </c>
      <c r="KHL1" s="9" t="s">
        <v>7717</v>
      </c>
      <c r="KHM1" s="9" t="s">
        <v>7718</v>
      </c>
      <c r="KHN1" s="9" t="s">
        <v>7719</v>
      </c>
      <c r="KHO1" s="9" t="s">
        <v>7720</v>
      </c>
      <c r="KHP1" s="9" t="s">
        <v>7721</v>
      </c>
      <c r="KHQ1" s="9" t="s">
        <v>7722</v>
      </c>
      <c r="KHR1" s="9" t="s">
        <v>7723</v>
      </c>
      <c r="KHS1" s="9" t="s">
        <v>7724</v>
      </c>
      <c r="KHT1" s="9" t="s">
        <v>7725</v>
      </c>
      <c r="KHU1" s="9" t="s">
        <v>7726</v>
      </c>
      <c r="KHV1" s="9" t="s">
        <v>7727</v>
      </c>
      <c r="KHW1" s="9" t="s">
        <v>7728</v>
      </c>
      <c r="KHX1" s="9" t="s">
        <v>7729</v>
      </c>
      <c r="KHY1" s="9" t="s">
        <v>7730</v>
      </c>
      <c r="KHZ1" s="9" t="s">
        <v>7731</v>
      </c>
      <c r="KIA1" s="9" t="s">
        <v>7732</v>
      </c>
      <c r="KIB1" s="9" t="s">
        <v>7733</v>
      </c>
      <c r="KIC1" s="9" t="s">
        <v>7734</v>
      </c>
      <c r="KID1" s="9" t="s">
        <v>7735</v>
      </c>
      <c r="KIE1" s="9" t="s">
        <v>7736</v>
      </c>
      <c r="KIF1" s="9" t="s">
        <v>7737</v>
      </c>
      <c r="KIG1" s="9" t="s">
        <v>7738</v>
      </c>
      <c r="KIH1" s="9" t="s">
        <v>7739</v>
      </c>
      <c r="KII1" s="9" t="s">
        <v>7740</v>
      </c>
      <c r="KIJ1" s="9" t="s">
        <v>7741</v>
      </c>
      <c r="KIK1" s="9" t="s">
        <v>7742</v>
      </c>
      <c r="KIL1" s="9" t="s">
        <v>7743</v>
      </c>
      <c r="KIM1" s="9" t="s">
        <v>7744</v>
      </c>
      <c r="KIN1" s="9" t="s">
        <v>7745</v>
      </c>
      <c r="KIO1" s="9" t="s">
        <v>7746</v>
      </c>
      <c r="KIP1" s="9" t="s">
        <v>7747</v>
      </c>
      <c r="KIQ1" s="9" t="s">
        <v>7748</v>
      </c>
      <c r="KIR1" s="9" t="s">
        <v>7749</v>
      </c>
      <c r="KIS1" s="9" t="s">
        <v>7750</v>
      </c>
      <c r="KIT1" s="9" t="s">
        <v>7751</v>
      </c>
      <c r="KIU1" s="9" t="s">
        <v>7752</v>
      </c>
      <c r="KIV1" s="9" t="s">
        <v>7753</v>
      </c>
      <c r="KIW1" s="9" t="s">
        <v>7754</v>
      </c>
      <c r="KIX1" s="9" t="s">
        <v>7755</v>
      </c>
      <c r="KIY1" s="9" t="s">
        <v>7756</v>
      </c>
      <c r="KIZ1" s="9" t="s">
        <v>7757</v>
      </c>
      <c r="KJA1" s="9" t="s">
        <v>7758</v>
      </c>
      <c r="KJB1" s="9" t="s">
        <v>7759</v>
      </c>
      <c r="KJC1" s="9" t="s">
        <v>7760</v>
      </c>
      <c r="KJD1" s="9" t="s">
        <v>7761</v>
      </c>
      <c r="KJE1" s="9" t="s">
        <v>7762</v>
      </c>
      <c r="KJF1" s="9" t="s">
        <v>7763</v>
      </c>
      <c r="KJG1" s="9" t="s">
        <v>7764</v>
      </c>
      <c r="KJH1" s="9" t="s">
        <v>7765</v>
      </c>
      <c r="KJI1" s="9" t="s">
        <v>7766</v>
      </c>
      <c r="KJJ1" s="9" t="s">
        <v>7767</v>
      </c>
      <c r="KJK1" s="9" t="s">
        <v>7768</v>
      </c>
      <c r="KJL1" s="9" t="s">
        <v>7769</v>
      </c>
      <c r="KJM1" s="9" t="s">
        <v>7770</v>
      </c>
      <c r="KJN1" s="9" t="s">
        <v>7771</v>
      </c>
      <c r="KJO1" s="9" t="s">
        <v>7772</v>
      </c>
      <c r="KJP1" s="9" t="s">
        <v>7773</v>
      </c>
      <c r="KJQ1" s="9" t="s">
        <v>7774</v>
      </c>
      <c r="KJR1" s="9" t="s">
        <v>7775</v>
      </c>
      <c r="KJS1" s="9" t="s">
        <v>7776</v>
      </c>
      <c r="KJT1" s="9" t="s">
        <v>7777</v>
      </c>
      <c r="KJU1" s="9" t="s">
        <v>7778</v>
      </c>
      <c r="KJV1" s="9" t="s">
        <v>7779</v>
      </c>
      <c r="KJW1" s="9" t="s">
        <v>7780</v>
      </c>
      <c r="KJX1" s="9" t="s">
        <v>7781</v>
      </c>
      <c r="KJY1" s="9" t="s">
        <v>7782</v>
      </c>
      <c r="KJZ1" s="9" t="s">
        <v>7783</v>
      </c>
      <c r="KKA1" s="9" t="s">
        <v>7784</v>
      </c>
      <c r="KKB1" s="9" t="s">
        <v>7785</v>
      </c>
      <c r="KKC1" s="9" t="s">
        <v>7786</v>
      </c>
      <c r="KKD1" s="9" t="s">
        <v>7787</v>
      </c>
      <c r="KKE1" s="9" t="s">
        <v>7788</v>
      </c>
      <c r="KKF1" s="9" t="s">
        <v>7789</v>
      </c>
      <c r="KKG1" s="9" t="s">
        <v>7790</v>
      </c>
      <c r="KKH1" s="9" t="s">
        <v>7791</v>
      </c>
      <c r="KKI1" s="9" t="s">
        <v>7792</v>
      </c>
      <c r="KKJ1" s="9" t="s">
        <v>7793</v>
      </c>
      <c r="KKK1" s="9" t="s">
        <v>7794</v>
      </c>
      <c r="KKL1" s="9" t="s">
        <v>7795</v>
      </c>
      <c r="KKM1" s="9" t="s">
        <v>7796</v>
      </c>
      <c r="KKN1" s="9" t="s">
        <v>7797</v>
      </c>
      <c r="KKO1" s="9" t="s">
        <v>7798</v>
      </c>
      <c r="KKP1" s="9" t="s">
        <v>7799</v>
      </c>
      <c r="KKQ1" s="9" t="s">
        <v>7800</v>
      </c>
      <c r="KKR1" s="9" t="s">
        <v>7801</v>
      </c>
      <c r="KKS1" s="9" t="s">
        <v>7802</v>
      </c>
      <c r="KKT1" s="9" t="s">
        <v>7803</v>
      </c>
      <c r="KKU1" s="9" t="s">
        <v>7804</v>
      </c>
      <c r="KKV1" s="9" t="s">
        <v>7805</v>
      </c>
      <c r="KKW1" s="9" t="s">
        <v>7806</v>
      </c>
      <c r="KKX1" s="9" t="s">
        <v>7807</v>
      </c>
      <c r="KKY1" s="9" t="s">
        <v>7808</v>
      </c>
      <c r="KKZ1" s="9" t="s">
        <v>7809</v>
      </c>
      <c r="KLA1" s="9" t="s">
        <v>7810</v>
      </c>
      <c r="KLB1" s="9" t="s">
        <v>7811</v>
      </c>
      <c r="KLC1" s="9" t="s">
        <v>7812</v>
      </c>
      <c r="KLD1" s="9" t="s">
        <v>7813</v>
      </c>
      <c r="KLE1" s="9" t="s">
        <v>7814</v>
      </c>
      <c r="KLF1" s="9" t="s">
        <v>7815</v>
      </c>
      <c r="KLG1" s="9" t="s">
        <v>7816</v>
      </c>
      <c r="KLH1" s="9" t="s">
        <v>7817</v>
      </c>
      <c r="KLI1" s="9" t="s">
        <v>7818</v>
      </c>
      <c r="KLJ1" s="9" t="s">
        <v>7819</v>
      </c>
      <c r="KLK1" s="9" t="s">
        <v>7820</v>
      </c>
      <c r="KLL1" s="9" t="s">
        <v>7821</v>
      </c>
      <c r="KLM1" s="9" t="s">
        <v>7822</v>
      </c>
      <c r="KLN1" s="9" t="s">
        <v>7823</v>
      </c>
      <c r="KLO1" s="9" t="s">
        <v>7824</v>
      </c>
      <c r="KLP1" s="9" t="s">
        <v>7825</v>
      </c>
      <c r="KLQ1" s="9" t="s">
        <v>7826</v>
      </c>
      <c r="KLR1" s="9" t="s">
        <v>7827</v>
      </c>
      <c r="KLS1" s="9" t="s">
        <v>7828</v>
      </c>
      <c r="KLT1" s="9" t="s">
        <v>7829</v>
      </c>
      <c r="KLU1" s="9" t="s">
        <v>7830</v>
      </c>
      <c r="KLV1" s="9" t="s">
        <v>7831</v>
      </c>
      <c r="KLW1" s="9" t="s">
        <v>7832</v>
      </c>
      <c r="KLX1" s="9" t="s">
        <v>7833</v>
      </c>
      <c r="KLY1" s="9" t="s">
        <v>7834</v>
      </c>
      <c r="KLZ1" s="9" t="s">
        <v>7835</v>
      </c>
      <c r="KMA1" s="9" t="s">
        <v>7836</v>
      </c>
      <c r="KMB1" s="9" t="s">
        <v>7837</v>
      </c>
      <c r="KMC1" s="9" t="s">
        <v>7838</v>
      </c>
      <c r="KMD1" s="9" t="s">
        <v>7839</v>
      </c>
      <c r="KME1" s="9" t="s">
        <v>7840</v>
      </c>
      <c r="KMF1" s="9" t="s">
        <v>7841</v>
      </c>
      <c r="KMG1" s="9" t="s">
        <v>7842</v>
      </c>
      <c r="KMH1" s="9" t="s">
        <v>7843</v>
      </c>
      <c r="KMI1" s="9" t="s">
        <v>7844</v>
      </c>
      <c r="KMJ1" s="9" t="s">
        <v>7845</v>
      </c>
      <c r="KMK1" s="9" t="s">
        <v>7846</v>
      </c>
      <c r="KML1" s="9" t="s">
        <v>7847</v>
      </c>
      <c r="KMM1" s="9" t="s">
        <v>7848</v>
      </c>
      <c r="KMN1" s="9" t="s">
        <v>7849</v>
      </c>
      <c r="KMO1" s="9" t="s">
        <v>7850</v>
      </c>
      <c r="KMP1" s="9" t="s">
        <v>7851</v>
      </c>
      <c r="KMQ1" s="9" t="s">
        <v>7852</v>
      </c>
      <c r="KMR1" s="9" t="s">
        <v>7853</v>
      </c>
      <c r="KMS1" s="9" t="s">
        <v>7854</v>
      </c>
      <c r="KMT1" s="9" t="s">
        <v>7855</v>
      </c>
      <c r="KMU1" s="9" t="s">
        <v>7856</v>
      </c>
      <c r="KMV1" s="9" t="s">
        <v>7857</v>
      </c>
      <c r="KMW1" s="9" t="s">
        <v>7858</v>
      </c>
      <c r="KMX1" s="9" t="s">
        <v>7859</v>
      </c>
      <c r="KMY1" s="9" t="s">
        <v>7860</v>
      </c>
      <c r="KMZ1" s="9" t="s">
        <v>7861</v>
      </c>
      <c r="KNA1" s="9" t="s">
        <v>7862</v>
      </c>
      <c r="KNB1" s="9" t="s">
        <v>7863</v>
      </c>
      <c r="KNC1" s="9" t="s">
        <v>7864</v>
      </c>
      <c r="KND1" s="9" t="s">
        <v>7865</v>
      </c>
      <c r="KNE1" s="9" t="s">
        <v>7866</v>
      </c>
      <c r="KNF1" s="9" t="s">
        <v>7867</v>
      </c>
      <c r="KNG1" s="9" t="s">
        <v>7868</v>
      </c>
      <c r="KNH1" s="9" t="s">
        <v>7869</v>
      </c>
      <c r="KNI1" s="9" t="s">
        <v>7870</v>
      </c>
      <c r="KNJ1" s="9" t="s">
        <v>7871</v>
      </c>
      <c r="KNK1" s="9" t="s">
        <v>7872</v>
      </c>
      <c r="KNL1" s="9" t="s">
        <v>7873</v>
      </c>
      <c r="KNM1" s="9" t="s">
        <v>7874</v>
      </c>
      <c r="KNN1" s="9" t="s">
        <v>7875</v>
      </c>
      <c r="KNO1" s="9" t="s">
        <v>7876</v>
      </c>
      <c r="KNP1" s="9" t="s">
        <v>7877</v>
      </c>
      <c r="KNQ1" s="9" t="s">
        <v>7878</v>
      </c>
      <c r="KNR1" s="9" t="s">
        <v>7879</v>
      </c>
      <c r="KNS1" s="9" t="s">
        <v>7880</v>
      </c>
      <c r="KNT1" s="9" t="s">
        <v>7881</v>
      </c>
      <c r="KNU1" s="9" t="s">
        <v>7882</v>
      </c>
      <c r="KNV1" s="9" t="s">
        <v>7883</v>
      </c>
      <c r="KNW1" s="9" t="s">
        <v>7884</v>
      </c>
      <c r="KNX1" s="9" t="s">
        <v>7885</v>
      </c>
      <c r="KNY1" s="9" t="s">
        <v>7886</v>
      </c>
      <c r="KNZ1" s="9" t="s">
        <v>7887</v>
      </c>
      <c r="KOA1" s="9" t="s">
        <v>7888</v>
      </c>
      <c r="KOB1" s="9" t="s">
        <v>7889</v>
      </c>
      <c r="KOC1" s="9" t="s">
        <v>7890</v>
      </c>
      <c r="KOD1" s="9" t="s">
        <v>7891</v>
      </c>
      <c r="KOE1" s="9" t="s">
        <v>7892</v>
      </c>
      <c r="KOF1" s="9" t="s">
        <v>7893</v>
      </c>
      <c r="KOG1" s="9" t="s">
        <v>7894</v>
      </c>
      <c r="KOH1" s="9" t="s">
        <v>7895</v>
      </c>
      <c r="KOI1" s="9" t="s">
        <v>7896</v>
      </c>
      <c r="KOJ1" s="9" t="s">
        <v>7897</v>
      </c>
      <c r="KOK1" s="9" t="s">
        <v>7898</v>
      </c>
      <c r="KOL1" s="9" t="s">
        <v>7899</v>
      </c>
      <c r="KOM1" s="9" t="s">
        <v>7900</v>
      </c>
      <c r="KON1" s="9" t="s">
        <v>7901</v>
      </c>
      <c r="KOO1" s="9" t="s">
        <v>7902</v>
      </c>
      <c r="KOP1" s="9" t="s">
        <v>7903</v>
      </c>
      <c r="KOQ1" s="9" t="s">
        <v>7904</v>
      </c>
      <c r="KOR1" s="9" t="s">
        <v>7905</v>
      </c>
      <c r="KOS1" s="9" t="s">
        <v>7906</v>
      </c>
      <c r="KOT1" s="9" t="s">
        <v>7907</v>
      </c>
      <c r="KOU1" s="9" t="s">
        <v>7908</v>
      </c>
      <c r="KOV1" s="9" t="s">
        <v>7909</v>
      </c>
      <c r="KOW1" s="9" t="s">
        <v>7910</v>
      </c>
      <c r="KOX1" s="9" t="s">
        <v>7911</v>
      </c>
      <c r="KOY1" s="9" t="s">
        <v>7912</v>
      </c>
      <c r="KOZ1" s="9" t="s">
        <v>7913</v>
      </c>
      <c r="KPA1" s="9" t="s">
        <v>7914</v>
      </c>
      <c r="KPB1" s="9" t="s">
        <v>7915</v>
      </c>
      <c r="KPC1" s="9" t="s">
        <v>7916</v>
      </c>
      <c r="KPD1" s="9" t="s">
        <v>7917</v>
      </c>
      <c r="KPE1" s="9" t="s">
        <v>7918</v>
      </c>
      <c r="KPF1" s="9" t="s">
        <v>7919</v>
      </c>
      <c r="KPG1" s="9" t="s">
        <v>7920</v>
      </c>
      <c r="KPH1" s="9" t="s">
        <v>7921</v>
      </c>
      <c r="KPI1" s="9" t="s">
        <v>7922</v>
      </c>
      <c r="KPJ1" s="9" t="s">
        <v>7923</v>
      </c>
      <c r="KPK1" s="9" t="s">
        <v>7924</v>
      </c>
      <c r="KPL1" s="9" t="s">
        <v>7925</v>
      </c>
      <c r="KPM1" s="9" t="s">
        <v>7926</v>
      </c>
      <c r="KPN1" s="9" t="s">
        <v>7927</v>
      </c>
      <c r="KPO1" s="9" t="s">
        <v>7928</v>
      </c>
      <c r="KPP1" s="9" t="s">
        <v>7929</v>
      </c>
      <c r="KPQ1" s="9" t="s">
        <v>7930</v>
      </c>
      <c r="KPR1" s="9" t="s">
        <v>7931</v>
      </c>
      <c r="KPS1" s="9" t="s">
        <v>7932</v>
      </c>
      <c r="KPT1" s="9" t="s">
        <v>7933</v>
      </c>
      <c r="KPU1" s="9" t="s">
        <v>7934</v>
      </c>
      <c r="KPV1" s="9" t="s">
        <v>7935</v>
      </c>
      <c r="KPW1" s="9" t="s">
        <v>7936</v>
      </c>
      <c r="KPX1" s="9" t="s">
        <v>7937</v>
      </c>
      <c r="KPY1" s="9" t="s">
        <v>7938</v>
      </c>
      <c r="KPZ1" s="9" t="s">
        <v>7939</v>
      </c>
      <c r="KQA1" s="9" t="s">
        <v>7940</v>
      </c>
      <c r="KQB1" s="9" t="s">
        <v>7941</v>
      </c>
      <c r="KQC1" s="9" t="s">
        <v>7942</v>
      </c>
      <c r="KQD1" s="9" t="s">
        <v>7943</v>
      </c>
      <c r="KQE1" s="9" t="s">
        <v>7944</v>
      </c>
      <c r="KQF1" s="9" t="s">
        <v>7945</v>
      </c>
      <c r="KQG1" s="9" t="s">
        <v>7946</v>
      </c>
      <c r="KQH1" s="9" t="s">
        <v>7947</v>
      </c>
      <c r="KQI1" s="9" t="s">
        <v>7948</v>
      </c>
      <c r="KQJ1" s="9" t="s">
        <v>7949</v>
      </c>
      <c r="KQK1" s="9" t="s">
        <v>7950</v>
      </c>
      <c r="KQL1" s="9" t="s">
        <v>7951</v>
      </c>
      <c r="KQM1" s="9" t="s">
        <v>7952</v>
      </c>
      <c r="KQN1" s="9" t="s">
        <v>7953</v>
      </c>
      <c r="KQO1" s="9" t="s">
        <v>7954</v>
      </c>
      <c r="KQP1" s="9" t="s">
        <v>7955</v>
      </c>
      <c r="KQQ1" s="9" t="s">
        <v>7956</v>
      </c>
      <c r="KQR1" s="9" t="s">
        <v>7957</v>
      </c>
      <c r="KQS1" s="9" t="s">
        <v>7958</v>
      </c>
      <c r="KQT1" s="9" t="s">
        <v>7959</v>
      </c>
      <c r="KQU1" s="9" t="s">
        <v>7960</v>
      </c>
      <c r="KQV1" s="9" t="s">
        <v>7961</v>
      </c>
      <c r="KQW1" s="9" t="s">
        <v>7962</v>
      </c>
      <c r="KQX1" s="9" t="s">
        <v>7963</v>
      </c>
      <c r="KQY1" s="9" t="s">
        <v>7964</v>
      </c>
      <c r="KQZ1" s="9" t="s">
        <v>7965</v>
      </c>
      <c r="KRA1" s="9" t="s">
        <v>7966</v>
      </c>
      <c r="KRB1" s="9" t="s">
        <v>7967</v>
      </c>
      <c r="KRC1" s="9" t="s">
        <v>7968</v>
      </c>
      <c r="KRD1" s="9" t="s">
        <v>7969</v>
      </c>
      <c r="KRE1" s="9" t="s">
        <v>7970</v>
      </c>
      <c r="KRF1" s="9" t="s">
        <v>7971</v>
      </c>
      <c r="KRG1" s="9" t="s">
        <v>7972</v>
      </c>
      <c r="KRH1" s="9" t="s">
        <v>7973</v>
      </c>
      <c r="KRI1" s="9" t="s">
        <v>7974</v>
      </c>
      <c r="KRJ1" s="9" t="s">
        <v>7975</v>
      </c>
      <c r="KRK1" s="9" t="s">
        <v>7976</v>
      </c>
      <c r="KRL1" s="9" t="s">
        <v>7977</v>
      </c>
      <c r="KRM1" s="9" t="s">
        <v>7978</v>
      </c>
      <c r="KRN1" s="9" t="s">
        <v>7979</v>
      </c>
      <c r="KRO1" s="9" t="s">
        <v>7980</v>
      </c>
      <c r="KRP1" s="9" t="s">
        <v>7981</v>
      </c>
      <c r="KRQ1" s="9" t="s">
        <v>7982</v>
      </c>
      <c r="KRR1" s="9" t="s">
        <v>7983</v>
      </c>
      <c r="KRS1" s="9" t="s">
        <v>7984</v>
      </c>
      <c r="KRT1" s="9" t="s">
        <v>7985</v>
      </c>
      <c r="KRU1" s="9" t="s">
        <v>7986</v>
      </c>
      <c r="KRV1" s="9" t="s">
        <v>7987</v>
      </c>
      <c r="KRW1" s="9" t="s">
        <v>7988</v>
      </c>
      <c r="KRX1" s="9" t="s">
        <v>7989</v>
      </c>
      <c r="KRY1" s="9" t="s">
        <v>7990</v>
      </c>
      <c r="KRZ1" s="9" t="s">
        <v>7991</v>
      </c>
      <c r="KSA1" s="9" t="s">
        <v>7992</v>
      </c>
      <c r="KSB1" s="9" t="s">
        <v>7993</v>
      </c>
      <c r="KSC1" s="9" t="s">
        <v>7994</v>
      </c>
      <c r="KSD1" s="9" t="s">
        <v>7995</v>
      </c>
      <c r="KSE1" s="9" t="s">
        <v>7996</v>
      </c>
      <c r="KSF1" s="9" t="s">
        <v>7997</v>
      </c>
      <c r="KSG1" s="9" t="s">
        <v>7998</v>
      </c>
      <c r="KSH1" s="9" t="s">
        <v>7999</v>
      </c>
      <c r="KSI1" s="9" t="s">
        <v>8000</v>
      </c>
      <c r="KSJ1" s="9" t="s">
        <v>8001</v>
      </c>
      <c r="KSK1" s="9" t="s">
        <v>8002</v>
      </c>
      <c r="KSL1" s="9" t="s">
        <v>8003</v>
      </c>
      <c r="KSM1" s="9" t="s">
        <v>8004</v>
      </c>
      <c r="KSN1" s="9" t="s">
        <v>8005</v>
      </c>
      <c r="KSO1" s="9" t="s">
        <v>8006</v>
      </c>
      <c r="KSP1" s="9" t="s">
        <v>8007</v>
      </c>
      <c r="KSQ1" s="9" t="s">
        <v>8008</v>
      </c>
      <c r="KSR1" s="9" t="s">
        <v>8009</v>
      </c>
      <c r="KSS1" s="9" t="s">
        <v>8010</v>
      </c>
      <c r="KST1" s="9" t="s">
        <v>8011</v>
      </c>
      <c r="KSU1" s="9" t="s">
        <v>8012</v>
      </c>
      <c r="KSV1" s="9" t="s">
        <v>8013</v>
      </c>
      <c r="KSW1" s="9" t="s">
        <v>8014</v>
      </c>
      <c r="KSX1" s="9" t="s">
        <v>8015</v>
      </c>
      <c r="KSY1" s="9" t="s">
        <v>8016</v>
      </c>
      <c r="KSZ1" s="9" t="s">
        <v>8017</v>
      </c>
      <c r="KTA1" s="9" t="s">
        <v>8018</v>
      </c>
      <c r="KTB1" s="9" t="s">
        <v>8019</v>
      </c>
      <c r="KTC1" s="9" t="s">
        <v>8020</v>
      </c>
      <c r="KTD1" s="9" t="s">
        <v>8021</v>
      </c>
      <c r="KTE1" s="9" t="s">
        <v>8022</v>
      </c>
      <c r="KTF1" s="9" t="s">
        <v>8023</v>
      </c>
      <c r="KTG1" s="9" t="s">
        <v>8024</v>
      </c>
      <c r="KTH1" s="9" t="s">
        <v>8025</v>
      </c>
      <c r="KTI1" s="9" t="s">
        <v>8026</v>
      </c>
      <c r="KTJ1" s="9" t="s">
        <v>8027</v>
      </c>
      <c r="KTK1" s="9" t="s">
        <v>8028</v>
      </c>
      <c r="KTL1" s="9" t="s">
        <v>8029</v>
      </c>
      <c r="KTM1" s="9" t="s">
        <v>8030</v>
      </c>
      <c r="KTN1" s="9" t="s">
        <v>8031</v>
      </c>
      <c r="KTO1" s="9" t="s">
        <v>8032</v>
      </c>
      <c r="KTP1" s="9" t="s">
        <v>8033</v>
      </c>
      <c r="KTQ1" s="9" t="s">
        <v>8034</v>
      </c>
      <c r="KTR1" s="9" t="s">
        <v>8035</v>
      </c>
      <c r="KTS1" s="9" t="s">
        <v>8036</v>
      </c>
      <c r="KTT1" s="9" t="s">
        <v>8037</v>
      </c>
      <c r="KTU1" s="9" t="s">
        <v>8038</v>
      </c>
      <c r="KTV1" s="9" t="s">
        <v>8039</v>
      </c>
      <c r="KTW1" s="9" t="s">
        <v>8040</v>
      </c>
      <c r="KTX1" s="9" t="s">
        <v>8041</v>
      </c>
      <c r="KTY1" s="9" t="s">
        <v>8042</v>
      </c>
      <c r="KTZ1" s="9" t="s">
        <v>8043</v>
      </c>
      <c r="KUA1" s="9" t="s">
        <v>8044</v>
      </c>
      <c r="KUB1" s="9" t="s">
        <v>8045</v>
      </c>
      <c r="KUC1" s="9" t="s">
        <v>8046</v>
      </c>
      <c r="KUD1" s="9" t="s">
        <v>8047</v>
      </c>
      <c r="KUE1" s="9" t="s">
        <v>8048</v>
      </c>
      <c r="KUF1" s="9" t="s">
        <v>8049</v>
      </c>
      <c r="KUG1" s="9" t="s">
        <v>8050</v>
      </c>
      <c r="KUH1" s="9" t="s">
        <v>8051</v>
      </c>
      <c r="KUI1" s="9" t="s">
        <v>8052</v>
      </c>
      <c r="KUJ1" s="9" t="s">
        <v>8053</v>
      </c>
      <c r="KUK1" s="9" t="s">
        <v>8054</v>
      </c>
      <c r="KUL1" s="9" t="s">
        <v>8055</v>
      </c>
      <c r="KUM1" s="9" t="s">
        <v>8056</v>
      </c>
      <c r="KUN1" s="9" t="s">
        <v>8057</v>
      </c>
      <c r="KUO1" s="9" t="s">
        <v>8058</v>
      </c>
      <c r="KUP1" s="9" t="s">
        <v>8059</v>
      </c>
      <c r="KUQ1" s="9" t="s">
        <v>8060</v>
      </c>
      <c r="KUR1" s="9" t="s">
        <v>8061</v>
      </c>
      <c r="KUS1" s="9" t="s">
        <v>8062</v>
      </c>
      <c r="KUT1" s="9" t="s">
        <v>8063</v>
      </c>
      <c r="KUU1" s="9" t="s">
        <v>8064</v>
      </c>
      <c r="KUV1" s="9" t="s">
        <v>8065</v>
      </c>
      <c r="KUW1" s="9" t="s">
        <v>8066</v>
      </c>
      <c r="KUX1" s="9" t="s">
        <v>8067</v>
      </c>
      <c r="KUY1" s="9" t="s">
        <v>8068</v>
      </c>
      <c r="KUZ1" s="9" t="s">
        <v>8069</v>
      </c>
      <c r="KVA1" s="9" t="s">
        <v>8070</v>
      </c>
      <c r="KVB1" s="9" t="s">
        <v>8071</v>
      </c>
      <c r="KVC1" s="9" t="s">
        <v>8072</v>
      </c>
      <c r="KVD1" s="9" t="s">
        <v>8073</v>
      </c>
      <c r="KVE1" s="9" t="s">
        <v>8074</v>
      </c>
      <c r="KVF1" s="9" t="s">
        <v>8075</v>
      </c>
      <c r="KVG1" s="9" t="s">
        <v>8076</v>
      </c>
      <c r="KVH1" s="9" t="s">
        <v>8077</v>
      </c>
      <c r="KVI1" s="9" t="s">
        <v>8078</v>
      </c>
      <c r="KVJ1" s="9" t="s">
        <v>8079</v>
      </c>
      <c r="KVK1" s="9" t="s">
        <v>8080</v>
      </c>
      <c r="KVL1" s="9" t="s">
        <v>8081</v>
      </c>
      <c r="KVM1" s="9" t="s">
        <v>8082</v>
      </c>
      <c r="KVN1" s="9" t="s">
        <v>8083</v>
      </c>
      <c r="KVO1" s="9" t="s">
        <v>8084</v>
      </c>
      <c r="KVP1" s="9" t="s">
        <v>8085</v>
      </c>
      <c r="KVQ1" s="9" t="s">
        <v>8086</v>
      </c>
      <c r="KVR1" s="9" t="s">
        <v>8087</v>
      </c>
      <c r="KVS1" s="9" t="s">
        <v>8088</v>
      </c>
      <c r="KVT1" s="9" t="s">
        <v>8089</v>
      </c>
      <c r="KVU1" s="9" t="s">
        <v>8090</v>
      </c>
      <c r="KVV1" s="9" t="s">
        <v>8091</v>
      </c>
      <c r="KVW1" s="9" t="s">
        <v>8092</v>
      </c>
      <c r="KVX1" s="9" t="s">
        <v>8093</v>
      </c>
      <c r="KVY1" s="9" t="s">
        <v>8094</v>
      </c>
      <c r="KVZ1" s="9" t="s">
        <v>8095</v>
      </c>
      <c r="KWA1" s="9" t="s">
        <v>8096</v>
      </c>
      <c r="KWB1" s="9" t="s">
        <v>8097</v>
      </c>
      <c r="KWC1" s="9" t="s">
        <v>8098</v>
      </c>
      <c r="KWD1" s="9" t="s">
        <v>8099</v>
      </c>
      <c r="KWE1" s="9" t="s">
        <v>8100</v>
      </c>
      <c r="KWF1" s="9" t="s">
        <v>8101</v>
      </c>
      <c r="KWG1" s="9" t="s">
        <v>8102</v>
      </c>
      <c r="KWH1" s="9" t="s">
        <v>8103</v>
      </c>
      <c r="KWI1" s="9" t="s">
        <v>8104</v>
      </c>
      <c r="KWJ1" s="9" t="s">
        <v>8105</v>
      </c>
      <c r="KWK1" s="9" t="s">
        <v>8106</v>
      </c>
      <c r="KWL1" s="9" t="s">
        <v>8107</v>
      </c>
      <c r="KWM1" s="9" t="s">
        <v>8108</v>
      </c>
      <c r="KWN1" s="9" t="s">
        <v>8109</v>
      </c>
      <c r="KWO1" s="9" t="s">
        <v>8110</v>
      </c>
      <c r="KWP1" s="9" t="s">
        <v>8111</v>
      </c>
      <c r="KWQ1" s="9" t="s">
        <v>8112</v>
      </c>
      <c r="KWR1" s="9" t="s">
        <v>8113</v>
      </c>
      <c r="KWS1" s="9" t="s">
        <v>8114</v>
      </c>
      <c r="KWT1" s="9" t="s">
        <v>8115</v>
      </c>
      <c r="KWU1" s="9" t="s">
        <v>8116</v>
      </c>
      <c r="KWV1" s="9" t="s">
        <v>8117</v>
      </c>
      <c r="KWW1" s="9" t="s">
        <v>8118</v>
      </c>
      <c r="KWX1" s="9" t="s">
        <v>8119</v>
      </c>
      <c r="KWY1" s="9" t="s">
        <v>8120</v>
      </c>
      <c r="KWZ1" s="9" t="s">
        <v>8121</v>
      </c>
      <c r="KXA1" s="9" t="s">
        <v>8122</v>
      </c>
      <c r="KXB1" s="9" t="s">
        <v>8123</v>
      </c>
      <c r="KXC1" s="9" t="s">
        <v>8124</v>
      </c>
      <c r="KXD1" s="9" t="s">
        <v>8125</v>
      </c>
      <c r="KXE1" s="9" t="s">
        <v>8126</v>
      </c>
      <c r="KXF1" s="9" t="s">
        <v>8127</v>
      </c>
      <c r="KXG1" s="9" t="s">
        <v>8128</v>
      </c>
      <c r="KXH1" s="9" t="s">
        <v>8129</v>
      </c>
      <c r="KXI1" s="9" t="s">
        <v>8130</v>
      </c>
      <c r="KXJ1" s="9" t="s">
        <v>8131</v>
      </c>
      <c r="KXK1" s="9" t="s">
        <v>8132</v>
      </c>
      <c r="KXL1" s="9" t="s">
        <v>8133</v>
      </c>
      <c r="KXM1" s="9" t="s">
        <v>8134</v>
      </c>
      <c r="KXN1" s="9" t="s">
        <v>8135</v>
      </c>
      <c r="KXO1" s="9" t="s">
        <v>8136</v>
      </c>
      <c r="KXP1" s="9" t="s">
        <v>8137</v>
      </c>
      <c r="KXQ1" s="9" t="s">
        <v>8138</v>
      </c>
      <c r="KXR1" s="9" t="s">
        <v>8139</v>
      </c>
      <c r="KXS1" s="9" t="s">
        <v>8140</v>
      </c>
      <c r="KXT1" s="9" t="s">
        <v>8141</v>
      </c>
      <c r="KXU1" s="9" t="s">
        <v>8142</v>
      </c>
      <c r="KXV1" s="9" t="s">
        <v>8143</v>
      </c>
      <c r="KXW1" s="9" t="s">
        <v>8144</v>
      </c>
      <c r="KXX1" s="9" t="s">
        <v>8145</v>
      </c>
      <c r="KXY1" s="9" t="s">
        <v>8146</v>
      </c>
      <c r="KXZ1" s="9" t="s">
        <v>8147</v>
      </c>
      <c r="KYA1" s="9" t="s">
        <v>8148</v>
      </c>
      <c r="KYB1" s="9" t="s">
        <v>8149</v>
      </c>
      <c r="KYC1" s="9" t="s">
        <v>8150</v>
      </c>
      <c r="KYD1" s="9" t="s">
        <v>8151</v>
      </c>
      <c r="KYE1" s="9" t="s">
        <v>8152</v>
      </c>
      <c r="KYF1" s="9" t="s">
        <v>8153</v>
      </c>
      <c r="KYG1" s="9" t="s">
        <v>8154</v>
      </c>
      <c r="KYH1" s="9" t="s">
        <v>8155</v>
      </c>
      <c r="KYI1" s="9" t="s">
        <v>8156</v>
      </c>
      <c r="KYJ1" s="9" t="s">
        <v>8157</v>
      </c>
      <c r="KYK1" s="9" t="s">
        <v>8158</v>
      </c>
      <c r="KYL1" s="9" t="s">
        <v>8159</v>
      </c>
      <c r="KYM1" s="9" t="s">
        <v>8160</v>
      </c>
      <c r="KYN1" s="9" t="s">
        <v>8161</v>
      </c>
      <c r="KYO1" s="9" t="s">
        <v>8162</v>
      </c>
      <c r="KYP1" s="9" t="s">
        <v>8163</v>
      </c>
      <c r="KYQ1" s="9" t="s">
        <v>8164</v>
      </c>
      <c r="KYR1" s="9" t="s">
        <v>8165</v>
      </c>
      <c r="KYS1" s="9" t="s">
        <v>8166</v>
      </c>
      <c r="KYT1" s="9" t="s">
        <v>8167</v>
      </c>
      <c r="KYU1" s="9" t="s">
        <v>8168</v>
      </c>
      <c r="KYV1" s="9" t="s">
        <v>8169</v>
      </c>
      <c r="KYW1" s="9" t="s">
        <v>8170</v>
      </c>
      <c r="KYX1" s="9" t="s">
        <v>8171</v>
      </c>
      <c r="KYY1" s="9" t="s">
        <v>8172</v>
      </c>
      <c r="KYZ1" s="9" t="s">
        <v>8173</v>
      </c>
      <c r="KZA1" s="9" t="s">
        <v>8174</v>
      </c>
      <c r="KZB1" s="9" t="s">
        <v>8175</v>
      </c>
      <c r="KZC1" s="9" t="s">
        <v>8176</v>
      </c>
      <c r="KZD1" s="9" t="s">
        <v>8177</v>
      </c>
      <c r="KZE1" s="9" t="s">
        <v>8178</v>
      </c>
      <c r="KZF1" s="9" t="s">
        <v>8179</v>
      </c>
      <c r="KZG1" s="9" t="s">
        <v>8180</v>
      </c>
      <c r="KZH1" s="9" t="s">
        <v>8181</v>
      </c>
      <c r="KZI1" s="9" t="s">
        <v>8182</v>
      </c>
      <c r="KZJ1" s="9" t="s">
        <v>8183</v>
      </c>
      <c r="KZK1" s="9" t="s">
        <v>8184</v>
      </c>
      <c r="KZL1" s="9" t="s">
        <v>8185</v>
      </c>
      <c r="KZM1" s="9" t="s">
        <v>8186</v>
      </c>
      <c r="KZN1" s="9" t="s">
        <v>8187</v>
      </c>
      <c r="KZO1" s="9" t="s">
        <v>8188</v>
      </c>
      <c r="KZP1" s="9" t="s">
        <v>8189</v>
      </c>
      <c r="KZQ1" s="9" t="s">
        <v>8190</v>
      </c>
      <c r="KZR1" s="9" t="s">
        <v>8191</v>
      </c>
      <c r="KZS1" s="9" t="s">
        <v>8192</v>
      </c>
      <c r="KZT1" s="9" t="s">
        <v>8193</v>
      </c>
      <c r="KZU1" s="9" t="s">
        <v>8194</v>
      </c>
      <c r="KZV1" s="9" t="s">
        <v>8195</v>
      </c>
      <c r="KZW1" s="9" t="s">
        <v>8196</v>
      </c>
      <c r="KZX1" s="9" t="s">
        <v>8197</v>
      </c>
      <c r="KZY1" s="9" t="s">
        <v>8198</v>
      </c>
      <c r="KZZ1" s="9" t="s">
        <v>8199</v>
      </c>
      <c r="LAA1" s="9" t="s">
        <v>8200</v>
      </c>
      <c r="LAB1" s="9" t="s">
        <v>8201</v>
      </c>
      <c r="LAC1" s="9" t="s">
        <v>8202</v>
      </c>
      <c r="LAD1" s="9" t="s">
        <v>8203</v>
      </c>
      <c r="LAE1" s="9" t="s">
        <v>8204</v>
      </c>
      <c r="LAF1" s="9" t="s">
        <v>8205</v>
      </c>
      <c r="LAG1" s="9" t="s">
        <v>8206</v>
      </c>
      <c r="LAH1" s="9" t="s">
        <v>8207</v>
      </c>
      <c r="LAI1" s="9" t="s">
        <v>8208</v>
      </c>
      <c r="LAJ1" s="9" t="s">
        <v>8209</v>
      </c>
      <c r="LAK1" s="9" t="s">
        <v>8210</v>
      </c>
      <c r="LAL1" s="9" t="s">
        <v>8211</v>
      </c>
      <c r="LAM1" s="9" t="s">
        <v>8212</v>
      </c>
      <c r="LAN1" s="9" t="s">
        <v>8213</v>
      </c>
      <c r="LAO1" s="9" t="s">
        <v>8214</v>
      </c>
      <c r="LAP1" s="9" t="s">
        <v>8215</v>
      </c>
      <c r="LAQ1" s="9" t="s">
        <v>8216</v>
      </c>
      <c r="LAR1" s="9" t="s">
        <v>8217</v>
      </c>
      <c r="LAS1" s="9" t="s">
        <v>8218</v>
      </c>
      <c r="LAT1" s="9" t="s">
        <v>8219</v>
      </c>
      <c r="LAU1" s="9" t="s">
        <v>8220</v>
      </c>
      <c r="LAV1" s="9" t="s">
        <v>8221</v>
      </c>
      <c r="LAW1" s="9" t="s">
        <v>8222</v>
      </c>
      <c r="LAX1" s="9" t="s">
        <v>8223</v>
      </c>
      <c r="LAY1" s="9" t="s">
        <v>8224</v>
      </c>
      <c r="LAZ1" s="9" t="s">
        <v>8225</v>
      </c>
      <c r="LBA1" s="9" t="s">
        <v>8226</v>
      </c>
      <c r="LBB1" s="9" t="s">
        <v>8227</v>
      </c>
      <c r="LBC1" s="9" t="s">
        <v>8228</v>
      </c>
      <c r="LBD1" s="9" t="s">
        <v>8229</v>
      </c>
      <c r="LBE1" s="9" t="s">
        <v>8230</v>
      </c>
      <c r="LBF1" s="9" t="s">
        <v>8231</v>
      </c>
      <c r="LBG1" s="9" t="s">
        <v>8232</v>
      </c>
      <c r="LBH1" s="9" t="s">
        <v>8233</v>
      </c>
      <c r="LBI1" s="9" t="s">
        <v>8234</v>
      </c>
      <c r="LBJ1" s="9" t="s">
        <v>8235</v>
      </c>
      <c r="LBK1" s="9" t="s">
        <v>8236</v>
      </c>
      <c r="LBL1" s="9" t="s">
        <v>8237</v>
      </c>
      <c r="LBM1" s="9" t="s">
        <v>8238</v>
      </c>
      <c r="LBN1" s="9" t="s">
        <v>8239</v>
      </c>
      <c r="LBO1" s="9" t="s">
        <v>8240</v>
      </c>
      <c r="LBP1" s="9" t="s">
        <v>8241</v>
      </c>
      <c r="LBQ1" s="9" t="s">
        <v>8242</v>
      </c>
      <c r="LBR1" s="9" t="s">
        <v>8243</v>
      </c>
      <c r="LBS1" s="9" t="s">
        <v>8244</v>
      </c>
      <c r="LBT1" s="9" t="s">
        <v>8245</v>
      </c>
      <c r="LBU1" s="9" t="s">
        <v>8246</v>
      </c>
      <c r="LBV1" s="9" t="s">
        <v>8247</v>
      </c>
      <c r="LBW1" s="9" t="s">
        <v>8248</v>
      </c>
      <c r="LBX1" s="9" t="s">
        <v>8249</v>
      </c>
      <c r="LBY1" s="9" t="s">
        <v>8250</v>
      </c>
      <c r="LBZ1" s="9" t="s">
        <v>8251</v>
      </c>
      <c r="LCA1" s="9" t="s">
        <v>8252</v>
      </c>
      <c r="LCB1" s="9" t="s">
        <v>8253</v>
      </c>
      <c r="LCC1" s="9" t="s">
        <v>8254</v>
      </c>
      <c r="LCD1" s="9" t="s">
        <v>8255</v>
      </c>
      <c r="LCE1" s="9" t="s">
        <v>8256</v>
      </c>
      <c r="LCF1" s="9" t="s">
        <v>8257</v>
      </c>
      <c r="LCG1" s="9" t="s">
        <v>8258</v>
      </c>
      <c r="LCH1" s="9" t="s">
        <v>8259</v>
      </c>
      <c r="LCI1" s="9" t="s">
        <v>8260</v>
      </c>
      <c r="LCJ1" s="9" t="s">
        <v>8261</v>
      </c>
      <c r="LCK1" s="9" t="s">
        <v>8262</v>
      </c>
      <c r="LCL1" s="9" t="s">
        <v>8263</v>
      </c>
      <c r="LCM1" s="9" t="s">
        <v>8264</v>
      </c>
      <c r="LCN1" s="9" t="s">
        <v>8265</v>
      </c>
      <c r="LCO1" s="9" t="s">
        <v>8266</v>
      </c>
      <c r="LCP1" s="9" t="s">
        <v>8267</v>
      </c>
      <c r="LCQ1" s="9" t="s">
        <v>8268</v>
      </c>
      <c r="LCR1" s="9" t="s">
        <v>8269</v>
      </c>
      <c r="LCS1" s="9" t="s">
        <v>8270</v>
      </c>
      <c r="LCT1" s="9" t="s">
        <v>8271</v>
      </c>
      <c r="LCU1" s="9" t="s">
        <v>8272</v>
      </c>
      <c r="LCV1" s="9" t="s">
        <v>8273</v>
      </c>
      <c r="LCW1" s="9" t="s">
        <v>8274</v>
      </c>
      <c r="LCX1" s="9" t="s">
        <v>8275</v>
      </c>
      <c r="LCY1" s="9" t="s">
        <v>8276</v>
      </c>
      <c r="LCZ1" s="9" t="s">
        <v>8277</v>
      </c>
      <c r="LDA1" s="9" t="s">
        <v>8278</v>
      </c>
      <c r="LDB1" s="9" t="s">
        <v>8279</v>
      </c>
      <c r="LDC1" s="9" t="s">
        <v>8280</v>
      </c>
      <c r="LDD1" s="9" t="s">
        <v>8281</v>
      </c>
      <c r="LDE1" s="9" t="s">
        <v>8282</v>
      </c>
      <c r="LDF1" s="9" t="s">
        <v>8283</v>
      </c>
      <c r="LDG1" s="9" t="s">
        <v>8284</v>
      </c>
      <c r="LDH1" s="9" t="s">
        <v>8285</v>
      </c>
      <c r="LDI1" s="9" t="s">
        <v>8286</v>
      </c>
      <c r="LDJ1" s="9" t="s">
        <v>8287</v>
      </c>
      <c r="LDK1" s="9" t="s">
        <v>8288</v>
      </c>
      <c r="LDL1" s="9" t="s">
        <v>8289</v>
      </c>
      <c r="LDM1" s="9" t="s">
        <v>8290</v>
      </c>
      <c r="LDN1" s="9" t="s">
        <v>8291</v>
      </c>
      <c r="LDO1" s="9" t="s">
        <v>8292</v>
      </c>
      <c r="LDP1" s="9" t="s">
        <v>8293</v>
      </c>
      <c r="LDQ1" s="9" t="s">
        <v>8294</v>
      </c>
      <c r="LDR1" s="9" t="s">
        <v>8295</v>
      </c>
      <c r="LDS1" s="9" t="s">
        <v>8296</v>
      </c>
      <c r="LDT1" s="9" t="s">
        <v>8297</v>
      </c>
      <c r="LDU1" s="9" t="s">
        <v>8298</v>
      </c>
      <c r="LDV1" s="9" t="s">
        <v>8299</v>
      </c>
      <c r="LDW1" s="9" t="s">
        <v>8300</v>
      </c>
      <c r="LDX1" s="9" t="s">
        <v>8301</v>
      </c>
      <c r="LDY1" s="9" t="s">
        <v>8302</v>
      </c>
      <c r="LDZ1" s="9" t="s">
        <v>8303</v>
      </c>
      <c r="LEA1" s="9" t="s">
        <v>8304</v>
      </c>
      <c r="LEB1" s="9" t="s">
        <v>8305</v>
      </c>
      <c r="LEC1" s="9" t="s">
        <v>8306</v>
      </c>
      <c r="LED1" s="9" t="s">
        <v>8307</v>
      </c>
      <c r="LEE1" s="9" t="s">
        <v>8308</v>
      </c>
      <c r="LEF1" s="9" t="s">
        <v>8309</v>
      </c>
      <c r="LEG1" s="9" t="s">
        <v>8310</v>
      </c>
      <c r="LEH1" s="9" t="s">
        <v>8311</v>
      </c>
      <c r="LEI1" s="9" t="s">
        <v>8312</v>
      </c>
      <c r="LEJ1" s="9" t="s">
        <v>8313</v>
      </c>
      <c r="LEK1" s="9" t="s">
        <v>8314</v>
      </c>
      <c r="LEL1" s="9" t="s">
        <v>8315</v>
      </c>
      <c r="LEM1" s="9" t="s">
        <v>8316</v>
      </c>
      <c r="LEN1" s="9" t="s">
        <v>8317</v>
      </c>
      <c r="LEO1" s="9" t="s">
        <v>8318</v>
      </c>
      <c r="LEP1" s="9" t="s">
        <v>8319</v>
      </c>
      <c r="LEQ1" s="9" t="s">
        <v>8320</v>
      </c>
      <c r="LER1" s="9" t="s">
        <v>8321</v>
      </c>
      <c r="LES1" s="9" t="s">
        <v>8322</v>
      </c>
      <c r="LET1" s="9" t="s">
        <v>8323</v>
      </c>
      <c r="LEU1" s="9" t="s">
        <v>8324</v>
      </c>
      <c r="LEV1" s="9" t="s">
        <v>8325</v>
      </c>
      <c r="LEW1" s="9" t="s">
        <v>8326</v>
      </c>
      <c r="LEX1" s="9" t="s">
        <v>8327</v>
      </c>
      <c r="LEY1" s="9" t="s">
        <v>8328</v>
      </c>
      <c r="LEZ1" s="9" t="s">
        <v>8329</v>
      </c>
      <c r="LFA1" s="9" t="s">
        <v>8330</v>
      </c>
      <c r="LFB1" s="9" t="s">
        <v>8331</v>
      </c>
      <c r="LFC1" s="9" t="s">
        <v>8332</v>
      </c>
      <c r="LFD1" s="9" t="s">
        <v>8333</v>
      </c>
      <c r="LFE1" s="9" t="s">
        <v>8334</v>
      </c>
      <c r="LFF1" s="9" t="s">
        <v>8335</v>
      </c>
      <c r="LFG1" s="9" t="s">
        <v>8336</v>
      </c>
      <c r="LFH1" s="9" t="s">
        <v>8337</v>
      </c>
      <c r="LFI1" s="9" t="s">
        <v>8338</v>
      </c>
      <c r="LFJ1" s="9" t="s">
        <v>8339</v>
      </c>
      <c r="LFK1" s="9" t="s">
        <v>8340</v>
      </c>
      <c r="LFL1" s="9" t="s">
        <v>8341</v>
      </c>
      <c r="LFM1" s="9" t="s">
        <v>8342</v>
      </c>
      <c r="LFN1" s="9" t="s">
        <v>8343</v>
      </c>
      <c r="LFO1" s="9" t="s">
        <v>8344</v>
      </c>
      <c r="LFP1" s="9" t="s">
        <v>8345</v>
      </c>
      <c r="LFQ1" s="9" t="s">
        <v>8346</v>
      </c>
      <c r="LFR1" s="9" t="s">
        <v>8347</v>
      </c>
      <c r="LFS1" s="9" t="s">
        <v>8348</v>
      </c>
      <c r="LFT1" s="9" t="s">
        <v>8349</v>
      </c>
      <c r="LFU1" s="9" t="s">
        <v>8350</v>
      </c>
      <c r="LFV1" s="9" t="s">
        <v>8351</v>
      </c>
      <c r="LFW1" s="9" t="s">
        <v>8352</v>
      </c>
      <c r="LFX1" s="9" t="s">
        <v>8353</v>
      </c>
      <c r="LFY1" s="9" t="s">
        <v>8354</v>
      </c>
      <c r="LFZ1" s="9" t="s">
        <v>8355</v>
      </c>
      <c r="LGA1" s="9" t="s">
        <v>8356</v>
      </c>
      <c r="LGB1" s="9" t="s">
        <v>8357</v>
      </c>
      <c r="LGC1" s="9" t="s">
        <v>8358</v>
      </c>
      <c r="LGD1" s="9" t="s">
        <v>8359</v>
      </c>
      <c r="LGE1" s="9" t="s">
        <v>8360</v>
      </c>
      <c r="LGF1" s="9" t="s">
        <v>8361</v>
      </c>
      <c r="LGG1" s="9" t="s">
        <v>8362</v>
      </c>
      <c r="LGH1" s="9" t="s">
        <v>8363</v>
      </c>
      <c r="LGI1" s="9" t="s">
        <v>8364</v>
      </c>
      <c r="LGJ1" s="9" t="s">
        <v>8365</v>
      </c>
      <c r="LGK1" s="9" t="s">
        <v>8366</v>
      </c>
      <c r="LGL1" s="9" t="s">
        <v>8367</v>
      </c>
      <c r="LGM1" s="9" t="s">
        <v>8368</v>
      </c>
      <c r="LGN1" s="9" t="s">
        <v>8369</v>
      </c>
      <c r="LGO1" s="9" t="s">
        <v>8370</v>
      </c>
      <c r="LGP1" s="9" t="s">
        <v>8371</v>
      </c>
      <c r="LGQ1" s="9" t="s">
        <v>8372</v>
      </c>
      <c r="LGR1" s="9" t="s">
        <v>8373</v>
      </c>
      <c r="LGS1" s="9" t="s">
        <v>8374</v>
      </c>
      <c r="LGT1" s="9" t="s">
        <v>8375</v>
      </c>
      <c r="LGU1" s="9" t="s">
        <v>8376</v>
      </c>
      <c r="LGV1" s="9" t="s">
        <v>8377</v>
      </c>
      <c r="LGW1" s="9" t="s">
        <v>8378</v>
      </c>
      <c r="LGX1" s="9" t="s">
        <v>8379</v>
      </c>
      <c r="LGY1" s="9" t="s">
        <v>8380</v>
      </c>
      <c r="LGZ1" s="9" t="s">
        <v>8381</v>
      </c>
      <c r="LHA1" s="9" t="s">
        <v>8382</v>
      </c>
      <c r="LHB1" s="9" t="s">
        <v>8383</v>
      </c>
      <c r="LHC1" s="9" t="s">
        <v>8384</v>
      </c>
      <c r="LHD1" s="9" t="s">
        <v>8385</v>
      </c>
      <c r="LHE1" s="9" t="s">
        <v>8386</v>
      </c>
      <c r="LHF1" s="9" t="s">
        <v>8387</v>
      </c>
      <c r="LHG1" s="9" t="s">
        <v>8388</v>
      </c>
      <c r="LHH1" s="9" t="s">
        <v>8389</v>
      </c>
      <c r="LHI1" s="9" t="s">
        <v>8390</v>
      </c>
      <c r="LHJ1" s="9" t="s">
        <v>8391</v>
      </c>
      <c r="LHK1" s="9" t="s">
        <v>8392</v>
      </c>
      <c r="LHL1" s="9" t="s">
        <v>8393</v>
      </c>
      <c r="LHM1" s="9" t="s">
        <v>8394</v>
      </c>
      <c r="LHN1" s="9" t="s">
        <v>8395</v>
      </c>
      <c r="LHO1" s="9" t="s">
        <v>8396</v>
      </c>
      <c r="LHP1" s="9" t="s">
        <v>8397</v>
      </c>
      <c r="LHQ1" s="9" t="s">
        <v>8398</v>
      </c>
      <c r="LHR1" s="9" t="s">
        <v>8399</v>
      </c>
      <c r="LHS1" s="9" t="s">
        <v>8400</v>
      </c>
      <c r="LHT1" s="9" t="s">
        <v>8401</v>
      </c>
      <c r="LHU1" s="9" t="s">
        <v>8402</v>
      </c>
      <c r="LHV1" s="9" t="s">
        <v>8403</v>
      </c>
      <c r="LHW1" s="9" t="s">
        <v>8404</v>
      </c>
      <c r="LHX1" s="9" t="s">
        <v>8405</v>
      </c>
      <c r="LHY1" s="9" t="s">
        <v>8406</v>
      </c>
      <c r="LHZ1" s="9" t="s">
        <v>8407</v>
      </c>
      <c r="LIA1" s="9" t="s">
        <v>8408</v>
      </c>
      <c r="LIB1" s="9" t="s">
        <v>8409</v>
      </c>
      <c r="LIC1" s="9" t="s">
        <v>8410</v>
      </c>
      <c r="LID1" s="9" t="s">
        <v>8411</v>
      </c>
      <c r="LIE1" s="9" t="s">
        <v>8412</v>
      </c>
      <c r="LIF1" s="9" t="s">
        <v>8413</v>
      </c>
      <c r="LIG1" s="9" t="s">
        <v>8414</v>
      </c>
      <c r="LIH1" s="9" t="s">
        <v>8415</v>
      </c>
      <c r="LII1" s="9" t="s">
        <v>8416</v>
      </c>
      <c r="LIJ1" s="9" t="s">
        <v>8417</v>
      </c>
      <c r="LIK1" s="9" t="s">
        <v>8418</v>
      </c>
      <c r="LIL1" s="9" t="s">
        <v>8419</v>
      </c>
      <c r="LIM1" s="9" t="s">
        <v>8420</v>
      </c>
      <c r="LIN1" s="9" t="s">
        <v>8421</v>
      </c>
      <c r="LIO1" s="9" t="s">
        <v>8422</v>
      </c>
      <c r="LIP1" s="9" t="s">
        <v>8423</v>
      </c>
      <c r="LIQ1" s="9" t="s">
        <v>8424</v>
      </c>
      <c r="LIR1" s="9" t="s">
        <v>8425</v>
      </c>
      <c r="LIS1" s="9" t="s">
        <v>8426</v>
      </c>
      <c r="LIT1" s="9" t="s">
        <v>8427</v>
      </c>
      <c r="LIU1" s="9" t="s">
        <v>8428</v>
      </c>
      <c r="LIV1" s="9" t="s">
        <v>8429</v>
      </c>
      <c r="LIW1" s="9" t="s">
        <v>8430</v>
      </c>
      <c r="LIX1" s="9" t="s">
        <v>8431</v>
      </c>
      <c r="LIY1" s="9" t="s">
        <v>8432</v>
      </c>
      <c r="LIZ1" s="9" t="s">
        <v>8433</v>
      </c>
      <c r="LJA1" s="9" t="s">
        <v>8434</v>
      </c>
      <c r="LJB1" s="9" t="s">
        <v>8435</v>
      </c>
      <c r="LJC1" s="9" t="s">
        <v>8436</v>
      </c>
      <c r="LJD1" s="9" t="s">
        <v>8437</v>
      </c>
      <c r="LJE1" s="9" t="s">
        <v>8438</v>
      </c>
      <c r="LJF1" s="9" t="s">
        <v>8439</v>
      </c>
      <c r="LJG1" s="9" t="s">
        <v>8440</v>
      </c>
      <c r="LJH1" s="9" t="s">
        <v>8441</v>
      </c>
      <c r="LJI1" s="9" t="s">
        <v>8442</v>
      </c>
      <c r="LJJ1" s="9" t="s">
        <v>8443</v>
      </c>
      <c r="LJK1" s="9" t="s">
        <v>8444</v>
      </c>
      <c r="LJL1" s="9" t="s">
        <v>8445</v>
      </c>
      <c r="LJM1" s="9" t="s">
        <v>8446</v>
      </c>
      <c r="LJN1" s="9" t="s">
        <v>8447</v>
      </c>
      <c r="LJO1" s="9" t="s">
        <v>8448</v>
      </c>
      <c r="LJP1" s="9" t="s">
        <v>8449</v>
      </c>
      <c r="LJQ1" s="9" t="s">
        <v>8450</v>
      </c>
      <c r="LJR1" s="9" t="s">
        <v>8451</v>
      </c>
      <c r="LJS1" s="9" t="s">
        <v>8452</v>
      </c>
      <c r="LJT1" s="9" t="s">
        <v>8453</v>
      </c>
      <c r="LJU1" s="9" t="s">
        <v>8454</v>
      </c>
      <c r="LJV1" s="9" t="s">
        <v>8455</v>
      </c>
      <c r="LJW1" s="9" t="s">
        <v>8456</v>
      </c>
      <c r="LJX1" s="9" t="s">
        <v>8457</v>
      </c>
      <c r="LJY1" s="9" t="s">
        <v>8458</v>
      </c>
      <c r="LJZ1" s="9" t="s">
        <v>8459</v>
      </c>
      <c r="LKA1" s="9" t="s">
        <v>8460</v>
      </c>
      <c r="LKB1" s="9" t="s">
        <v>8461</v>
      </c>
      <c r="LKC1" s="9" t="s">
        <v>8462</v>
      </c>
      <c r="LKD1" s="9" t="s">
        <v>8463</v>
      </c>
      <c r="LKE1" s="9" t="s">
        <v>8464</v>
      </c>
      <c r="LKF1" s="9" t="s">
        <v>8465</v>
      </c>
      <c r="LKG1" s="9" t="s">
        <v>8466</v>
      </c>
      <c r="LKH1" s="9" t="s">
        <v>8467</v>
      </c>
      <c r="LKI1" s="9" t="s">
        <v>8468</v>
      </c>
      <c r="LKJ1" s="9" t="s">
        <v>8469</v>
      </c>
      <c r="LKK1" s="9" t="s">
        <v>8470</v>
      </c>
      <c r="LKL1" s="9" t="s">
        <v>8471</v>
      </c>
      <c r="LKM1" s="9" t="s">
        <v>8472</v>
      </c>
      <c r="LKN1" s="9" t="s">
        <v>8473</v>
      </c>
      <c r="LKO1" s="9" t="s">
        <v>8474</v>
      </c>
      <c r="LKP1" s="9" t="s">
        <v>8475</v>
      </c>
      <c r="LKQ1" s="9" t="s">
        <v>8476</v>
      </c>
      <c r="LKR1" s="9" t="s">
        <v>8477</v>
      </c>
      <c r="LKS1" s="9" t="s">
        <v>8478</v>
      </c>
      <c r="LKT1" s="9" t="s">
        <v>8479</v>
      </c>
      <c r="LKU1" s="9" t="s">
        <v>8480</v>
      </c>
      <c r="LKV1" s="9" t="s">
        <v>8481</v>
      </c>
      <c r="LKW1" s="9" t="s">
        <v>8482</v>
      </c>
      <c r="LKX1" s="9" t="s">
        <v>8483</v>
      </c>
      <c r="LKY1" s="9" t="s">
        <v>8484</v>
      </c>
      <c r="LKZ1" s="9" t="s">
        <v>8485</v>
      </c>
      <c r="LLA1" s="9" t="s">
        <v>8486</v>
      </c>
      <c r="LLB1" s="9" t="s">
        <v>8487</v>
      </c>
      <c r="LLC1" s="9" t="s">
        <v>8488</v>
      </c>
      <c r="LLD1" s="9" t="s">
        <v>8489</v>
      </c>
      <c r="LLE1" s="9" t="s">
        <v>8490</v>
      </c>
      <c r="LLF1" s="9" t="s">
        <v>8491</v>
      </c>
      <c r="LLG1" s="9" t="s">
        <v>8492</v>
      </c>
      <c r="LLH1" s="9" t="s">
        <v>8493</v>
      </c>
      <c r="LLI1" s="9" t="s">
        <v>8494</v>
      </c>
      <c r="LLJ1" s="9" t="s">
        <v>8495</v>
      </c>
      <c r="LLK1" s="9" t="s">
        <v>8496</v>
      </c>
      <c r="LLL1" s="9" t="s">
        <v>8497</v>
      </c>
      <c r="LLM1" s="9" t="s">
        <v>8498</v>
      </c>
      <c r="LLN1" s="9" t="s">
        <v>8499</v>
      </c>
      <c r="LLO1" s="9" t="s">
        <v>8500</v>
      </c>
      <c r="LLP1" s="9" t="s">
        <v>8501</v>
      </c>
      <c r="LLQ1" s="9" t="s">
        <v>8502</v>
      </c>
      <c r="LLR1" s="9" t="s">
        <v>8503</v>
      </c>
      <c r="LLS1" s="9" t="s">
        <v>8504</v>
      </c>
      <c r="LLT1" s="9" t="s">
        <v>8505</v>
      </c>
      <c r="LLU1" s="9" t="s">
        <v>8506</v>
      </c>
      <c r="LLV1" s="9" t="s">
        <v>8507</v>
      </c>
      <c r="LLW1" s="9" t="s">
        <v>8508</v>
      </c>
      <c r="LLX1" s="9" t="s">
        <v>8509</v>
      </c>
      <c r="LLY1" s="9" t="s">
        <v>8510</v>
      </c>
      <c r="LLZ1" s="9" t="s">
        <v>8511</v>
      </c>
      <c r="LMA1" s="9" t="s">
        <v>8512</v>
      </c>
      <c r="LMB1" s="9" t="s">
        <v>8513</v>
      </c>
      <c r="LMC1" s="9" t="s">
        <v>8514</v>
      </c>
      <c r="LMD1" s="9" t="s">
        <v>8515</v>
      </c>
      <c r="LME1" s="9" t="s">
        <v>8516</v>
      </c>
      <c r="LMF1" s="9" t="s">
        <v>8517</v>
      </c>
      <c r="LMG1" s="9" t="s">
        <v>8518</v>
      </c>
      <c r="LMH1" s="9" t="s">
        <v>8519</v>
      </c>
      <c r="LMI1" s="9" t="s">
        <v>8520</v>
      </c>
      <c r="LMJ1" s="9" t="s">
        <v>8521</v>
      </c>
      <c r="LMK1" s="9" t="s">
        <v>8522</v>
      </c>
      <c r="LML1" s="9" t="s">
        <v>8523</v>
      </c>
      <c r="LMM1" s="9" t="s">
        <v>8524</v>
      </c>
      <c r="LMN1" s="9" t="s">
        <v>8525</v>
      </c>
      <c r="LMO1" s="9" t="s">
        <v>8526</v>
      </c>
      <c r="LMP1" s="9" t="s">
        <v>8527</v>
      </c>
      <c r="LMQ1" s="9" t="s">
        <v>8528</v>
      </c>
      <c r="LMR1" s="9" t="s">
        <v>8529</v>
      </c>
      <c r="LMS1" s="9" t="s">
        <v>8530</v>
      </c>
      <c r="LMT1" s="9" t="s">
        <v>8531</v>
      </c>
      <c r="LMU1" s="9" t="s">
        <v>8532</v>
      </c>
      <c r="LMV1" s="9" t="s">
        <v>8533</v>
      </c>
      <c r="LMW1" s="9" t="s">
        <v>8534</v>
      </c>
      <c r="LMX1" s="9" t="s">
        <v>8535</v>
      </c>
      <c r="LMY1" s="9" t="s">
        <v>8536</v>
      </c>
      <c r="LMZ1" s="9" t="s">
        <v>8537</v>
      </c>
      <c r="LNA1" s="9" t="s">
        <v>8538</v>
      </c>
      <c r="LNB1" s="9" t="s">
        <v>8539</v>
      </c>
      <c r="LNC1" s="9" t="s">
        <v>8540</v>
      </c>
      <c r="LND1" s="9" t="s">
        <v>8541</v>
      </c>
      <c r="LNE1" s="9" t="s">
        <v>8542</v>
      </c>
      <c r="LNF1" s="9" t="s">
        <v>8543</v>
      </c>
      <c r="LNG1" s="9" t="s">
        <v>8544</v>
      </c>
      <c r="LNH1" s="9" t="s">
        <v>8545</v>
      </c>
      <c r="LNI1" s="9" t="s">
        <v>8546</v>
      </c>
      <c r="LNJ1" s="9" t="s">
        <v>8547</v>
      </c>
      <c r="LNK1" s="9" t="s">
        <v>8548</v>
      </c>
      <c r="LNL1" s="9" t="s">
        <v>8549</v>
      </c>
      <c r="LNM1" s="9" t="s">
        <v>8550</v>
      </c>
      <c r="LNN1" s="9" t="s">
        <v>8551</v>
      </c>
      <c r="LNO1" s="9" t="s">
        <v>8552</v>
      </c>
      <c r="LNP1" s="9" t="s">
        <v>8553</v>
      </c>
      <c r="LNQ1" s="9" t="s">
        <v>8554</v>
      </c>
      <c r="LNR1" s="9" t="s">
        <v>8555</v>
      </c>
      <c r="LNS1" s="9" t="s">
        <v>8556</v>
      </c>
      <c r="LNT1" s="9" t="s">
        <v>8557</v>
      </c>
      <c r="LNU1" s="9" t="s">
        <v>8558</v>
      </c>
      <c r="LNV1" s="9" t="s">
        <v>8559</v>
      </c>
      <c r="LNW1" s="9" t="s">
        <v>8560</v>
      </c>
      <c r="LNX1" s="9" t="s">
        <v>8561</v>
      </c>
      <c r="LNY1" s="9" t="s">
        <v>8562</v>
      </c>
      <c r="LNZ1" s="9" t="s">
        <v>8563</v>
      </c>
      <c r="LOA1" s="9" t="s">
        <v>8564</v>
      </c>
      <c r="LOB1" s="9" t="s">
        <v>8565</v>
      </c>
      <c r="LOC1" s="9" t="s">
        <v>8566</v>
      </c>
      <c r="LOD1" s="9" t="s">
        <v>8567</v>
      </c>
      <c r="LOE1" s="9" t="s">
        <v>8568</v>
      </c>
      <c r="LOF1" s="9" t="s">
        <v>8569</v>
      </c>
      <c r="LOG1" s="9" t="s">
        <v>8570</v>
      </c>
      <c r="LOH1" s="9" t="s">
        <v>8571</v>
      </c>
      <c r="LOI1" s="9" t="s">
        <v>8572</v>
      </c>
      <c r="LOJ1" s="9" t="s">
        <v>8573</v>
      </c>
      <c r="LOK1" s="9" t="s">
        <v>8574</v>
      </c>
      <c r="LOL1" s="9" t="s">
        <v>8575</v>
      </c>
      <c r="LOM1" s="9" t="s">
        <v>8576</v>
      </c>
      <c r="LON1" s="9" t="s">
        <v>8577</v>
      </c>
      <c r="LOO1" s="9" t="s">
        <v>8578</v>
      </c>
      <c r="LOP1" s="9" t="s">
        <v>8579</v>
      </c>
      <c r="LOQ1" s="9" t="s">
        <v>8580</v>
      </c>
      <c r="LOR1" s="9" t="s">
        <v>8581</v>
      </c>
      <c r="LOS1" s="9" t="s">
        <v>8582</v>
      </c>
      <c r="LOT1" s="9" t="s">
        <v>8583</v>
      </c>
      <c r="LOU1" s="9" t="s">
        <v>8584</v>
      </c>
      <c r="LOV1" s="9" t="s">
        <v>8585</v>
      </c>
      <c r="LOW1" s="9" t="s">
        <v>8586</v>
      </c>
      <c r="LOX1" s="9" t="s">
        <v>8587</v>
      </c>
      <c r="LOY1" s="9" t="s">
        <v>8588</v>
      </c>
      <c r="LOZ1" s="9" t="s">
        <v>8589</v>
      </c>
      <c r="LPA1" s="9" t="s">
        <v>8590</v>
      </c>
      <c r="LPB1" s="9" t="s">
        <v>8591</v>
      </c>
      <c r="LPC1" s="9" t="s">
        <v>8592</v>
      </c>
      <c r="LPD1" s="9" t="s">
        <v>8593</v>
      </c>
      <c r="LPE1" s="9" t="s">
        <v>8594</v>
      </c>
      <c r="LPF1" s="9" t="s">
        <v>8595</v>
      </c>
      <c r="LPG1" s="9" t="s">
        <v>8596</v>
      </c>
      <c r="LPH1" s="9" t="s">
        <v>8597</v>
      </c>
      <c r="LPI1" s="9" t="s">
        <v>8598</v>
      </c>
      <c r="LPJ1" s="9" t="s">
        <v>8599</v>
      </c>
      <c r="LPK1" s="9" t="s">
        <v>8600</v>
      </c>
      <c r="LPL1" s="9" t="s">
        <v>8601</v>
      </c>
      <c r="LPM1" s="9" t="s">
        <v>8602</v>
      </c>
      <c r="LPN1" s="9" t="s">
        <v>8603</v>
      </c>
      <c r="LPO1" s="9" t="s">
        <v>8604</v>
      </c>
      <c r="LPP1" s="9" t="s">
        <v>8605</v>
      </c>
      <c r="LPQ1" s="9" t="s">
        <v>8606</v>
      </c>
      <c r="LPR1" s="9" t="s">
        <v>8607</v>
      </c>
      <c r="LPS1" s="9" t="s">
        <v>8608</v>
      </c>
      <c r="LPT1" s="9" t="s">
        <v>8609</v>
      </c>
      <c r="LPU1" s="9" t="s">
        <v>8610</v>
      </c>
      <c r="LPV1" s="9" t="s">
        <v>8611</v>
      </c>
      <c r="LPW1" s="9" t="s">
        <v>8612</v>
      </c>
      <c r="LPX1" s="9" t="s">
        <v>8613</v>
      </c>
      <c r="LPY1" s="9" t="s">
        <v>8614</v>
      </c>
      <c r="LPZ1" s="9" t="s">
        <v>8615</v>
      </c>
      <c r="LQA1" s="9" t="s">
        <v>8616</v>
      </c>
      <c r="LQB1" s="9" t="s">
        <v>8617</v>
      </c>
      <c r="LQC1" s="9" t="s">
        <v>8618</v>
      </c>
      <c r="LQD1" s="9" t="s">
        <v>8619</v>
      </c>
      <c r="LQE1" s="9" t="s">
        <v>8620</v>
      </c>
      <c r="LQF1" s="9" t="s">
        <v>8621</v>
      </c>
      <c r="LQG1" s="9" t="s">
        <v>8622</v>
      </c>
      <c r="LQH1" s="9" t="s">
        <v>8623</v>
      </c>
      <c r="LQI1" s="9" t="s">
        <v>8624</v>
      </c>
      <c r="LQJ1" s="9" t="s">
        <v>8625</v>
      </c>
      <c r="LQK1" s="9" t="s">
        <v>8626</v>
      </c>
      <c r="LQL1" s="9" t="s">
        <v>8627</v>
      </c>
      <c r="LQM1" s="9" t="s">
        <v>8628</v>
      </c>
      <c r="LQN1" s="9" t="s">
        <v>8629</v>
      </c>
      <c r="LQO1" s="9" t="s">
        <v>8630</v>
      </c>
      <c r="LQP1" s="9" t="s">
        <v>8631</v>
      </c>
      <c r="LQQ1" s="9" t="s">
        <v>8632</v>
      </c>
      <c r="LQR1" s="9" t="s">
        <v>8633</v>
      </c>
      <c r="LQS1" s="9" t="s">
        <v>8634</v>
      </c>
      <c r="LQT1" s="9" t="s">
        <v>8635</v>
      </c>
      <c r="LQU1" s="9" t="s">
        <v>8636</v>
      </c>
      <c r="LQV1" s="9" t="s">
        <v>8637</v>
      </c>
      <c r="LQW1" s="9" t="s">
        <v>8638</v>
      </c>
      <c r="LQX1" s="9" t="s">
        <v>8639</v>
      </c>
      <c r="LQY1" s="9" t="s">
        <v>8640</v>
      </c>
      <c r="LQZ1" s="9" t="s">
        <v>8641</v>
      </c>
      <c r="LRA1" s="9" t="s">
        <v>8642</v>
      </c>
      <c r="LRB1" s="9" t="s">
        <v>8643</v>
      </c>
      <c r="LRC1" s="9" t="s">
        <v>8644</v>
      </c>
      <c r="LRD1" s="9" t="s">
        <v>8645</v>
      </c>
      <c r="LRE1" s="9" t="s">
        <v>8646</v>
      </c>
      <c r="LRF1" s="9" t="s">
        <v>8647</v>
      </c>
      <c r="LRG1" s="9" t="s">
        <v>8648</v>
      </c>
      <c r="LRH1" s="9" t="s">
        <v>8649</v>
      </c>
      <c r="LRI1" s="9" t="s">
        <v>8650</v>
      </c>
      <c r="LRJ1" s="9" t="s">
        <v>8651</v>
      </c>
      <c r="LRK1" s="9" t="s">
        <v>8652</v>
      </c>
      <c r="LRL1" s="9" t="s">
        <v>8653</v>
      </c>
      <c r="LRM1" s="9" t="s">
        <v>8654</v>
      </c>
      <c r="LRN1" s="9" t="s">
        <v>8655</v>
      </c>
      <c r="LRO1" s="9" t="s">
        <v>8656</v>
      </c>
      <c r="LRP1" s="9" t="s">
        <v>8657</v>
      </c>
      <c r="LRQ1" s="9" t="s">
        <v>8658</v>
      </c>
      <c r="LRR1" s="9" t="s">
        <v>8659</v>
      </c>
      <c r="LRS1" s="9" t="s">
        <v>8660</v>
      </c>
      <c r="LRT1" s="9" t="s">
        <v>8661</v>
      </c>
      <c r="LRU1" s="9" t="s">
        <v>8662</v>
      </c>
      <c r="LRV1" s="9" t="s">
        <v>8663</v>
      </c>
      <c r="LRW1" s="9" t="s">
        <v>8664</v>
      </c>
      <c r="LRX1" s="9" t="s">
        <v>8665</v>
      </c>
      <c r="LRY1" s="9" t="s">
        <v>8666</v>
      </c>
      <c r="LRZ1" s="9" t="s">
        <v>8667</v>
      </c>
      <c r="LSA1" s="9" t="s">
        <v>8668</v>
      </c>
      <c r="LSB1" s="9" t="s">
        <v>8669</v>
      </c>
      <c r="LSC1" s="9" t="s">
        <v>8670</v>
      </c>
      <c r="LSD1" s="9" t="s">
        <v>8671</v>
      </c>
      <c r="LSE1" s="9" t="s">
        <v>8672</v>
      </c>
      <c r="LSF1" s="9" t="s">
        <v>8673</v>
      </c>
      <c r="LSG1" s="9" t="s">
        <v>8674</v>
      </c>
      <c r="LSH1" s="9" t="s">
        <v>8675</v>
      </c>
      <c r="LSI1" s="9" t="s">
        <v>8676</v>
      </c>
      <c r="LSJ1" s="9" t="s">
        <v>8677</v>
      </c>
      <c r="LSK1" s="9" t="s">
        <v>8678</v>
      </c>
      <c r="LSL1" s="9" t="s">
        <v>8679</v>
      </c>
      <c r="LSM1" s="9" t="s">
        <v>8680</v>
      </c>
      <c r="LSN1" s="9" t="s">
        <v>8681</v>
      </c>
      <c r="LSO1" s="9" t="s">
        <v>8682</v>
      </c>
      <c r="LSP1" s="9" t="s">
        <v>8683</v>
      </c>
      <c r="LSQ1" s="9" t="s">
        <v>8684</v>
      </c>
      <c r="LSR1" s="9" t="s">
        <v>8685</v>
      </c>
      <c r="LSS1" s="9" t="s">
        <v>8686</v>
      </c>
      <c r="LST1" s="9" t="s">
        <v>8687</v>
      </c>
      <c r="LSU1" s="9" t="s">
        <v>8688</v>
      </c>
      <c r="LSV1" s="9" t="s">
        <v>8689</v>
      </c>
      <c r="LSW1" s="9" t="s">
        <v>8690</v>
      </c>
      <c r="LSX1" s="9" t="s">
        <v>8691</v>
      </c>
      <c r="LSY1" s="9" t="s">
        <v>8692</v>
      </c>
      <c r="LSZ1" s="9" t="s">
        <v>8693</v>
      </c>
      <c r="LTA1" s="9" t="s">
        <v>8694</v>
      </c>
      <c r="LTB1" s="9" t="s">
        <v>8695</v>
      </c>
      <c r="LTC1" s="9" t="s">
        <v>8696</v>
      </c>
      <c r="LTD1" s="9" t="s">
        <v>8697</v>
      </c>
      <c r="LTE1" s="9" t="s">
        <v>8698</v>
      </c>
      <c r="LTF1" s="9" t="s">
        <v>8699</v>
      </c>
      <c r="LTG1" s="9" t="s">
        <v>8700</v>
      </c>
      <c r="LTH1" s="9" t="s">
        <v>8701</v>
      </c>
      <c r="LTI1" s="9" t="s">
        <v>8702</v>
      </c>
      <c r="LTJ1" s="9" t="s">
        <v>8703</v>
      </c>
      <c r="LTK1" s="9" t="s">
        <v>8704</v>
      </c>
      <c r="LTL1" s="9" t="s">
        <v>8705</v>
      </c>
      <c r="LTM1" s="9" t="s">
        <v>8706</v>
      </c>
      <c r="LTN1" s="9" t="s">
        <v>8707</v>
      </c>
      <c r="LTO1" s="9" t="s">
        <v>8708</v>
      </c>
      <c r="LTP1" s="9" t="s">
        <v>8709</v>
      </c>
      <c r="LTQ1" s="9" t="s">
        <v>8710</v>
      </c>
      <c r="LTR1" s="9" t="s">
        <v>8711</v>
      </c>
      <c r="LTS1" s="9" t="s">
        <v>8712</v>
      </c>
      <c r="LTT1" s="9" t="s">
        <v>8713</v>
      </c>
      <c r="LTU1" s="9" t="s">
        <v>8714</v>
      </c>
      <c r="LTV1" s="9" t="s">
        <v>8715</v>
      </c>
      <c r="LTW1" s="9" t="s">
        <v>8716</v>
      </c>
      <c r="LTX1" s="9" t="s">
        <v>8717</v>
      </c>
      <c r="LTY1" s="9" t="s">
        <v>8718</v>
      </c>
      <c r="LTZ1" s="9" t="s">
        <v>8719</v>
      </c>
      <c r="LUA1" s="9" t="s">
        <v>8720</v>
      </c>
      <c r="LUB1" s="9" t="s">
        <v>8721</v>
      </c>
      <c r="LUC1" s="9" t="s">
        <v>8722</v>
      </c>
      <c r="LUD1" s="9" t="s">
        <v>8723</v>
      </c>
      <c r="LUE1" s="9" t="s">
        <v>8724</v>
      </c>
      <c r="LUF1" s="9" t="s">
        <v>8725</v>
      </c>
      <c r="LUG1" s="9" t="s">
        <v>8726</v>
      </c>
      <c r="LUH1" s="9" t="s">
        <v>8727</v>
      </c>
      <c r="LUI1" s="9" t="s">
        <v>8728</v>
      </c>
      <c r="LUJ1" s="9" t="s">
        <v>8729</v>
      </c>
      <c r="LUK1" s="9" t="s">
        <v>8730</v>
      </c>
      <c r="LUL1" s="9" t="s">
        <v>8731</v>
      </c>
      <c r="LUM1" s="9" t="s">
        <v>8732</v>
      </c>
      <c r="LUN1" s="9" t="s">
        <v>8733</v>
      </c>
      <c r="LUO1" s="9" t="s">
        <v>8734</v>
      </c>
      <c r="LUP1" s="9" t="s">
        <v>8735</v>
      </c>
      <c r="LUQ1" s="9" t="s">
        <v>8736</v>
      </c>
      <c r="LUR1" s="9" t="s">
        <v>8737</v>
      </c>
      <c r="LUS1" s="9" t="s">
        <v>8738</v>
      </c>
      <c r="LUT1" s="9" t="s">
        <v>8739</v>
      </c>
      <c r="LUU1" s="9" t="s">
        <v>8740</v>
      </c>
      <c r="LUV1" s="9" t="s">
        <v>8741</v>
      </c>
      <c r="LUW1" s="9" t="s">
        <v>8742</v>
      </c>
      <c r="LUX1" s="9" t="s">
        <v>8743</v>
      </c>
      <c r="LUY1" s="9" t="s">
        <v>8744</v>
      </c>
      <c r="LUZ1" s="9" t="s">
        <v>8745</v>
      </c>
      <c r="LVA1" s="9" t="s">
        <v>8746</v>
      </c>
      <c r="LVB1" s="9" t="s">
        <v>8747</v>
      </c>
      <c r="LVC1" s="9" t="s">
        <v>8748</v>
      </c>
      <c r="LVD1" s="9" t="s">
        <v>8749</v>
      </c>
      <c r="LVE1" s="9" t="s">
        <v>8750</v>
      </c>
      <c r="LVF1" s="9" t="s">
        <v>8751</v>
      </c>
      <c r="LVG1" s="9" t="s">
        <v>8752</v>
      </c>
      <c r="LVH1" s="9" t="s">
        <v>8753</v>
      </c>
      <c r="LVI1" s="9" t="s">
        <v>8754</v>
      </c>
      <c r="LVJ1" s="9" t="s">
        <v>8755</v>
      </c>
      <c r="LVK1" s="9" t="s">
        <v>8756</v>
      </c>
      <c r="LVL1" s="9" t="s">
        <v>8757</v>
      </c>
      <c r="LVM1" s="9" t="s">
        <v>8758</v>
      </c>
      <c r="LVN1" s="9" t="s">
        <v>8759</v>
      </c>
      <c r="LVO1" s="9" t="s">
        <v>8760</v>
      </c>
      <c r="LVP1" s="9" t="s">
        <v>8761</v>
      </c>
      <c r="LVQ1" s="9" t="s">
        <v>8762</v>
      </c>
      <c r="LVR1" s="9" t="s">
        <v>8763</v>
      </c>
      <c r="LVS1" s="9" t="s">
        <v>8764</v>
      </c>
      <c r="LVT1" s="9" t="s">
        <v>8765</v>
      </c>
      <c r="LVU1" s="9" t="s">
        <v>8766</v>
      </c>
      <c r="LVV1" s="9" t="s">
        <v>8767</v>
      </c>
      <c r="LVW1" s="9" t="s">
        <v>8768</v>
      </c>
      <c r="LVX1" s="9" t="s">
        <v>8769</v>
      </c>
      <c r="LVY1" s="9" t="s">
        <v>8770</v>
      </c>
      <c r="LVZ1" s="9" t="s">
        <v>8771</v>
      </c>
      <c r="LWA1" s="9" t="s">
        <v>8772</v>
      </c>
      <c r="LWB1" s="9" t="s">
        <v>8773</v>
      </c>
      <c r="LWC1" s="9" t="s">
        <v>8774</v>
      </c>
      <c r="LWD1" s="9" t="s">
        <v>8775</v>
      </c>
      <c r="LWE1" s="9" t="s">
        <v>8776</v>
      </c>
      <c r="LWF1" s="9" t="s">
        <v>8777</v>
      </c>
      <c r="LWG1" s="9" t="s">
        <v>8778</v>
      </c>
      <c r="LWH1" s="9" t="s">
        <v>8779</v>
      </c>
      <c r="LWI1" s="9" t="s">
        <v>8780</v>
      </c>
      <c r="LWJ1" s="9" t="s">
        <v>8781</v>
      </c>
      <c r="LWK1" s="9" t="s">
        <v>8782</v>
      </c>
      <c r="LWL1" s="9" t="s">
        <v>8783</v>
      </c>
      <c r="LWM1" s="9" t="s">
        <v>8784</v>
      </c>
      <c r="LWN1" s="9" t="s">
        <v>8785</v>
      </c>
      <c r="LWO1" s="9" t="s">
        <v>8786</v>
      </c>
      <c r="LWP1" s="9" t="s">
        <v>8787</v>
      </c>
      <c r="LWQ1" s="9" t="s">
        <v>8788</v>
      </c>
      <c r="LWR1" s="9" t="s">
        <v>8789</v>
      </c>
      <c r="LWS1" s="9" t="s">
        <v>8790</v>
      </c>
      <c r="LWT1" s="9" t="s">
        <v>8791</v>
      </c>
      <c r="LWU1" s="9" t="s">
        <v>8792</v>
      </c>
      <c r="LWV1" s="9" t="s">
        <v>8793</v>
      </c>
      <c r="LWW1" s="9" t="s">
        <v>8794</v>
      </c>
      <c r="LWX1" s="9" t="s">
        <v>8795</v>
      </c>
      <c r="LWY1" s="9" t="s">
        <v>8796</v>
      </c>
      <c r="LWZ1" s="9" t="s">
        <v>8797</v>
      </c>
      <c r="LXA1" s="9" t="s">
        <v>8798</v>
      </c>
      <c r="LXB1" s="9" t="s">
        <v>8799</v>
      </c>
      <c r="LXC1" s="9" t="s">
        <v>8800</v>
      </c>
      <c r="LXD1" s="9" t="s">
        <v>8801</v>
      </c>
      <c r="LXE1" s="9" t="s">
        <v>8802</v>
      </c>
      <c r="LXF1" s="9" t="s">
        <v>8803</v>
      </c>
      <c r="LXG1" s="9" t="s">
        <v>8804</v>
      </c>
      <c r="LXH1" s="9" t="s">
        <v>8805</v>
      </c>
      <c r="LXI1" s="9" t="s">
        <v>8806</v>
      </c>
      <c r="LXJ1" s="9" t="s">
        <v>8807</v>
      </c>
      <c r="LXK1" s="9" t="s">
        <v>8808</v>
      </c>
      <c r="LXL1" s="9" t="s">
        <v>8809</v>
      </c>
      <c r="LXM1" s="9" t="s">
        <v>8810</v>
      </c>
      <c r="LXN1" s="9" t="s">
        <v>8811</v>
      </c>
      <c r="LXO1" s="9" t="s">
        <v>8812</v>
      </c>
      <c r="LXP1" s="9" t="s">
        <v>8813</v>
      </c>
      <c r="LXQ1" s="9" t="s">
        <v>8814</v>
      </c>
      <c r="LXR1" s="9" t="s">
        <v>8815</v>
      </c>
      <c r="LXS1" s="9" t="s">
        <v>8816</v>
      </c>
      <c r="LXT1" s="9" t="s">
        <v>8817</v>
      </c>
      <c r="LXU1" s="9" t="s">
        <v>8818</v>
      </c>
      <c r="LXV1" s="9" t="s">
        <v>8819</v>
      </c>
      <c r="LXW1" s="9" t="s">
        <v>8820</v>
      </c>
      <c r="LXX1" s="9" t="s">
        <v>8821</v>
      </c>
      <c r="LXY1" s="9" t="s">
        <v>8822</v>
      </c>
      <c r="LXZ1" s="9" t="s">
        <v>8823</v>
      </c>
      <c r="LYA1" s="9" t="s">
        <v>8824</v>
      </c>
      <c r="LYB1" s="9" t="s">
        <v>8825</v>
      </c>
      <c r="LYC1" s="9" t="s">
        <v>8826</v>
      </c>
      <c r="LYD1" s="9" t="s">
        <v>8827</v>
      </c>
      <c r="LYE1" s="9" t="s">
        <v>8828</v>
      </c>
      <c r="LYF1" s="9" t="s">
        <v>8829</v>
      </c>
      <c r="LYG1" s="9" t="s">
        <v>8830</v>
      </c>
      <c r="LYH1" s="9" t="s">
        <v>8831</v>
      </c>
      <c r="LYI1" s="9" t="s">
        <v>8832</v>
      </c>
      <c r="LYJ1" s="9" t="s">
        <v>8833</v>
      </c>
      <c r="LYK1" s="9" t="s">
        <v>8834</v>
      </c>
      <c r="LYL1" s="9" t="s">
        <v>8835</v>
      </c>
      <c r="LYM1" s="9" t="s">
        <v>8836</v>
      </c>
      <c r="LYN1" s="9" t="s">
        <v>8837</v>
      </c>
      <c r="LYO1" s="9" t="s">
        <v>8838</v>
      </c>
      <c r="LYP1" s="9" t="s">
        <v>8839</v>
      </c>
      <c r="LYQ1" s="9" t="s">
        <v>8840</v>
      </c>
      <c r="LYR1" s="9" t="s">
        <v>8841</v>
      </c>
      <c r="LYS1" s="9" t="s">
        <v>8842</v>
      </c>
      <c r="LYT1" s="9" t="s">
        <v>8843</v>
      </c>
      <c r="LYU1" s="9" t="s">
        <v>8844</v>
      </c>
      <c r="LYV1" s="9" t="s">
        <v>8845</v>
      </c>
      <c r="LYW1" s="9" t="s">
        <v>8846</v>
      </c>
      <c r="LYX1" s="9" t="s">
        <v>8847</v>
      </c>
      <c r="LYY1" s="9" t="s">
        <v>8848</v>
      </c>
      <c r="LYZ1" s="9" t="s">
        <v>8849</v>
      </c>
      <c r="LZA1" s="9" t="s">
        <v>8850</v>
      </c>
      <c r="LZB1" s="9" t="s">
        <v>8851</v>
      </c>
      <c r="LZC1" s="9" t="s">
        <v>8852</v>
      </c>
      <c r="LZD1" s="9" t="s">
        <v>8853</v>
      </c>
      <c r="LZE1" s="9" t="s">
        <v>8854</v>
      </c>
      <c r="LZF1" s="9" t="s">
        <v>8855</v>
      </c>
      <c r="LZG1" s="9" t="s">
        <v>8856</v>
      </c>
      <c r="LZH1" s="9" t="s">
        <v>8857</v>
      </c>
      <c r="LZI1" s="9" t="s">
        <v>8858</v>
      </c>
      <c r="LZJ1" s="9" t="s">
        <v>8859</v>
      </c>
      <c r="LZK1" s="9" t="s">
        <v>8860</v>
      </c>
      <c r="LZL1" s="9" t="s">
        <v>8861</v>
      </c>
      <c r="LZM1" s="9" t="s">
        <v>8862</v>
      </c>
      <c r="LZN1" s="9" t="s">
        <v>8863</v>
      </c>
      <c r="LZO1" s="9" t="s">
        <v>8864</v>
      </c>
      <c r="LZP1" s="9" t="s">
        <v>8865</v>
      </c>
      <c r="LZQ1" s="9" t="s">
        <v>8866</v>
      </c>
      <c r="LZR1" s="9" t="s">
        <v>8867</v>
      </c>
      <c r="LZS1" s="9" t="s">
        <v>8868</v>
      </c>
      <c r="LZT1" s="9" t="s">
        <v>8869</v>
      </c>
      <c r="LZU1" s="9" t="s">
        <v>8870</v>
      </c>
      <c r="LZV1" s="9" t="s">
        <v>8871</v>
      </c>
      <c r="LZW1" s="9" t="s">
        <v>8872</v>
      </c>
      <c r="LZX1" s="9" t="s">
        <v>8873</v>
      </c>
      <c r="LZY1" s="9" t="s">
        <v>8874</v>
      </c>
      <c r="LZZ1" s="9" t="s">
        <v>8875</v>
      </c>
      <c r="MAA1" s="9" t="s">
        <v>8876</v>
      </c>
      <c r="MAB1" s="9" t="s">
        <v>8877</v>
      </c>
      <c r="MAC1" s="9" t="s">
        <v>8878</v>
      </c>
      <c r="MAD1" s="9" t="s">
        <v>8879</v>
      </c>
      <c r="MAE1" s="9" t="s">
        <v>8880</v>
      </c>
      <c r="MAF1" s="9" t="s">
        <v>8881</v>
      </c>
      <c r="MAG1" s="9" t="s">
        <v>8882</v>
      </c>
      <c r="MAH1" s="9" t="s">
        <v>8883</v>
      </c>
      <c r="MAI1" s="9" t="s">
        <v>8884</v>
      </c>
      <c r="MAJ1" s="9" t="s">
        <v>8885</v>
      </c>
      <c r="MAK1" s="9" t="s">
        <v>8886</v>
      </c>
      <c r="MAL1" s="9" t="s">
        <v>8887</v>
      </c>
      <c r="MAM1" s="9" t="s">
        <v>8888</v>
      </c>
      <c r="MAN1" s="9" t="s">
        <v>8889</v>
      </c>
      <c r="MAO1" s="9" t="s">
        <v>8890</v>
      </c>
      <c r="MAP1" s="9" t="s">
        <v>8891</v>
      </c>
      <c r="MAQ1" s="9" t="s">
        <v>8892</v>
      </c>
      <c r="MAR1" s="9" t="s">
        <v>8893</v>
      </c>
      <c r="MAS1" s="9" t="s">
        <v>8894</v>
      </c>
      <c r="MAT1" s="9" t="s">
        <v>8895</v>
      </c>
      <c r="MAU1" s="9" t="s">
        <v>8896</v>
      </c>
      <c r="MAV1" s="9" t="s">
        <v>8897</v>
      </c>
      <c r="MAW1" s="9" t="s">
        <v>8898</v>
      </c>
      <c r="MAX1" s="9" t="s">
        <v>8899</v>
      </c>
      <c r="MAY1" s="9" t="s">
        <v>8900</v>
      </c>
      <c r="MAZ1" s="9" t="s">
        <v>8901</v>
      </c>
      <c r="MBA1" s="9" t="s">
        <v>8902</v>
      </c>
      <c r="MBB1" s="9" t="s">
        <v>8903</v>
      </c>
      <c r="MBC1" s="9" t="s">
        <v>8904</v>
      </c>
      <c r="MBD1" s="9" t="s">
        <v>8905</v>
      </c>
      <c r="MBE1" s="9" t="s">
        <v>8906</v>
      </c>
      <c r="MBF1" s="9" t="s">
        <v>8907</v>
      </c>
      <c r="MBG1" s="9" t="s">
        <v>8908</v>
      </c>
      <c r="MBH1" s="9" t="s">
        <v>8909</v>
      </c>
      <c r="MBI1" s="9" t="s">
        <v>8910</v>
      </c>
      <c r="MBJ1" s="9" t="s">
        <v>8911</v>
      </c>
      <c r="MBK1" s="9" t="s">
        <v>8912</v>
      </c>
      <c r="MBL1" s="9" t="s">
        <v>8913</v>
      </c>
      <c r="MBM1" s="9" t="s">
        <v>8914</v>
      </c>
      <c r="MBN1" s="9" t="s">
        <v>8915</v>
      </c>
      <c r="MBO1" s="9" t="s">
        <v>8916</v>
      </c>
      <c r="MBP1" s="9" t="s">
        <v>8917</v>
      </c>
      <c r="MBQ1" s="9" t="s">
        <v>8918</v>
      </c>
      <c r="MBR1" s="9" t="s">
        <v>8919</v>
      </c>
      <c r="MBS1" s="9" t="s">
        <v>8920</v>
      </c>
      <c r="MBT1" s="9" t="s">
        <v>8921</v>
      </c>
      <c r="MBU1" s="9" t="s">
        <v>8922</v>
      </c>
      <c r="MBV1" s="9" t="s">
        <v>8923</v>
      </c>
      <c r="MBW1" s="9" t="s">
        <v>8924</v>
      </c>
      <c r="MBX1" s="9" t="s">
        <v>8925</v>
      </c>
      <c r="MBY1" s="9" t="s">
        <v>8926</v>
      </c>
      <c r="MBZ1" s="9" t="s">
        <v>8927</v>
      </c>
      <c r="MCA1" s="9" t="s">
        <v>8928</v>
      </c>
      <c r="MCB1" s="9" t="s">
        <v>8929</v>
      </c>
      <c r="MCC1" s="9" t="s">
        <v>8930</v>
      </c>
      <c r="MCD1" s="9" t="s">
        <v>8931</v>
      </c>
      <c r="MCE1" s="9" t="s">
        <v>8932</v>
      </c>
      <c r="MCF1" s="9" t="s">
        <v>8933</v>
      </c>
      <c r="MCG1" s="9" t="s">
        <v>8934</v>
      </c>
      <c r="MCH1" s="9" t="s">
        <v>8935</v>
      </c>
      <c r="MCI1" s="9" t="s">
        <v>8936</v>
      </c>
      <c r="MCJ1" s="9" t="s">
        <v>8937</v>
      </c>
      <c r="MCK1" s="9" t="s">
        <v>8938</v>
      </c>
      <c r="MCL1" s="9" t="s">
        <v>8939</v>
      </c>
      <c r="MCM1" s="9" t="s">
        <v>8940</v>
      </c>
      <c r="MCN1" s="9" t="s">
        <v>8941</v>
      </c>
      <c r="MCO1" s="9" t="s">
        <v>8942</v>
      </c>
      <c r="MCP1" s="9" t="s">
        <v>8943</v>
      </c>
      <c r="MCQ1" s="9" t="s">
        <v>8944</v>
      </c>
      <c r="MCR1" s="9" t="s">
        <v>8945</v>
      </c>
      <c r="MCS1" s="9" t="s">
        <v>8946</v>
      </c>
      <c r="MCT1" s="9" t="s">
        <v>8947</v>
      </c>
      <c r="MCU1" s="9" t="s">
        <v>8948</v>
      </c>
      <c r="MCV1" s="9" t="s">
        <v>8949</v>
      </c>
      <c r="MCW1" s="9" t="s">
        <v>8950</v>
      </c>
      <c r="MCX1" s="9" t="s">
        <v>8951</v>
      </c>
      <c r="MCY1" s="9" t="s">
        <v>8952</v>
      </c>
      <c r="MCZ1" s="9" t="s">
        <v>8953</v>
      </c>
      <c r="MDA1" s="9" t="s">
        <v>8954</v>
      </c>
      <c r="MDB1" s="9" t="s">
        <v>8955</v>
      </c>
      <c r="MDC1" s="9" t="s">
        <v>8956</v>
      </c>
      <c r="MDD1" s="9" t="s">
        <v>8957</v>
      </c>
      <c r="MDE1" s="9" t="s">
        <v>8958</v>
      </c>
      <c r="MDF1" s="9" t="s">
        <v>8959</v>
      </c>
      <c r="MDG1" s="9" t="s">
        <v>8960</v>
      </c>
      <c r="MDH1" s="9" t="s">
        <v>8961</v>
      </c>
      <c r="MDI1" s="9" t="s">
        <v>8962</v>
      </c>
      <c r="MDJ1" s="9" t="s">
        <v>8963</v>
      </c>
      <c r="MDK1" s="9" t="s">
        <v>8964</v>
      </c>
      <c r="MDL1" s="9" t="s">
        <v>8965</v>
      </c>
      <c r="MDM1" s="9" t="s">
        <v>8966</v>
      </c>
      <c r="MDN1" s="9" t="s">
        <v>8967</v>
      </c>
      <c r="MDO1" s="9" t="s">
        <v>8968</v>
      </c>
      <c r="MDP1" s="9" t="s">
        <v>8969</v>
      </c>
      <c r="MDQ1" s="9" t="s">
        <v>8970</v>
      </c>
      <c r="MDR1" s="9" t="s">
        <v>8971</v>
      </c>
      <c r="MDS1" s="9" t="s">
        <v>8972</v>
      </c>
      <c r="MDT1" s="9" t="s">
        <v>8973</v>
      </c>
      <c r="MDU1" s="9" t="s">
        <v>8974</v>
      </c>
      <c r="MDV1" s="9" t="s">
        <v>8975</v>
      </c>
      <c r="MDW1" s="9" t="s">
        <v>8976</v>
      </c>
      <c r="MDX1" s="9" t="s">
        <v>8977</v>
      </c>
      <c r="MDY1" s="9" t="s">
        <v>8978</v>
      </c>
      <c r="MDZ1" s="9" t="s">
        <v>8979</v>
      </c>
      <c r="MEA1" s="9" t="s">
        <v>8980</v>
      </c>
      <c r="MEB1" s="9" t="s">
        <v>8981</v>
      </c>
      <c r="MEC1" s="9" t="s">
        <v>8982</v>
      </c>
      <c r="MED1" s="9" t="s">
        <v>8983</v>
      </c>
      <c r="MEE1" s="9" t="s">
        <v>8984</v>
      </c>
      <c r="MEF1" s="9" t="s">
        <v>8985</v>
      </c>
      <c r="MEG1" s="9" t="s">
        <v>8986</v>
      </c>
      <c r="MEH1" s="9" t="s">
        <v>8987</v>
      </c>
      <c r="MEI1" s="9" t="s">
        <v>8988</v>
      </c>
      <c r="MEJ1" s="9" t="s">
        <v>8989</v>
      </c>
      <c r="MEK1" s="9" t="s">
        <v>8990</v>
      </c>
      <c r="MEL1" s="9" t="s">
        <v>8991</v>
      </c>
      <c r="MEM1" s="9" t="s">
        <v>8992</v>
      </c>
      <c r="MEN1" s="9" t="s">
        <v>8993</v>
      </c>
      <c r="MEO1" s="9" t="s">
        <v>8994</v>
      </c>
      <c r="MEP1" s="9" t="s">
        <v>8995</v>
      </c>
      <c r="MEQ1" s="9" t="s">
        <v>8996</v>
      </c>
      <c r="MER1" s="9" t="s">
        <v>8997</v>
      </c>
      <c r="MES1" s="9" t="s">
        <v>8998</v>
      </c>
      <c r="MET1" s="9" t="s">
        <v>8999</v>
      </c>
      <c r="MEU1" s="9" t="s">
        <v>9000</v>
      </c>
      <c r="MEV1" s="9" t="s">
        <v>9001</v>
      </c>
      <c r="MEW1" s="9" t="s">
        <v>9002</v>
      </c>
      <c r="MEX1" s="9" t="s">
        <v>9003</v>
      </c>
      <c r="MEY1" s="9" t="s">
        <v>9004</v>
      </c>
      <c r="MEZ1" s="9" t="s">
        <v>9005</v>
      </c>
      <c r="MFA1" s="9" t="s">
        <v>9006</v>
      </c>
      <c r="MFB1" s="9" t="s">
        <v>9007</v>
      </c>
      <c r="MFC1" s="9" t="s">
        <v>9008</v>
      </c>
      <c r="MFD1" s="9" t="s">
        <v>9009</v>
      </c>
      <c r="MFE1" s="9" t="s">
        <v>9010</v>
      </c>
      <c r="MFF1" s="9" t="s">
        <v>9011</v>
      </c>
      <c r="MFG1" s="9" t="s">
        <v>9012</v>
      </c>
      <c r="MFH1" s="9" t="s">
        <v>9013</v>
      </c>
      <c r="MFI1" s="9" t="s">
        <v>9014</v>
      </c>
      <c r="MFJ1" s="9" t="s">
        <v>9015</v>
      </c>
      <c r="MFK1" s="9" t="s">
        <v>9016</v>
      </c>
      <c r="MFL1" s="9" t="s">
        <v>9017</v>
      </c>
      <c r="MFM1" s="9" t="s">
        <v>9018</v>
      </c>
      <c r="MFN1" s="9" t="s">
        <v>9019</v>
      </c>
      <c r="MFO1" s="9" t="s">
        <v>9020</v>
      </c>
      <c r="MFP1" s="9" t="s">
        <v>9021</v>
      </c>
      <c r="MFQ1" s="9" t="s">
        <v>9022</v>
      </c>
      <c r="MFR1" s="9" t="s">
        <v>9023</v>
      </c>
      <c r="MFS1" s="9" t="s">
        <v>9024</v>
      </c>
      <c r="MFT1" s="9" t="s">
        <v>9025</v>
      </c>
      <c r="MFU1" s="9" t="s">
        <v>9026</v>
      </c>
      <c r="MFV1" s="9" t="s">
        <v>9027</v>
      </c>
      <c r="MFW1" s="9" t="s">
        <v>9028</v>
      </c>
      <c r="MFX1" s="9" t="s">
        <v>9029</v>
      </c>
      <c r="MFY1" s="9" t="s">
        <v>9030</v>
      </c>
      <c r="MFZ1" s="9" t="s">
        <v>9031</v>
      </c>
      <c r="MGA1" s="9" t="s">
        <v>9032</v>
      </c>
      <c r="MGB1" s="9" t="s">
        <v>9033</v>
      </c>
      <c r="MGC1" s="9" t="s">
        <v>9034</v>
      </c>
      <c r="MGD1" s="9" t="s">
        <v>9035</v>
      </c>
      <c r="MGE1" s="9" t="s">
        <v>9036</v>
      </c>
      <c r="MGF1" s="9" t="s">
        <v>9037</v>
      </c>
      <c r="MGG1" s="9" t="s">
        <v>9038</v>
      </c>
      <c r="MGH1" s="9" t="s">
        <v>9039</v>
      </c>
      <c r="MGI1" s="9" t="s">
        <v>9040</v>
      </c>
      <c r="MGJ1" s="9" t="s">
        <v>9041</v>
      </c>
      <c r="MGK1" s="9" t="s">
        <v>9042</v>
      </c>
      <c r="MGL1" s="9" t="s">
        <v>9043</v>
      </c>
      <c r="MGM1" s="9" t="s">
        <v>9044</v>
      </c>
      <c r="MGN1" s="9" t="s">
        <v>9045</v>
      </c>
      <c r="MGO1" s="9" t="s">
        <v>9046</v>
      </c>
      <c r="MGP1" s="9" t="s">
        <v>9047</v>
      </c>
      <c r="MGQ1" s="9" t="s">
        <v>9048</v>
      </c>
      <c r="MGR1" s="9" t="s">
        <v>9049</v>
      </c>
      <c r="MGS1" s="9" t="s">
        <v>9050</v>
      </c>
      <c r="MGT1" s="9" t="s">
        <v>9051</v>
      </c>
      <c r="MGU1" s="9" t="s">
        <v>9052</v>
      </c>
      <c r="MGV1" s="9" t="s">
        <v>9053</v>
      </c>
      <c r="MGW1" s="9" t="s">
        <v>9054</v>
      </c>
      <c r="MGX1" s="9" t="s">
        <v>9055</v>
      </c>
      <c r="MGY1" s="9" t="s">
        <v>9056</v>
      </c>
      <c r="MGZ1" s="9" t="s">
        <v>9057</v>
      </c>
      <c r="MHA1" s="9" t="s">
        <v>9058</v>
      </c>
      <c r="MHB1" s="9" t="s">
        <v>9059</v>
      </c>
      <c r="MHC1" s="9" t="s">
        <v>9060</v>
      </c>
      <c r="MHD1" s="9" t="s">
        <v>9061</v>
      </c>
      <c r="MHE1" s="9" t="s">
        <v>9062</v>
      </c>
      <c r="MHF1" s="9" t="s">
        <v>9063</v>
      </c>
      <c r="MHG1" s="9" t="s">
        <v>9064</v>
      </c>
      <c r="MHH1" s="9" t="s">
        <v>9065</v>
      </c>
      <c r="MHI1" s="9" t="s">
        <v>9066</v>
      </c>
      <c r="MHJ1" s="9" t="s">
        <v>9067</v>
      </c>
      <c r="MHK1" s="9" t="s">
        <v>9068</v>
      </c>
      <c r="MHL1" s="9" t="s">
        <v>9069</v>
      </c>
      <c r="MHM1" s="9" t="s">
        <v>9070</v>
      </c>
      <c r="MHN1" s="9" t="s">
        <v>9071</v>
      </c>
      <c r="MHO1" s="9" t="s">
        <v>9072</v>
      </c>
      <c r="MHP1" s="9" t="s">
        <v>9073</v>
      </c>
      <c r="MHQ1" s="9" t="s">
        <v>9074</v>
      </c>
      <c r="MHR1" s="9" t="s">
        <v>9075</v>
      </c>
      <c r="MHS1" s="9" t="s">
        <v>9076</v>
      </c>
      <c r="MHT1" s="9" t="s">
        <v>9077</v>
      </c>
      <c r="MHU1" s="9" t="s">
        <v>9078</v>
      </c>
      <c r="MHV1" s="9" t="s">
        <v>9079</v>
      </c>
      <c r="MHW1" s="9" t="s">
        <v>9080</v>
      </c>
      <c r="MHX1" s="9" t="s">
        <v>9081</v>
      </c>
      <c r="MHY1" s="9" t="s">
        <v>9082</v>
      </c>
      <c r="MHZ1" s="9" t="s">
        <v>9083</v>
      </c>
      <c r="MIA1" s="9" t="s">
        <v>9084</v>
      </c>
      <c r="MIB1" s="9" t="s">
        <v>9085</v>
      </c>
      <c r="MIC1" s="9" t="s">
        <v>9086</v>
      </c>
      <c r="MID1" s="9" t="s">
        <v>9087</v>
      </c>
      <c r="MIE1" s="9" t="s">
        <v>9088</v>
      </c>
      <c r="MIF1" s="9" t="s">
        <v>9089</v>
      </c>
      <c r="MIG1" s="9" t="s">
        <v>9090</v>
      </c>
      <c r="MIH1" s="9" t="s">
        <v>9091</v>
      </c>
      <c r="MII1" s="9" t="s">
        <v>9092</v>
      </c>
      <c r="MIJ1" s="9" t="s">
        <v>9093</v>
      </c>
      <c r="MIK1" s="9" t="s">
        <v>9094</v>
      </c>
      <c r="MIL1" s="9" t="s">
        <v>9095</v>
      </c>
      <c r="MIM1" s="9" t="s">
        <v>9096</v>
      </c>
      <c r="MIN1" s="9" t="s">
        <v>9097</v>
      </c>
      <c r="MIO1" s="9" t="s">
        <v>9098</v>
      </c>
      <c r="MIP1" s="9" t="s">
        <v>9099</v>
      </c>
      <c r="MIQ1" s="9" t="s">
        <v>9100</v>
      </c>
      <c r="MIR1" s="9" t="s">
        <v>9101</v>
      </c>
      <c r="MIS1" s="9" t="s">
        <v>9102</v>
      </c>
      <c r="MIT1" s="9" t="s">
        <v>9103</v>
      </c>
      <c r="MIU1" s="9" t="s">
        <v>9104</v>
      </c>
      <c r="MIV1" s="9" t="s">
        <v>9105</v>
      </c>
      <c r="MIW1" s="9" t="s">
        <v>9106</v>
      </c>
      <c r="MIX1" s="9" t="s">
        <v>9107</v>
      </c>
      <c r="MIY1" s="9" t="s">
        <v>9108</v>
      </c>
      <c r="MIZ1" s="9" t="s">
        <v>9109</v>
      </c>
      <c r="MJA1" s="9" t="s">
        <v>9110</v>
      </c>
      <c r="MJB1" s="9" t="s">
        <v>9111</v>
      </c>
      <c r="MJC1" s="9" t="s">
        <v>9112</v>
      </c>
      <c r="MJD1" s="9" t="s">
        <v>9113</v>
      </c>
      <c r="MJE1" s="9" t="s">
        <v>9114</v>
      </c>
      <c r="MJF1" s="9" t="s">
        <v>9115</v>
      </c>
      <c r="MJG1" s="9" t="s">
        <v>9116</v>
      </c>
      <c r="MJH1" s="9" t="s">
        <v>9117</v>
      </c>
      <c r="MJI1" s="9" t="s">
        <v>9118</v>
      </c>
      <c r="MJJ1" s="9" t="s">
        <v>9119</v>
      </c>
      <c r="MJK1" s="9" t="s">
        <v>9120</v>
      </c>
      <c r="MJL1" s="9" t="s">
        <v>9121</v>
      </c>
      <c r="MJM1" s="9" t="s">
        <v>9122</v>
      </c>
      <c r="MJN1" s="9" t="s">
        <v>9123</v>
      </c>
      <c r="MJO1" s="9" t="s">
        <v>9124</v>
      </c>
      <c r="MJP1" s="9" t="s">
        <v>9125</v>
      </c>
      <c r="MJQ1" s="9" t="s">
        <v>9126</v>
      </c>
      <c r="MJR1" s="9" t="s">
        <v>9127</v>
      </c>
      <c r="MJS1" s="9" t="s">
        <v>9128</v>
      </c>
      <c r="MJT1" s="9" t="s">
        <v>9129</v>
      </c>
      <c r="MJU1" s="9" t="s">
        <v>9130</v>
      </c>
      <c r="MJV1" s="9" t="s">
        <v>9131</v>
      </c>
      <c r="MJW1" s="9" t="s">
        <v>9132</v>
      </c>
      <c r="MJX1" s="9" t="s">
        <v>9133</v>
      </c>
      <c r="MJY1" s="9" t="s">
        <v>9134</v>
      </c>
      <c r="MJZ1" s="9" t="s">
        <v>9135</v>
      </c>
      <c r="MKA1" s="9" t="s">
        <v>9136</v>
      </c>
      <c r="MKB1" s="9" t="s">
        <v>9137</v>
      </c>
      <c r="MKC1" s="9" t="s">
        <v>9138</v>
      </c>
      <c r="MKD1" s="9" t="s">
        <v>9139</v>
      </c>
      <c r="MKE1" s="9" t="s">
        <v>9140</v>
      </c>
      <c r="MKF1" s="9" t="s">
        <v>9141</v>
      </c>
      <c r="MKG1" s="9" t="s">
        <v>9142</v>
      </c>
      <c r="MKH1" s="9" t="s">
        <v>9143</v>
      </c>
      <c r="MKI1" s="9" t="s">
        <v>9144</v>
      </c>
      <c r="MKJ1" s="9" t="s">
        <v>9145</v>
      </c>
      <c r="MKK1" s="9" t="s">
        <v>9146</v>
      </c>
      <c r="MKL1" s="9" t="s">
        <v>9147</v>
      </c>
      <c r="MKM1" s="9" t="s">
        <v>9148</v>
      </c>
      <c r="MKN1" s="9" t="s">
        <v>9149</v>
      </c>
      <c r="MKO1" s="9" t="s">
        <v>9150</v>
      </c>
      <c r="MKP1" s="9" t="s">
        <v>9151</v>
      </c>
      <c r="MKQ1" s="9" t="s">
        <v>9152</v>
      </c>
      <c r="MKR1" s="9" t="s">
        <v>9153</v>
      </c>
      <c r="MKS1" s="9" t="s">
        <v>9154</v>
      </c>
      <c r="MKT1" s="9" t="s">
        <v>9155</v>
      </c>
      <c r="MKU1" s="9" t="s">
        <v>9156</v>
      </c>
      <c r="MKV1" s="9" t="s">
        <v>9157</v>
      </c>
      <c r="MKW1" s="9" t="s">
        <v>9158</v>
      </c>
      <c r="MKX1" s="9" t="s">
        <v>9159</v>
      </c>
      <c r="MKY1" s="9" t="s">
        <v>9160</v>
      </c>
      <c r="MKZ1" s="9" t="s">
        <v>9161</v>
      </c>
      <c r="MLA1" s="9" t="s">
        <v>9162</v>
      </c>
      <c r="MLB1" s="9" t="s">
        <v>9163</v>
      </c>
      <c r="MLC1" s="9" t="s">
        <v>9164</v>
      </c>
      <c r="MLD1" s="9" t="s">
        <v>9165</v>
      </c>
      <c r="MLE1" s="9" t="s">
        <v>9166</v>
      </c>
      <c r="MLF1" s="9" t="s">
        <v>9167</v>
      </c>
      <c r="MLG1" s="9" t="s">
        <v>9168</v>
      </c>
      <c r="MLH1" s="9" t="s">
        <v>9169</v>
      </c>
      <c r="MLI1" s="9" t="s">
        <v>9170</v>
      </c>
      <c r="MLJ1" s="9" t="s">
        <v>9171</v>
      </c>
      <c r="MLK1" s="9" t="s">
        <v>9172</v>
      </c>
      <c r="MLL1" s="9" t="s">
        <v>9173</v>
      </c>
      <c r="MLM1" s="9" t="s">
        <v>9174</v>
      </c>
      <c r="MLN1" s="9" t="s">
        <v>9175</v>
      </c>
      <c r="MLO1" s="9" t="s">
        <v>9176</v>
      </c>
      <c r="MLP1" s="9" t="s">
        <v>9177</v>
      </c>
      <c r="MLQ1" s="9" t="s">
        <v>9178</v>
      </c>
      <c r="MLR1" s="9" t="s">
        <v>9179</v>
      </c>
      <c r="MLS1" s="9" t="s">
        <v>9180</v>
      </c>
      <c r="MLT1" s="9" t="s">
        <v>9181</v>
      </c>
      <c r="MLU1" s="9" t="s">
        <v>9182</v>
      </c>
      <c r="MLV1" s="9" t="s">
        <v>9183</v>
      </c>
      <c r="MLW1" s="9" t="s">
        <v>9184</v>
      </c>
      <c r="MLX1" s="9" t="s">
        <v>9185</v>
      </c>
      <c r="MLY1" s="9" t="s">
        <v>9186</v>
      </c>
      <c r="MLZ1" s="9" t="s">
        <v>9187</v>
      </c>
      <c r="MMA1" s="9" t="s">
        <v>9188</v>
      </c>
      <c r="MMB1" s="9" t="s">
        <v>9189</v>
      </c>
      <c r="MMC1" s="9" t="s">
        <v>9190</v>
      </c>
      <c r="MMD1" s="9" t="s">
        <v>9191</v>
      </c>
      <c r="MME1" s="9" t="s">
        <v>9192</v>
      </c>
      <c r="MMF1" s="9" t="s">
        <v>9193</v>
      </c>
      <c r="MMG1" s="9" t="s">
        <v>9194</v>
      </c>
      <c r="MMH1" s="9" t="s">
        <v>9195</v>
      </c>
      <c r="MMI1" s="9" t="s">
        <v>9196</v>
      </c>
      <c r="MMJ1" s="9" t="s">
        <v>9197</v>
      </c>
      <c r="MMK1" s="9" t="s">
        <v>9198</v>
      </c>
      <c r="MML1" s="9" t="s">
        <v>9199</v>
      </c>
      <c r="MMM1" s="9" t="s">
        <v>9200</v>
      </c>
      <c r="MMN1" s="9" t="s">
        <v>9201</v>
      </c>
      <c r="MMO1" s="9" t="s">
        <v>9202</v>
      </c>
      <c r="MMP1" s="9" t="s">
        <v>9203</v>
      </c>
      <c r="MMQ1" s="9" t="s">
        <v>9204</v>
      </c>
      <c r="MMR1" s="9" t="s">
        <v>9205</v>
      </c>
      <c r="MMS1" s="9" t="s">
        <v>9206</v>
      </c>
      <c r="MMT1" s="9" t="s">
        <v>9207</v>
      </c>
      <c r="MMU1" s="9" t="s">
        <v>9208</v>
      </c>
      <c r="MMV1" s="9" t="s">
        <v>9209</v>
      </c>
      <c r="MMW1" s="9" t="s">
        <v>9210</v>
      </c>
      <c r="MMX1" s="9" t="s">
        <v>9211</v>
      </c>
      <c r="MMY1" s="9" t="s">
        <v>9212</v>
      </c>
      <c r="MMZ1" s="9" t="s">
        <v>9213</v>
      </c>
      <c r="MNA1" s="9" t="s">
        <v>9214</v>
      </c>
      <c r="MNB1" s="9" t="s">
        <v>9215</v>
      </c>
      <c r="MNC1" s="9" t="s">
        <v>9216</v>
      </c>
      <c r="MND1" s="9" t="s">
        <v>9217</v>
      </c>
      <c r="MNE1" s="9" t="s">
        <v>9218</v>
      </c>
      <c r="MNF1" s="9" t="s">
        <v>9219</v>
      </c>
      <c r="MNG1" s="9" t="s">
        <v>9220</v>
      </c>
      <c r="MNH1" s="9" t="s">
        <v>9221</v>
      </c>
      <c r="MNI1" s="9" t="s">
        <v>9222</v>
      </c>
      <c r="MNJ1" s="9" t="s">
        <v>9223</v>
      </c>
      <c r="MNK1" s="9" t="s">
        <v>9224</v>
      </c>
      <c r="MNL1" s="9" t="s">
        <v>9225</v>
      </c>
      <c r="MNM1" s="9" t="s">
        <v>9226</v>
      </c>
      <c r="MNN1" s="9" t="s">
        <v>9227</v>
      </c>
      <c r="MNO1" s="9" t="s">
        <v>9228</v>
      </c>
      <c r="MNP1" s="9" t="s">
        <v>9229</v>
      </c>
      <c r="MNQ1" s="9" t="s">
        <v>9230</v>
      </c>
      <c r="MNR1" s="9" t="s">
        <v>9231</v>
      </c>
      <c r="MNS1" s="9" t="s">
        <v>9232</v>
      </c>
      <c r="MNT1" s="9" t="s">
        <v>9233</v>
      </c>
      <c r="MNU1" s="9" t="s">
        <v>9234</v>
      </c>
      <c r="MNV1" s="9" t="s">
        <v>9235</v>
      </c>
      <c r="MNW1" s="9" t="s">
        <v>9236</v>
      </c>
      <c r="MNX1" s="9" t="s">
        <v>9237</v>
      </c>
      <c r="MNY1" s="9" t="s">
        <v>9238</v>
      </c>
      <c r="MNZ1" s="9" t="s">
        <v>9239</v>
      </c>
      <c r="MOA1" s="9" t="s">
        <v>9240</v>
      </c>
      <c r="MOB1" s="9" t="s">
        <v>9241</v>
      </c>
      <c r="MOC1" s="9" t="s">
        <v>9242</v>
      </c>
      <c r="MOD1" s="9" t="s">
        <v>9243</v>
      </c>
      <c r="MOE1" s="9" t="s">
        <v>9244</v>
      </c>
      <c r="MOF1" s="9" t="s">
        <v>9245</v>
      </c>
      <c r="MOG1" s="9" t="s">
        <v>9246</v>
      </c>
      <c r="MOH1" s="9" t="s">
        <v>9247</v>
      </c>
      <c r="MOI1" s="9" t="s">
        <v>9248</v>
      </c>
      <c r="MOJ1" s="9" t="s">
        <v>9249</v>
      </c>
      <c r="MOK1" s="9" t="s">
        <v>9250</v>
      </c>
      <c r="MOL1" s="9" t="s">
        <v>9251</v>
      </c>
      <c r="MOM1" s="9" t="s">
        <v>9252</v>
      </c>
      <c r="MON1" s="9" t="s">
        <v>9253</v>
      </c>
      <c r="MOO1" s="9" t="s">
        <v>9254</v>
      </c>
      <c r="MOP1" s="9" t="s">
        <v>9255</v>
      </c>
      <c r="MOQ1" s="9" t="s">
        <v>9256</v>
      </c>
      <c r="MOR1" s="9" t="s">
        <v>9257</v>
      </c>
      <c r="MOS1" s="9" t="s">
        <v>9258</v>
      </c>
      <c r="MOT1" s="9" t="s">
        <v>9259</v>
      </c>
      <c r="MOU1" s="9" t="s">
        <v>9260</v>
      </c>
      <c r="MOV1" s="9" t="s">
        <v>9261</v>
      </c>
      <c r="MOW1" s="9" t="s">
        <v>9262</v>
      </c>
      <c r="MOX1" s="9" t="s">
        <v>9263</v>
      </c>
      <c r="MOY1" s="9" t="s">
        <v>9264</v>
      </c>
      <c r="MOZ1" s="9" t="s">
        <v>9265</v>
      </c>
      <c r="MPA1" s="9" t="s">
        <v>9266</v>
      </c>
      <c r="MPB1" s="9" t="s">
        <v>9267</v>
      </c>
      <c r="MPC1" s="9" t="s">
        <v>9268</v>
      </c>
      <c r="MPD1" s="9" t="s">
        <v>9269</v>
      </c>
      <c r="MPE1" s="9" t="s">
        <v>9270</v>
      </c>
      <c r="MPF1" s="9" t="s">
        <v>9271</v>
      </c>
      <c r="MPG1" s="9" t="s">
        <v>9272</v>
      </c>
      <c r="MPH1" s="9" t="s">
        <v>9273</v>
      </c>
      <c r="MPI1" s="9" t="s">
        <v>9274</v>
      </c>
      <c r="MPJ1" s="9" t="s">
        <v>9275</v>
      </c>
      <c r="MPK1" s="9" t="s">
        <v>9276</v>
      </c>
      <c r="MPL1" s="9" t="s">
        <v>9277</v>
      </c>
      <c r="MPM1" s="9" t="s">
        <v>9278</v>
      </c>
      <c r="MPN1" s="9" t="s">
        <v>9279</v>
      </c>
      <c r="MPO1" s="9" t="s">
        <v>9280</v>
      </c>
      <c r="MPP1" s="9" t="s">
        <v>9281</v>
      </c>
      <c r="MPQ1" s="9" t="s">
        <v>9282</v>
      </c>
      <c r="MPR1" s="9" t="s">
        <v>9283</v>
      </c>
      <c r="MPS1" s="9" t="s">
        <v>9284</v>
      </c>
      <c r="MPT1" s="9" t="s">
        <v>9285</v>
      </c>
      <c r="MPU1" s="9" t="s">
        <v>9286</v>
      </c>
      <c r="MPV1" s="9" t="s">
        <v>9287</v>
      </c>
      <c r="MPW1" s="9" t="s">
        <v>9288</v>
      </c>
      <c r="MPX1" s="9" t="s">
        <v>9289</v>
      </c>
      <c r="MPY1" s="9" t="s">
        <v>9290</v>
      </c>
      <c r="MPZ1" s="9" t="s">
        <v>9291</v>
      </c>
      <c r="MQA1" s="9" t="s">
        <v>9292</v>
      </c>
      <c r="MQB1" s="9" t="s">
        <v>9293</v>
      </c>
      <c r="MQC1" s="9" t="s">
        <v>9294</v>
      </c>
      <c r="MQD1" s="9" t="s">
        <v>9295</v>
      </c>
      <c r="MQE1" s="9" t="s">
        <v>9296</v>
      </c>
      <c r="MQF1" s="9" t="s">
        <v>9297</v>
      </c>
      <c r="MQG1" s="9" t="s">
        <v>9298</v>
      </c>
      <c r="MQH1" s="9" t="s">
        <v>9299</v>
      </c>
      <c r="MQI1" s="9" t="s">
        <v>9300</v>
      </c>
      <c r="MQJ1" s="9" t="s">
        <v>9301</v>
      </c>
      <c r="MQK1" s="9" t="s">
        <v>9302</v>
      </c>
      <c r="MQL1" s="9" t="s">
        <v>9303</v>
      </c>
      <c r="MQM1" s="9" t="s">
        <v>9304</v>
      </c>
      <c r="MQN1" s="9" t="s">
        <v>9305</v>
      </c>
      <c r="MQO1" s="9" t="s">
        <v>9306</v>
      </c>
      <c r="MQP1" s="9" t="s">
        <v>9307</v>
      </c>
      <c r="MQQ1" s="9" t="s">
        <v>9308</v>
      </c>
      <c r="MQR1" s="9" t="s">
        <v>9309</v>
      </c>
      <c r="MQS1" s="9" t="s">
        <v>9310</v>
      </c>
      <c r="MQT1" s="9" t="s">
        <v>9311</v>
      </c>
      <c r="MQU1" s="9" t="s">
        <v>9312</v>
      </c>
      <c r="MQV1" s="9" t="s">
        <v>9313</v>
      </c>
      <c r="MQW1" s="9" t="s">
        <v>9314</v>
      </c>
      <c r="MQX1" s="9" t="s">
        <v>9315</v>
      </c>
      <c r="MQY1" s="9" t="s">
        <v>9316</v>
      </c>
      <c r="MQZ1" s="9" t="s">
        <v>9317</v>
      </c>
      <c r="MRA1" s="9" t="s">
        <v>9318</v>
      </c>
      <c r="MRB1" s="9" t="s">
        <v>9319</v>
      </c>
      <c r="MRC1" s="9" t="s">
        <v>9320</v>
      </c>
      <c r="MRD1" s="9" t="s">
        <v>9321</v>
      </c>
      <c r="MRE1" s="9" t="s">
        <v>9322</v>
      </c>
      <c r="MRF1" s="9" t="s">
        <v>9323</v>
      </c>
      <c r="MRG1" s="9" t="s">
        <v>9324</v>
      </c>
      <c r="MRH1" s="9" t="s">
        <v>9325</v>
      </c>
      <c r="MRI1" s="9" t="s">
        <v>9326</v>
      </c>
      <c r="MRJ1" s="9" t="s">
        <v>9327</v>
      </c>
      <c r="MRK1" s="9" t="s">
        <v>9328</v>
      </c>
      <c r="MRL1" s="9" t="s">
        <v>9329</v>
      </c>
      <c r="MRM1" s="9" t="s">
        <v>9330</v>
      </c>
      <c r="MRN1" s="9" t="s">
        <v>9331</v>
      </c>
      <c r="MRO1" s="9" t="s">
        <v>9332</v>
      </c>
      <c r="MRP1" s="9" t="s">
        <v>9333</v>
      </c>
      <c r="MRQ1" s="9" t="s">
        <v>9334</v>
      </c>
      <c r="MRR1" s="9" t="s">
        <v>9335</v>
      </c>
      <c r="MRS1" s="9" t="s">
        <v>9336</v>
      </c>
      <c r="MRT1" s="9" t="s">
        <v>9337</v>
      </c>
      <c r="MRU1" s="9" t="s">
        <v>9338</v>
      </c>
      <c r="MRV1" s="9" t="s">
        <v>9339</v>
      </c>
      <c r="MRW1" s="9" t="s">
        <v>9340</v>
      </c>
      <c r="MRX1" s="9" t="s">
        <v>9341</v>
      </c>
      <c r="MRY1" s="9" t="s">
        <v>9342</v>
      </c>
      <c r="MRZ1" s="9" t="s">
        <v>9343</v>
      </c>
      <c r="MSA1" s="9" t="s">
        <v>9344</v>
      </c>
      <c r="MSB1" s="9" t="s">
        <v>9345</v>
      </c>
      <c r="MSC1" s="9" t="s">
        <v>9346</v>
      </c>
      <c r="MSD1" s="9" t="s">
        <v>9347</v>
      </c>
      <c r="MSE1" s="9" t="s">
        <v>9348</v>
      </c>
      <c r="MSF1" s="9" t="s">
        <v>9349</v>
      </c>
      <c r="MSG1" s="9" t="s">
        <v>9350</v>
      </c>
      <c r="MSH1" s="9" t="s">
        <v>9351</v>
      </c>
      <c r="MSI1" s="9" t="s">
        <v>9352</v>
      </c>
      <c r="MSJ1" s="9" t="s">
        <v>9353</v>
      </c>
      <c r="MSK1" s="9" t="s">
        <v>9354</v>
      </c>
      <c r="MSL1" s="9" t="s">
        <v>9355</v>
      </c>
      <c r="MSM1" s="9" t="s">
        <v>9356</v>
      </c>
      <c r="MSN1" s="9" t="s">
        <v>9357</v>
      </c>
      <c r="MSO1" s="9" t="s">
        <v>9358</v>
      </c>
      <c r="MSP1" s="9" t="s">
        <v>9359</v>
      </c>
      <c r="MSQ1" s="9" t="s">
        <v>9360</v>
      </c>
      <c r="MSR1" s="9" t="s">
        <v>9361</v>
      </c>
      <c r="MSS1" s="9" t="s">
        <v>9362</v>
      </c>
      <c r="MST1" s="9" t="s">
        <v>9363</v>
      </c>
      <c r="MSU1" s="9" t="s">
        <v>9364</v>
      </c>
      <c r="MSV1" s="9" t="s">
        <v>9365</v>
      </c>
      <c r="MSW1" s="9" t="s">
        <v>9366</v>
      </c>
      <c r="MSX1" s="9" t="s">
        <v>9367</v>
      </c>
      <c r="MSY1" s="9" t="s">
        <v>9368</v>
      </c>
      <c r="MSZ1" s="9" t="s">
        <v>9369</v>
      </c>
      <c r="MTA1" s="9" t="s">
        <v>9370</v>
      </c>
      <c r="MTB1" s="9" t="s">
        <v>9371</v>
      </c>
      <c r="MTC1" s="9" t="s">
        <v>9372</v>
      </c>
      <c r="MTD1" s="9" t="s">
        <v>9373</v>
      </c>
      <c r="MTE1" s="9" t="s">
        <v>9374</v>
      </c>
      <c r="MTF1" s="9" t="s">
        <v>9375</v>
      </c>
      <c r="MTG1" s="9" t="s">
        <v>9376</v>
      </c>
      <c r="MTH1" s="9" t="s">
        <v>9377</v>
      </c>
      <c r="MTI1" s="9" t="s">
        <v>9378</v>
      </c>
      <c r="MTJ1" s="9" t="s">
        <v>9379</v>
      </c>
      <c r="MTK1" s="9" t="s">
        <v>9380</v>
      </c>
      <c r="MTL1" s="9" t="s">
        <v>9381</v>
      </c>
      <c r="MTM1" s="9" t="s">
        <v>9382</v>
      </c>
      <c r="MTN1" s="9" t="s">
        <v>9383</v>
      </c>
      <c r="MTO1" s="9" t="s">
        <v>9384</v>
      </c>
      <c r="MTP1" s="9" t="s">
        <v>9385</v>
      </c>
      <c r="MTQ1" s="9" t="s">
        <v>9386</v>
      </c>
      <c r="MTR1" s="9" t="s">
        <v>9387</v>
      </c>
      <c r="MTS1" s="9" t="s">
        <v>9388</v>
      </c>
      <c r="MTT1" s="9" t="s">
        <v>9389</v>
      </c>
      <c r="MTU1" s="9" t="s">
        <v>9390</v>
      </c>
      <c r="MTV1" s="9" t="s">
        <v>9391</v>
      </c>
      <c r="MTW1" s="9" t="s">
        <v>9392</v>
      </c>
      <c r="MTX1" s="9" t="s">
        <v>9393</v>
      </c>
      <c r="MTY1" s="9" t="s">
        <v>9394</v>
      </c>
      <c r="MTZ1" s="9" t="s">
        <v>9395</v>
      </c>
      <c r="MUA1" s="9" t="s">
        <v>9396</v>
      </c>
      <c r="MUB1" s="9" t="s">
        <v>9397</v>
      </c>
      <c r="MUC1" s="9" t="s">
        <v>9398</v>
      </c>
      <c r="MUD1" s="9" t="s">
        <v>9399</v>
      </c>
      <c r="MUE1" s="9" t="s">
        <v>9400</v>
      </c>
      <c r="MUF1" s="9" t="s">
        <v>9401</v>
      </c>
      <c r="MUG1" s="9" t="s">
        <v>9402</v>
      </c>
      <c r="MUH1" s="9" t="s">
        <v>9403</v>
      </c>
      <c r="MUI1" s="9" t="s">
        <v>9404</v>
      </c>
      <c r="MUJ1" s="9" t="s">
        <v>9405</v>
      </c>
      <c r="MUK1" s="9" t="s">
        <v>9406</v>
      </c>
      <c r="MUL1" s="9" t="s">
        <v>9407</v>
      </c>
      <c r="MUM1" s="9" t="s">
        <v>9408</v>
      </c>
      <c r="MUN1" s="9" t="s">
        <v>9409</v>
      </c>
      <c r="MUO1" s="9" t="s">
        <v>9410</v>
      </c>
      <c r="MUP1" s="9" t="s">
        <v>9411</v>
      </c>
      <c r="MUQ1" s="9" t="s">
        <v>9412</v>
      </c>
      <c r="MUR1" s="9" t="s">
        <v>9413</v>
      </c>
      <c r="MUS1" s="9" t="s">
        <v>9414</v>
      </c>
      <c r="MUT1" s="9" t="s">
        <v>9415</v>
      </c>
      <c r="MUU1" s="9" t="s">
        <v>9416</v>
      </c>
      <c r="MUV1" s="9" t="s">
        <v>9417</v>
      </c>
      <c r="MUW1" s="9" t="s">
        <v>9418</v>
      </c>
      <c r="MUX1" s="9" t="s">
        <v>9419</v>
      </c>
      <c r="MUY1" s="9" t="s">
        <v>9420</v>
      </c>
      <c r="MUZ1" s="9" t="s">
        <v>9421</v>
      </c>
      <c r="MVA1" s="9" t="s">
        <v>9422</v>
      </c>
      <c r="MVB1" s="9" t="s">
        <v>9423</v>
      </c>
      <c r="MVC1" s="9" t="s">
        <v>9424</v>
      </c>
      <c r="MVD1" s="9" t="s">
        <v>9425</v>
      </c>
      <c r="MVE1" s="9" t="s">
        <v>9426</v>
      </c>
      <c r="MVF1" s="9" t="s">
        <v>9427</v>
      </c>
      <c r="MVG1" s="9" t="s">
        <v>9428</v>
      </c>
      <c r="MVH1" s="9" t="s">
        <v>9429</v>
      </c>
      <c r="MVI1" s="9" t="s">
        <v>9430</v>
      </c>
      <c r="MVJ1" s="9" t="s">
        <v>9431</v>
      </c>
      <c r="MVK1" s="9" t="s">
        <v>9432</v>
      </c>
      <c r="MVL1" s="9" t="s">
        <v>9433</v>
      </c>
      <c r="MVM1" s="9" t="s">
        <v>9434</v>
      </c>
      <c r="MVN1" s="9" t="s">
        <v>9435</v>
      </c>
      <c r="MVO1" s="9" t="s">
        <v>9436</v>
      </c>
      <c r="MVP1" s="9" t="s">
        <v>9437</v>
      </c>
      <c r="MVQ1" s="9" t="s">
        <v>9438</v>
      </c>
      <c r="MVR1" s="9" t="s">
        <v>9439</v>
      </c>
      <c r="MVS1" s="9" t="s">
        <v>9440</v>
      </c>
      <c r="MVT1" s="9" t="s">
        <v>9441</v>
      </c>
      <c r="MVU1" s="9" t="s">
        <v>9442</v>
      </c>
      <c r="MVV1" s="9" t="s">
        <v>9443</v>
      </c>
      <c r="MVW1" s="9" t="s">
        <v>9444</v>
      </c>
      <c r="MVX1" s="9" t="s">
        <v>9445</v>
      </c>
      <c r="MVY1" s="9" t="s">
        <v>9446</v>
      </c>
      <c r="MVZ1" s="9" t="s">
        <v>9447</v>
      </c>
      <c r="MWA1" s="9" t="s">
        <v>9448</v>
      </c>
      <c r="MWB1" s="9" t="s">
        <v>9449</v>
      </c>
      <c r="MWC1" s="9" t="s">
        <v>9450</v>
      </c>
      <c r="MWD1" s="9" t="s">
        <v>9451</v>
      </c>
      <c r="MWE1" s="9" t="s">
        <v>9452</v>
      </c>
      <c r="MWF1" s="9" t="s">
        <v>9453</v>
      </c>
      <c r="MWG1" s="9" t="s">
        <v>9454</v>
      </c>
      <c r="MWH1" s="9" t="s">
        <v>9455</v>
      </c>
      <c r="MWI1" s="9" t="s">
        <v>9456</v>
      </c>
      <c r="MWJ1" s="9" t="s">
        <v>9457</v>
      </c>
      <c r="MWK1" s="9" t="s">
        <v>9458</v>
      </c>
      <c r="MWL1" s="9" t="s">
        <v>9459</v>
      </c>
      <c r="MWM1" s="9" t="s">
        <v>9460</v>
      </c>
      <c r="MWN1" s="9" t="s">
        <v>9461</v>
      </c>
      <c r="MWO1" s="9" t="s">
        <v>9462</v>
      </c>
      <c r="MWP1" s="9" t="s">
        <v>9463</v>
      </c>
      <c r="MWQ1" s="9" t="s">
        <v>9464</v>
      </c>
      <c r="MWR1" s="9" t="s">
        <v>9465</v>
      </c>
      <c r="MWS1" s="9" t="s">
        <v>9466</v>
      </c>
      <c r="MWT1" s="9" t="s">
        <v>9467</v>
      </c>
      <c r="MWU1" s="9" t="s">
        <v>9468</v>
      </c>
      <c r="MWV1" s="9" t="s">
        <v>9469</v>
      </c>
      <c r="MWW1" s="9" t="s">
        <v>9470</v>
      </c>
      <c r="MWX1" s="9" t="s">
        <v>9471</v>
      </c>
      <c r="MWY1" s="9" t="s">
        <v>9472</v>
      </c>
      <c r="MWZ1" s="9" t="s">
        <v>9473</v>
      </c>
      <c r="MXA1" s="9" t="s">
        <v>9474</v>
      </c>
      <c r="MXB1" s="9" t="s">
        <v>9475</v>
      </c>
      <c r="MXC1" s="9" t="s">
        <v>9476</v>
      </c>
      <c r="MXD1" s="9" t="s">
        <v>9477</v>
      </c>
      <c r="MXE1" s="9" t="s">
        <v>9478</v>
      </c>
      <c r="MXF1" s="9" t="s">
        <v>9479</v>
      </c>
      <c r="MXG1" s="9" t="s">
        <v>9480</v>
      </c>
      <c r="MXH1" s="9" t="s">
        <v>9481</v>
      </c>
      <c r="MXI1" s="9" t="s">
        <v>9482</v>
      </c>
      <c r="MXJ1" s="9" t="s">
        <v>9483</v>
      </c>
      <c r="MXK1" s="9" t="s">
        <v>9484</v>
      </c>
      <c r="MXL1" s="9" t="s">
        <v>9485</v>
      </c>
      <c r="MXM1" s="9" t="s">
        <v>9486</v>
      </c>
      <c r="MXN1" s="9" t="s">
        <v>9487</v>
      </c>
      <c r="MXO1" s="9" t="s">
        <v>9488</v>
      </c>
      <c r="MXP1" s="9" t="s">
        <v>9489</v>
      </c>
      <c r="MXQ1" s="9" t="s">
        <v>9490</v>
      </c>
      <c r="MXR1" s="9" t="s">
        <v>9491</v>
      </c>
      <c r="MXS1" s="9" t="s">
        <v>9492</v>
      </c>
      <c r="MXT1" s="9" t="s">
        <v>9493</v>
      </c>
      <c r="MXU1" s="9" t="s">
        <v>9494</v>
      </c>
      <c r="MXV1" s="9" t="s">
        <v>9495</v>
      </c>
      <c r="MXW1" s="9" t="s">
        <v>9496</v>
      </c>
      <c r="MXX1" s="9" t="s">
        <v>9497</v>
      </c>
      <c r="MXY1" s="9" t="s">
        <v>9498</v>
      </c>
      <c r="MXZ1" s="9" t="s">
        <v>9499</v>
      </c>
      <c r="MYA1" s="9" t="s">
        <v>9500</v>
      </c>
      <c r="MYB1" s="9" t="s">
        <v>9501</v>
      </c>
      <c r="MYC1" s="9" t="s">
        <v>9502</v>
      </c>
      <c r="MYD1" s="9" t="s">
        <v>9503</v>
      </c>
      <c r="MYE1" s="9" t="s">
        <v>9504</v>
      </c>
      <c r="MYF1" s="9" t="s">
        <v>9505</v>
      </c>
      <c r="MYG1" s="9" t="s">
        <v>9506</v>
      </c>
      <c r="MYH1" s="9" t="s">
        <v>9507</v>
      </c>
      <c r="MYI1" s="9" t="s">
        <v>9508</v>
      </c>
      <c r="MYJ1" s="9" t="s">
        <v>9509</v>
      </c>
      <c r="MYK1" s="9" t="s">
        <v>9510</v>
      </c>
      <c r="MYL1" s="9" t="s">
        <v>9511</v>
      </c>
      <c r="MYM1" s="9" t="s">
        <v>9512</v>
      </c>
      <c r="MYN1" s="9" t="s">
        <v>9513</v>
      </c>
      <c r="MYO1" s="9" t="s">
        <v>9514</v>
      </c>
      <c r="MYP1" s="9" t="s">
        <v>9515</v>
      </c>
      <c r="MYQ1" s="9" t="s">
        <v>9516</v>
      </c>
      <c r="MYR1" s="9" t="s">
        <v>9517</v>
      </c>
      <c r="MYS1" s="9" t="s">
        <v>9518</v>
      </c>
      <c r="MYT1" s="9" t="s">
        <v>9519</v>
      </c>
      <c r="MYU1" s="9" t="s">
        <v>9520</v>
      </c>
      <c r="MYV1" s="9" t="s">
        <v>9521</v>
      </c>
      <c r="MYW1" s="9" t="s">
        <v>9522</v>
      </c>
      <c r="MYX1" s="9" t="s">
        <v>9523</v>
      </c>
      <c r="MYY1" s="9" t="s">
        <v>9524</v>
      </c>
      <c r="MYZ1" s="9" t="s">
        <v>9525</v>
      </c>
      <c r="MZA1" s="9" t="s">
        <v>9526</v>
      </c>
      <c r="MZB1" s="9" t="s">
        <v>9527</v>
      </c>
      <c r="MZC1" s="9" t="s">
        <v>9528</v>
      </c>
      <c r="MZD1" s="9" t="s">
        <v>9529</v>
      </c>
      <c r="MZE1" s="9" t="s">
        <v>9530</v>
      </c>
      <c r="MZF1" s="9" t="s">
        <v>9531</v>
      </c>
      <c r="MZG1" s="9" t="s">
        <v>9532</v>
      </c>
      <c r="MZH1" s="9" t="s">
        <v>9533</v>
      </c>
      <c r="MZI1" s="9" t="s">
        <v>9534</v>
      </c>
      <c r="MZJ1" s="9" t="s">
        <v>9535</v>
      </c>
      <c r="MZK1" s="9" t="s">
        <v>9536</v>
      </c>
      <c r="MZL1" s="9" t="s">
        <v>9537</v>
      </c>
      <c r="MZM1" s="9" t="s">
        <v>9538</v>
      </c>
      <c r="MZN1" s="9" t="s">
        <v>9539</v>
      </c>
      <c r="MZO1" s="9" t="s">
        <v>9540</v>
      </c>
      <c r="MZP1" s="9" t="s">
        <v>9541</v>
      </c>
      <c r="MZQ1" s="9" t="s">
        <v>9542</v>
      </c>
      <c r="MZR1" s="9" t="s">
        <v>9543</v>
      </c>
      <c r="MZS1" s="9" t="s">
        <v>9544</v>
      </c>
      <c r="MZT1" s="9" t="s">
        <v>9545</v>
      </c>
      <c r="MZU1" s="9" t="s">
        <v>9546</v>
      </c>
      <c r="MZV1" s="9" t="s">
        <v>9547</v>
      </c>
      <c r="MZW1" s="9" t="s">
        <v>9548</v>
      </c>
      <c r="MZX1" s="9" t="s">
        <v>9549</v>
      </c>
      <c r="MZY1" s="9" t="s">
        <v>9550</v>
      </c>
      <c r="MZZ1" s="9" t="s">
        <v>9551</v>
      </c>
      <c r="NAA1" s="9" t="s">
        <v>9552</v>
      </c>
      <c r="NAB1" s="9" t="s">
        <v>9553</v>
      </c>
      <c r="NAC1" s="9" t="s">
        <v>9554</v>
      </c>
      <c r="NAD1" s="9" t="s">
        <v>9555</v>
      </c>
      <c r="NAE1" s="9" t="s">
        <v>9556</v>
      </c>
      <c r="NAF1" s="9" t="s">
        <v>9557</v>
      </c>
      <c r="NAG1" s="9" t="s">
        <v>9558</v>
      </c>
      <c r="NAH1" s="9" t="s">
        <v>9559</v>
      </c>
      <c r="NAI1" s="9" t="s">
        <v>9560</v>
      </c>
      <c r="NAJ1" s="9" t="s">
        <v>9561</v>
      </c>
      <c r="NAK1" s="9" t="s">
        <v>9562</v>
      </c>
      <c r="NAL1" s="9" t="s">
        <v>9563</v>
      </c>
      <c r="NAM1" s="9" t="s">
        <v>9564</v>
      </c>
      <c r="NAN1" s="9" t="s">
        <v>9565</v>
      </c>
      <c r="NAO1" s="9" t="s">
        <v>9566</v>
      </c>
      <c r="NAP1" s="9" t="s">
        <v>9567</v>
      </c>
      <c r="NAQ1" s="9" t="s">
        <v>9568</v>
      </c>
      <c r="NAR1" s="9" t="s">
        <v>9569</v>
      </c>
      <c r="NAS1" s="9" t="s">
        <v>9570</v>
      </c>
      <c r="NAT1" s="9" t="s">
        <v>9571</v>
      </c>
      <c r="NAU1" s="9" t="s">
        <v>9572</v>
      </c>
      <c r="NAV1" s="9" t="s">
        <v>9573</v>
      </c>
      <c r="NAW1" s="9" t="s">
        <v>9574</v>
      </c>
      <c r="NAX1" s="9" t="s">
        <v>9575</v>
      </c>
      <c r="NAY1" s="9" t="s">
        <v>9576</v>
      </c>
      <c r="NAZ1" s="9" t="s">
        <v>9577</v>
      </c>
      <c r="NBA1" s="9" t="s">
        <v>9578</v>
      </c>
      <c r="NBB1" s="9" t="s">
        <v>9579</v>
      </c>
      <c r="NBC1" s="9" t="s">
        <v>9580</v>
      </c>
      <c r="NBD1" s="9" t="s">
        <v>9581</v>
      </c>
      <c r="NBE1" s="9" t="s">
        <v>9582</v>
      </c>
      <c r="NBF1" s="9" t="s">
        <v>9583</v>
      </c>
      <c r="NBG1" s="9" t="s">
        <v>9584</v>
      </c>
      <c r="NBH1" s="9" t="s">
        <v>9585</v>
      </c>
      <c r="NBI1" s="9" t="s">
        <v>9586</v>
      </c>
      <c r="NBJ1" s="9" t="s">
        <v>9587</v>
      </c>
      <c r="NBK1" s="9" t="s">
        <v>9588</v>
      </c>
      <c r="NBL1" s="9" t="s">
        <v>9589</v>
      </c>
      <c r="NBM1" s="9" t="s">
        <v>9590</v>
      </c>
      <c r="NBN1" s="9" t="s">
        <v>9591</v>
      </c>
      <c r="NBO1" s="9" t="s">
        <v>9592</v>
      </c>
      <c r="NBP1" s="9" t="s">
        <v>9593</v>
      </c>
      <c r="NBQ1" s="9" t="s">
        <v>9594</v>
      </c>
      <c r="NBR1" s="9" t="s">
        <v>9595</v>
      </c>
      <c r="NBS1" s="9" t="s">
        <v>9596</v>
      </c>
      <c r="NBT1" s="9" t="s">
        <v>9597</v>
      </c>
      <c r="NBU1" s="9" t="s">
        <v>9598</v>
      </c>
      <c r="NBV1" s="9" t="s">
        <v>9599</v>
      </c>
      <c r="NBW1" s="9" t="s">
        <v>9600</v>
      </c>
      <c r="NBX1" s="9" t="s">
        <v>9601</v>
      </c>
      <c r="NBY1" s="9" t="s">
        <v>9602</v>
      </c>
      <c r="NBZ1" s="9" t="s">
        <v>9603</v>
      </c>
      <c r="NCA1" s="9" t="s">
        <v>9604</v>
      </c>
      <c r="NCB1" s="9" t="s">
        <v>9605</v>
      </c>
      <c r="NCC1" s="9" t="s">
        <v>9606</v>
      </c>
      <c r="NCD1" s="9" t="s">
        <v>9607</v>
      </c>
      <c r="NCE1" s="9" t="s">
        <v>9608</v>
      </c>
      <c r="NCF1" s="9" t="s">
        <v>9609</v>
      </c>
      <c r="NCG1" s="9" t="s">
        <v>9610</v>
      </c>
      <c r="NCH1" s="9" t="s">
        <v>9611</v>
      </c>
      <c r="NCI1" s="9" t="s">
        <v>9612</v>
      </c>
      <c r="NCJ1" s="9" t="s">
        <v>9613</v>
      </c>
      <c r="NCK1" s="9" t="s">
        <v>9614</v>
      </c>
      <c r="NCL1" s="9" t="s">
        <v>9615</v>
      </c>
      <c r="NCM1" s="9" t="s">
        <v>9616</v>
      </c>
      <c r="NCN1" s="9" t="s">
        <v>9617</v>
      </c>
      <c r="NCO1" s="9" t="s">
        <v>9618</v>
      </c>
      <c r="NCP1" s="9" t="s">
        <v>9619</v>
      </c>
      <c r="NCQ1" s="9" t="s">
        <v>9620</v>
      </c>
      <c r="NCR1" s="9" t="s">
        <v>9621</v>
      </c>
      <c r="NCS1" s="9" t="s">
        <v>9622</v>
      </c>
      <c r="NCT1" s="9" t="s">
        <v>9623</v>
      </c>
      <c r="NCU1" s="9" t="s">
        <v>9624</v>
      </c>
      <c r="NCV1" s="9" t="s">
        <v>9625</v>
      </c>
      <c r="NCW1" s="9" t="s">
        <v>9626</v>
      </c>
      <c r="NCX1" s="9" t="s">
        <v>9627</v>
      </c>
      <c r="NCY1" s="9" t="s">
        <v>9628</v>
      </c>
      <c r="NCZ1" s="9" t="s">
        <v>9629</v>
      </c>
      <c r="NDA1" s="9" t="s">
        <v>9630</v>
      </c>
      <c r="NDB1" s="9" t="s">
        <v>9631</v>
      </c>
      <c r="NDC1" s="9" t="s">
        <v>9632</v>
      </c>
      <c r="NDD1" s="9" t="s">
        <v>9633</v>
      </c>
      <c r="NDE1" s="9" t="s">
        <v>9634</v>
      </c>
      <c r="NDF1" s="9" t="s">
        <v>9635</v>
      </c>
      <c r="NDG1" s="9" t="s">
        <v>9636</v>
      </c>
      <c r="NDH1" s="9" t="s">
        <v>9637</v>
      </c>
      <c r="NDI1" s="9" t="s">
        <v>9638</v>
      </c>
      <c r="NDJ1" s="9" t="s">
        <v>9639</v>
      </c>
      <c r="NDK1" s="9" t="s">
        <v>9640</v>
      </c>
      <c r="NDL1" s="9" t="s">
        <v>9641</v>
      </c>
      <c r="NDM1" s="9" t="s">
        <v>9642</v>
      </c>
      <c r="NDN1" s="9" t="s">
        <v>9643</v>
      </c>
      <c r="NDO1" s="9" t="s">
        <v>9644</v>
      </c>
      <c r="NDP1" s="9" t="s">
        <v>9645</v>
      </c>
      <c r="NDQ1" s="9" t="s">
        <v>9646</v>
      </c>
      <c r="NDR1" s="9" t="s">
        <v>9647</v>
      </c>
      <c r="NDS1" s="9" t="s">
        <v>9648</v>
      </c>
      <c r="NDT1" s="9" t="s">
        <v>9649</v>
      </c>
      <c r="NDU1" s="9" t="s">
        <v>9650</v>
      </c>
      <c r="NDV1" s="9" t="s">
        <v>9651</v>
      </c>
      <c r="NDW1" s="9" t="s">
        <v>9652</v>
      </c>
      <c r="NDX1" s="9" t="s">
        <v>9653</v>
      </c>
      <c r="NDY1" s="9" t="s">
        <v>9654</v>
      </c>
      <c r="NDZ1" s="9" t="s">
        <v>9655</v>
      </c>
      <c r="NEA1" s="9" t="s">
        <v>9656</v>
      </c>
      <c r="NEB1" s="9" t="s">
        <v>9657</v>
      </c>
      <c r="NEC1" s="9" t="s">
        <v>9658</v>
      </c>
      <c r="NED1" s="9" t="s">
        <v>9659</v>
      </c>
      <c r="NEE1" s="9" t="s">
        <v>9660</v>
      </c>
      <c r="NEF1" s="9" t="s">
        <v>9661</v>
      </c>
      <c r="NEG1" s="9" t="s">
        <v>9662</v>
      </c>
      <c r="NEH1" s="9" t="s">
        <v>9663</v>
      </c>
      <c r="NEI1" s="9" t="s">
        <v>9664</v>
      </c>
      <c r="NEJ1" s="9" t="s">
        <v>9665</v>
      </c>
      <c r="NEK1" s="9" t="s">
        <v>9666</v>
      </c>
      <c r="NEL1" s="9" t="s">
        <v>9667</v>
      </c>
      <c r="NEM1" s="9" t="s">
        <v>9668</v>
      </c>
      <c r="NEN1" s="9" t="s">
        <v>9669</v>
      </c>
      <c r="NEO1" s="9" t="s">
        <v>9670</v>
      </c>
      <c r="NEP1" s="9" t="s">
        <v>9671</v>
      </c>
      <c r="NEQ1" s="9" t="s">
        <v>9672</v>
      </c>
      <c r="NER1" s="9" t="s">
        <v>9673</v>
      </c>
      <c r="NES1" s="9" t="s">
        <v>9674</v>
      </c>
      <c r="NET1" s="9" t="s">
        <v>9675</v>
      </c>
      <c r="NEU1" s="9" t="s">
        <v>9676</v>
      </c>
      <c r="NEV1" s="9" t="s">
        <v>9677</v>
      </c>
      <c r="NEW1" s="9" t="s">
        <v>9678</v>
      </c>
      <c r="NEX1" s="9" t="s">
        <v>9679</v>
      </c>
      <c r="NEY1" s="9" t="s">
        <v>9680</v>
      </c>
      <c r="NEZ1" s="9" t="s">
        <v>9681</v>
      </c>
      <c r="NFA1" s="9" t="s">
        <v>9682</v>
      </c>
      <c r="NFB1" s="9" t="s">
        <v>9683</v>
      </c>
      <c r="NFC1" s="9" t="s">
        <v>9684</v>
      </c>
      <c r="NFD1" s="9" t="s">
        <v>9685</v>
      </c>
      <c r="NFE1" s="9" t="s">
        <v>9686</v>
      </c>
      <c r="NFF1" s="9" t="s">
        <v>9687</v>
      </c>
      <c r="NFG1" s="9" t="s">
        <v>9688</v>
      </c>
      <c r="NFH1" s="9" t="s">
        <v>9689</v>
      </c>
      <c r="NFI1" s="9" t="s">
        <v>9690</v>
      </c>
      <c r="NFJ1" s="9" t="s">
        <v>9691</v>
      </c>
      <c r="NFK1" s="9" t="s">
        <v>9692</v>
      </c>
      <c r="NFL1" s="9" t="s">
        <v>9693</v>
      </c>
      <c r="NFM1" s="9" t="s">
        <v>9694</v>
      </c>
      <c r="NFN1" s="9" t="s">
        <v>9695</v>
      </c>
      <c r="NFO1" s="9" t="s">
        <v>9696</v>
      </c>
      <c r="NFP1" s="9" t="s">
        <v>9697</v>
      </c>
      <c r="NFQ1" s="9" t="s">
        <v>9698</v>
      </c>
      <c r="NFR1" s="9" t="s">
        <v>9699</v>
      </c>
      <c r="NFS1" s="9" t="s">
        <v>9700</v>
      </c>
      <c r="NFT1" s="9" t="s">
        <v>9701</v>
      </c>
      <c r="NFU1" s="9" t="s">
        <v>9702</v>
      </c>
      <c r="NFV1" s="9" t="s">
        <v>9703</v>
      </c>
      <c r="NFW1" s="9" t="s">
        <v>9704</v>
      </c>
      <c r="NFX1" s="9" t="s">
        <v>9705</v>
      </c>
      <c r="NFY1" s="9" t="s">
        <v>9706</v>
      </c>
      <c r="NFZ1" s="9" t="s">
        <v>9707</v>
      </c>
      <c r="NGA1" s="9" t="s">
        <v>9708</v>
      </c>
      <c r="NGB1" s="9" t="s">
        <v>9709</v>
      </c>
      <c r="NGC1" s="9" t="s">
        <v>9710</v>
      </c>
      <c r="NGD1" s="9" t="s">
        <v>9711</v>
      </c>
      <c r="NGE1" s="9" t="s">
        <v>9712</v>
      </c>
      <c r="NGF1" s="9" t="s">
        <v>9713</v>
      </c>
      <c r="NGG1" s="9" t="s">
        <v>9714</v>
      </c>
      <c r="NGH1" s="9" t="s">
        <v>9715</v>
      </c>
      <c r="NGI1" s="9" t="s">
        <v>9716</v>
      </c>
      <c r="NGJ1" s="9" t="s">
        <v>9717</v>
      </c>
      <c r="NGK1" s="9" t="s">
        <v>9718</v>
      </c>
      <c r="NGL1" s="9" t="s">
        <v>9719</v>
      </c>
      <c r="NGM1" s="9" t="s">
        <v>9720</v>
      </c>
      <c r="NGN1" s="9" t="s">
        <v>9721</v>
      </c>
      <c r="NGO1" s="9" t="s">
        <v>9722</v>
      </c>
      <c r="NGP1" s="9" t="s">
        <v>9723</v>
      </c>
      <c r="NGQ1" s="9" t="s">
        <v>9724</v>
      </c>
      <c r="NGR1" s="9" t="s">
        <v>9725</v>
      </c>
      <c r="NGS1" s="9" t="s">
        <v>9726</v>
      </c>
      <c r="NGT1" s="9" t="s">
        <v>9727</v>
      </c>
      <c r="NGU1" s="9" t="s">
        <v>9728</v>
      </c>
      <c r="NGV1" s="9" t="s">
        <v>9729</v>
      </c>
      <c r="NGW1" s="9" t="s">
        <v>9730</v>
      </c>
      <c r="NGX1" s="9" t="s">
        <v>9731</v>
      </c>
      <c r="NGY1" s="9" t="s">
        <v>9732</v>
      </c>
      <c r="NGZ1" s="9" t="s">
        <v>9733</v>
      </c>
      <c r="NHA1" s="9" t="s">
        <v>9734</v>
      </c>
      <c r="NHB1" s="9" t="s">
        <v>9735</v>
      </c>
      <c r="NHC1" s="9" t="s">
        <v>9736</v>
      </c>
      <c r="NHD1" s="9" t="s">
        <v>9737</v>
      </c>
      <c r="NHE1" s="9" t="s">
        <v>9738</v>
      </c>
      <c r="NHF1" s="9" t="s">
        <v>9739</v>
      </c>
      <c r="NHG1" s="9" t="s">
        <v>9740</v>
      </c>
      <c r="NHH1" s="9" t="s">
        <v>9741</v>
      </c>
      <c r="NHI1" s="9" t="s">
        <v>9742</v>
      </c>
      <c r="NHJ1" s="9" t="s">
        <v>9743</v>
      </c>
      <c r="NHK1" s="9" t="s">
        <v>9744</v>
      </c>
      <c r="NHL1" s="9" t="s">
        <v>9745</v>
      </c>
      <c r="NHM1" s="9" t="s">
        <v>9746</v>
      </c>
      <c r="NHN1" s="9" t="s">
        <v>9747</v>
      </c>
      <c r="NHO1" s="9" t="s">
        <v>9748</v>
      </c>
      <c r="NHP1" s="9" t="s">
        <v>9749</v>
      </c>
      <c r="NHQ1" s="9" t="s">
        <v>9750</v>
      </c>
      <c r="NHR1" s="9" t="s">
        <v>9751</v>
      </c>
      <c r="NHS1" s="9" t="s">
        <v>9752</v>
      </c>
      <c r="NHT1" s="9" t="s">
        <v>9753</v>
      </c>
      <c r="NHU1" s="9" t="s">
        <v>9754</v>
      </c>
      <c r="NHV1" s="9" t="s">
        <v>9755</v>
      </c>
      <c r="NHW1" s="9" t="s">
        <v>9756</v>
      </c>
      <c r="NHX1" s="9" t="s">
        <v>9757</v>
      </c>
      <c r="NHY1" s="9" t="s">
        <v>9758</v>
      </c>
      <c r="NHZ1" s="9" t="s">
        <v>9759</v>
      </c>
      <c r="NIA1" s="9" t="s">
        <v>9760</v>
      </c>
      <c r="NIB1" s="9" t="s">
        <v>9761</v>
      </c>
      <c r="NIC1" s="9" t="s">
        <v>9762</v>
      </c>
      <c r="NID1" s="9" t="s">
        <v>9763</v>
      </c>
      <c r="NIE1" s="9" t="s">
        <v>9764</v>
      </c>
      <c r="NIF1" s="9" t="s">
        <v>9765</v>
      </c>
      <c r="NIG1" s="9" t="s">
        <v>9766</v>
      </c>
      <c r="NIH1" s="9" t="s">
        <v>9767</v>
      </c>
      <c r="NII1" s="9" t="s">
        <v>9768</v>
      </c>
      <c r="NIJ1" s="9" t="s">
        <v>9769</v>
      </c>
      <c r="NIK1" s="9" t="s">
        <v>9770</v>
      </c>
      <c r="NIL1" s="9" t="s">
        <v>9771</v>
      </c>
      <c r="NIM1" s="9" t="s">
        <v>9772</v>
      </c>
      <c r="NIN1" s="9" t="s">
        <v>9773</v>
      </c>
      <c r="NIO1" s="9" t="s">
        <v>9774</v>
      </c>
      <c r="NIP1" s="9" t="s">
        <v>9775</v>
      </c>
      <c r="NIQ1" s="9" t="s">
        <v>9776</v>
      </c>
      <c r="NIR1" s="9" t="s">
        <v>9777</v>
      </c>
      <c r="NIS1" s="9" t="s">
        <v>9778</v>
      </c>
      <c r="NIT1" s="9" t="s">
        <v>9779</v>
      </c>
      <c r="NIU1" s="9" t="s">
        <v>9780</v>
      </c>
      <c r="NIV1" s="9" t="s">
        <v>9781</v>
      </c>
      <c r="NIW1" s="9" t="s">
        <v>9782</v>
      </c>
      <c r="NIX1" s="9" t="s">
        <v>9783</v>
      </c>
      <c r="NIY1" s="9" t="s">
        <v>9784</v>
      </c>
      <c r="NIZ1" s="9" t="s">
        <v>9785</v>
      </c>
      <c r="NJA1" s="9" t="s">
        <v>9786</v>
      </c>
      <c r="NJB1" s="9" t="s">
        <v>9787</v>
      </c>
      <c r="NJC1" s="9" t="s">
        <v>9788</v>
      </c>
      <c r="NJD1" s="9" t="s">
        <v>9789</v>
      </c>
      <c r="NJE1" s="9" t="s">
        <v>9790</v>
      </c>
      <c r="NJF1" s="9" t="s">
        <v>9791</v>
      </c>
      <c r="NJG1" s="9" t="s">
        <v>9792</v>
      </c>
      <c r="NJH1" s="9" t="s">
        <v>9793</v>
      </c>
      <c r="NJI1" s="9" t="s">
        <v>9794</v>
      </c>
      <c r="NJJ1" s="9" t="s">
        <v>9795</v>
      </c>
      <c r="NJK1" s="9" t="s">
        <v>9796</v>
      </c>
      <c r="NJL1" s="9" t="s">
        <v>9797</v>
      </c>
      <c r="NJM1" s="9" t="s">
        <v>9798</v>
      </c>
      <c r="NJN1" s="9" t="s">
        <v>9799</v>
      </c>
      <c r="NJO1" s="9" t="s">
        <v>9800</v>
      </c>
      <c r="NJP1" s="9" t="s">
        <v>9801</v>
      </c>
      <c r="NJQ1" s="9" t="s">
        <v>9802</v>
      </c>
      <c r="NJR1" s="9" t="s">
        <v>9803</v>
      </c>
      <c r="NJS1" s="9" t="s">
        <v>9804</v>
      </c>
      <c r="NJT1" s="9" t="s">
        <v>9805</v>
      </c>
      <c r="NJU1" s="9" t="s">
        <v>9806</v>
      </c>
      <c r="NJV1" s="9" t="s">
        <v>9807</v>
      </c>
      <c r="NJW1" s="9" t="s">
        <v>9808</v>
      </c>
      <c r="NJX1" s="9" t="s">
        <v>9809</v>
      </c>
      <c r="NJY1" s="9" t="s">
        <v>9810</v>
      </c>
      <c r="NJZ1" s="9" t="s">
        <v>9811</v>
      </c>
      <c r="NKA1" s="9" t="s">
        <v>9812</v>
      </c>
      <c r="NKB1" s="9" t="s">
        <v>9813</v>
      </c>
      <c r="NKC1" s="9" t="s">
        <v>9814</v>
      </c>
      <c r="NKD1" s="9" t="s">
        <v>9815</v>
      </c>
      <c r="NKE1" s="9" t="s">
        <v>9816</v>
      </c>
      <c r="NKF1" s="9" t="s">
        <v>9817</v>
      </c>
      <c r="NKG1" s="9" t="s">
        <v>9818</v>
      </c>
      <c r="NKH1" s="9" t="s">
        <v>9819</v>
      </c>
      <c r="NKI1" s="9" t="s">
        <v>9820</v>
      </c>
      <c r="NKJ1" s="9" t="s">
        <v>9821</v>
      </c>
      <c r="NKK1" s="9" t="s">
        <v>9822</v>
      </c>
      <c r="NKL1" s="9" t="s">
        <v>9823</v>
      </c>
      <c r="NKM1" s="9" t="s">
        <v>9824</v>
      </c>
      <c r="NKN1" s="9" t="s">
        <v>9825</v>
      </c>
      <c r="NKO1" s="9" t="s">
        <v>9826</v>
      </c>
      <c r="NKP1" s="9" t="s">
        <v>9827</v>
      </c>
      <c r="NKQ1" s="9" t="s">
        <v>9828</v>
      </c>
      <c r="NKR1" s="9" t="s">
        <v>9829</v>
      </c>
      <c r="NKS1" s="9" t="s">
        <v>9830</v>
      </c>
      <c r="NKT1" s="9" t="s">
        <v>9831</v>
      </c>
      <c r="NKU1" s="9" t="s">
        <v>9832</v>
      </c>
      <c r="NKV1" s="9" t="s">
        <v>9833</v>
      </c>
      <c r="NKW1" s="9" t="s">
        <v>9834</v>
      </c>
      <c r="NKX1" s="9" t="s">
        <v>9835</v>
      </c>
      <c r="NKY1" s="9" t="s">
        <v>9836</v>
      </c>
      <c r="NKZ1" s="9" t="s">
        <v>9837</v>
      </c>
      <c r="NLA1" s="9" t="s">
        <v>9838</v>
      </c>
      <c r="NLB1" s="9" t="s">
        <v>9839</v>
      </c>
      <c r="NLC1" s="9" t="s">
        <v>9840</v>
      </c>
      <c r="NLD1" s="9" t="s">
        <v>9841</v>
      </c>
      <c r="NLE1" s="9" t="s">
        <v>9842</v>
      </c>
      <c r="NLF1" s="9" t="s">
        <v>9843</v>
      </c>
      <c r="NLG1" s="9" t="s">
        <v>9844</v>
      </c>
      <c r="NLH1" s="9" t="s">
        <v>9845</v>
      </c>
      <c r="NLI1" s="9" t="s">
        <v>9846</v>
      </c>
      <c r="NLJ1" s="9" t="s">
        <v>9847</v>
      </c>
      <c r="NLK1" s="9" t="s">
        <v>9848</v>
      </c>
      <c r="NLL1" s="9" t="s">
        <v>9849</v>
      </c>
      <c r="NLM1" s="9" t="s">
        <v>9850</v>
      </c>
      <c r="NLN1" s="9" t="s">
        <v>9851</v>
      </c>
      <c r="NLO1" s="9" t="s">
        <v>9852</v>
      </c>
      <c r="NLP1" s="9" t="s">
        <v>9853</v>
      </c>
      <c r="NLQ1" s="9" t="s">
        <v>9854</v>
      </c>
      <c r="NLR1" s="9" t="s">
        <v>9855</v>
      </c>
      <c r="NLS1" s="9" t="s">
        <v>9856</v>
      </c>
      <c r="NLT1" s="9" t="s">
        <v>9857</v>
      </c>
      <c r="NLU1" s="9" t="s">
        <v>9858</v>
      </c>
      <c r="NLV1" s="9" t="s">
        <v>9859</v>
      </c>
      <c r="NLW1" s="9" t="s">
        <v>9860</v>
      </c>
      <c r="NLX1" s="9" t="s">
        <v>9861</v>
      </c>
      <c r="NLY1" s="9" t="s">
        <v>9862</v>
      </c>
      <c r="NLZ1" s="9" t="s">
        <v>9863</v>
      </c>
      <c r="NMA1" s="9" t="s">
        <v>9864</v>
      </c>
      <c r="NMB1" s="9" t="s">
        <v>9865</v>
      </c>
      <c r="NMC1" s="9" t="s">
        <v>9866</v>
      </c>
      <c r="NMD1" s="9" t="s">
        <v>9867</v>
      </c>
      <c r="NME1" s="9" t="s">
        <v>9868</v>
      </c>
      <c r="NMF1" s="9" t="s">
        <v>9869</v>
      </c>
      <c r="NMG1" s="9" t="s">
        <v>9870</v>
      </c>
      <c r="NMH1" s="9" t="s">
        <v>9871</v>
      </c>
      <c r="NMI1" s="9" t="s">
        <v>9872</v>
      </c>
      <c r="NMJ1" s="9" t="s">
        <v>9873</v>
      </c>
      <c r="NMK1" s="9" t="s">
        <v>9874</v>
      </c>
      <c r="NML1" s="9" t="s">
        <v>9875</v>
      </c>
      <c r="NMM1" s="9" t="s">
        <v>9876</v>
      </c>
      <c r="NMN1" s="9" t="s">
        <v>9877</v>
      </c>
      <c r="NMO1" s="9" t="s">
        <v>9878</v>
      </c>
      <c r="NMP1" s="9" t="s">
        <v>9879</v>
      </c>
      <c r="NMQ1" s="9" t="s">
        <v>9880</v>
      </c>
      <c r="NMR1" s="9" t="s">
        <v>9881</v>
      </c>
      <c r="NMS1" s="9" t="s">
        <v>9882</v>
      </c>
      <c r="NMT1" s="9" t="s">
        <v>9883</v>
      </c>
      <c r="NMU1" s="9" t="s">
        <v>9884</v>
      </c>
      <c r="NMV1" s="9" t="s">
        <v>9885</v>
      </c>
      <c r="NMW1" s="9" t="s">
        <v>9886</v>
      </c>
      <c r="NMX1" s="9" t="s">
        <v>9887</v>
      </c>
      <c r="NMY1" s="9" t="s">
        <v>9888</v>
      </c>
      <c r="NMZ1" s="9" t="s">
        <v>9889</v>
      </c>
      <c r="NNA1" s="9" t="s">
        <v>9890</v>
      </c>
      <c r="NNB1" s="9" t="s">
        <v>9891</v>
      </c>
      <c r="NNC1" s="9" t="s">
        <v>9892</v>
      </c>
      <c r="NND1" s="9" t="s">
        <v>9893</v>
      </c>
      <c r="NNE1" s="9" t="s">
        <v>9894</v>
      </c>
      <c r="NNF1" s="9" t="s">
        <v>9895</v>
      </c>
      <c r="NNG1" s="9" t="s">
        <v>9896</v>
      </c>
      <c r="NNH1" s="9" t="s">
        <v>9897</v>
      </c>
      <c r="NNI1" s="9" t="s">
        <v>9898</v>
      </c>
      <c r="NNJ1" s="9" t="s">
        <v>9899</v>
      </c>
      <c r="NNK1" s="9" t="s">
        <v>9900</v>
      </c>
      <c r="NNL1" s="9" t="s">
        <v>9901</v>
      </c>
      <c r="NNM1" s="9" t="s">
        <v>9902</v>
      </c>
      <c r="NNN1" s="9" t="s">
        <v>9903</v>
      </c>
      <c r="NNO1" s="9" t="s">
        <v>9904</v>
      </c>
      <c r="NNP1" s="9" t="s">
        <v>9905</v>
      </c>
      <c r="NNQ1" s="9" t="s">
        <v>9906</v>
      </c>
      <c r="NNR1" s="9" t="s">
        <v>9907</v>
      </c>
      <c r="NNS1" s="9" t="s">
        <v>9908</v>
      </c>
      <c r="NNT1" s="9" t="s">
        <v>9909</v>
      </c>
      <c r="NNU1" s="9" t="s">
        <v>9910</v>
      </c>
      <c r="NNV1" s="9" t="s">
        <v>9911</v>
      </c>
      <c r="NNW1" s="9" t="s">
        <v>9912</v>
      </c>
      <c r="NNX1" s="9" t="s">
        <v>9913</v>
      </c>
      <c r="NNY1" s="9" t="s">
        <v>9914</v>
      </c>
      <c r="NNZ1" s="9" t="s">
        <v>9915</v>
      </c>
      <c r="NOA1" s="9" t="s">
        <v>9916</v>
      </c>
      <c r="NOB1" s="9" t="s">
        <v>9917</v>
      </c>
      <c r="NOC1" s="9" t="s">
        <v>9918</v>
      </c>
      <c r="NOD1" s="9" t="s">
        <v>9919</v>
      </c>
      <c r="NOE1" s="9" t="s">
        <v>9920</v>
      </c>
      <c r="NOF1" s="9" t="s">
        <v>9921</v>
      </c>
      <c r="NOG1" s="9" t="s">
        <v>9922</v>
      </c>
      <c r="NOH1" s="9" t="s">
        <v>9923</v>
      </c>
      <c r="NOI1" s="9" t="s">
        <v>9924</v>
      </c>
      <c r="NOJ1" s="9" t="s">
        <v>9925</v>
      </c>
      <c r="NOK1" s="9" t="s">
        <v>9926</v>
      </c>
      <c r="NOL1" s="9" t="s">
        <v>9927</v>
      </c>
      <c r="NOM1" s="9" t="s">
        <v>9928</v>
      </c>
      <c r="NON1" s="9" t="s">
        <v>9929</v>
      </c>
      <c r="NOO1" s="9" t="s">
        <v>9930</v>
      </c>
      <c r="NOP1" s="9" t="s">
        <v>9931</v>
      </c>
      <c r="NOQ1" s="9" t="s">
        <v>9932</v>
      </c>
      <c r="NOR1" s="9" t="s">
        <v>9933</v>
      </c>
      <c r="NOS1" s="9" t="s">
        <v>9934</v>
      </c>
      <c r="NOT1" s="9" t="s">
        <v>9935</v>
      </c>
      <c r="NOU1" s="9" t="s">
        <v>9936</v>
      </c>
      <c r="NOV1" s="9" t="s">
        <v>9937</v>
      </c>
      <c r="NOW1" s="9" t="s">
        <v>9938</v>
      </c>
      <c r="NOX1" s="9" t="s">
        <v>9939</v>
      </c>
      <c r="NOY1" s="9" t="s">
        <v>9940</v>
      </c>
      <c r="NOZ1" s="9" t="s">
        <v>9941</v>
      </c>
      <c r="NPA1" s="9" t="s">
        <v>9942</v>
      </c>
      <c r="NPB1" s="9" t="s">
        <v>9943</v>
      </c>
      <c r="NPC1" s="9" t="s">
        <v>9944</v>
      </c>
      <c r="NPD1" s="9" t="s">
        <v>9945</v>
      </c>
      <c r="NPE1" s="9" t="s">
        <v>9946</v>
      </c>
      <c r="NPF1" s="9" t="s">
        <v>9947</v>
      </c>
      <c r="NPG1" s="9" t="s">
        <v>9948</v>
      </c>
      <c r="NPH1" s="9" t="s">
        <v>9949</v>
      </c>
      <c r="NPI1" s="9" t="s">
        <v>9950</v>
      </c>
      <c r="NPJ1" s="9" t="s">
        <v>9951</v>
      </c>
      <c r="NPK1" s="9" t="s">
        <v>9952</v>
      </c>
      <c r="NPL1" s="9" t="s">
        <v>9953</v>
      </c>
      <c r="NPM1" s="9" t="s">
        <v>9954</v>
      </c>
      <c r="NPN1" s="9" t="s">
        <v>9955</v>
      </c>
      <c r="NPO1" s="9" t="s">
        <v>9956</v>
      </c>
      <c r="NPP1" s="9" t="s">
        <v>9957</v>
      </c>
      <c r="NPQ1" s="9" t="s">
        <v>9958</v>
      </c>
      <c r="NPR1" s="9" t="s">
        <v>9959</v>
      </c>
      <c r="NPS1" s="9" t="s">
        <v>9960</v>
      </c>
      <c r="NPT1" s="9" t="s">
        <v>9961</v>
      </c>
      <c r="NPU1" s="9" t="s">
        <v>9962</v>
      </c>
      <c r="NPV1" s="9" t="s">
        <v>9963</v>
      </c>
      <c r="NPW1" s="9" t="s">
        <v>9964</v>
      </c>
      <c r="NPX1" s="9" t="s">
        <v>9965</v>
      </c>
      <c r="NPY1" s="9" t="s">
        <v>9966</v>
      </c>
      <c r="NPZ1" s="9" t="s">
        <v>9967</v>
      </c>
      <c r="NQA1" s="9" t="s">
        <v>9968</v>
      </c>
      <c r="NQB1" s="9" t="s">
        <v>9969</v>
      </c>
      <c r="NQC1" s="9" t="s">
        <v>9970</v>
      </c>
      <c r="NQD1" s="9" t="s">
        <v>9971</v>
      </c>
      <c r="NQE1" s="9" t="s">
        <v>9972</v>
      </c>
      <c r="NQF1" s="9" t="s">
        <v>9973</v>
      </c>
      <c r="NQG1" s="9" t="s">
        <v>9974</v>
      </c>
      <c r="NQH1" s="9" t="s">
        <v>9975</v>
      </c>
      <c r="NQI1" s="9" t="s">
        <v>9976</v>
      </c>
      <c r="NQJ1" s="9" t="s">
        <v>9977</v>
      </c>
      <c r="NQK1" s="9" t="s">
        <v>9978</v>
      </c>
      <c r="NQL1" s="9" t="s">
        <v>9979</v>
      </c>
      <c r="NQM1" s="9" t="s">
        <v>9980</v>
      </c>
      <c r="NQN1" s="9" t="s">
        <v>9981</v>
      </c>
      <c r="NQO1" s="9" t="s">
        <v>9982</v>
      </c>
      <c r="NQP1" s="9" t="s">
        <v>9983</v>
      </c>
      <c r="NQQ1" s="9" t="s">
        <v>9984</v>
      </c>
      <c r="NQR1" s="9" t="s">
        <v>9985</v>
      </c>
      <c r="NQS1" s="9" t="s">
        <v>9986</v>
      </c>
      <c r="NQT1" s="9" t="s">
        <v>9987</v>
      </c>
      <c r="NQU1" s="9" t="s">
        <v>9988</v>
      </c>
      <c r="NQV1" s="9" t="s">
        <v>9989</v>
      </c>
      <c r="NQW1" s="9" t="s">
        <v>9990</v>
      </c>
      <c r="NQX1" s="9" t="s">
        <v>9991</v>
      </c>
      <c r="NQY1" s="9" t="s">
        <v>9992</v>
      </c>
      <c r="NQZ1" s="9" t="s">
        <v>9993</v>
      </c>
      <c r="NRA1" s="9" t="s">
        <v>9994</v>
      </c>
      <c r="NRB1" s="9" t="s">
        <v>9995</v>
      </c>
      <c r="NRC1" s="9" t="s">
        <v>9996</v>
      </c>
      <c r="NRD1" s="9" t="s">
        <v>9997</v>
      </c>
      <c r="NRE1" s="9" t="s">
        <v>9998</v>
      </c>
      <c r="NRF1" s="9" t="s">
        <v>9999</v>
      </c>
      <c r="NRG1" s="9" t="s">
        <v>10000</v>
      </c>
      <c r="NRH1" s="9" t="s">
        <v>10001</v>
      </c>
      <c r="NRI1" s="9" t="s">
        <v>10002</v>
      </c>
      <c r="NRJ1" s="9" t="s">
        <v>10003</v>
      </c>
      <c r="NRK1" s="9" t="s">
        <v>10004</v>
      </c>
      <c r="NRL1" s="9" t="s">
        <v>10005</v>
      </c>
      <c r="NRM1" s="9" t="s">
        <v>10006</v>
      </c>
      <c r="NRN1" s="9" t="s">
        <v>10007</v>
      </c>
      <c r="NRO1" s="9" t="s">
        <v>10008</v>
      </c>
      <c r="NRP1" s="9" t="s">
        <v>10009</v>
      </c>
      <c r="NRQ1" s="9" t="s">
        <v>10010</v>
      </c>
      <c r="NRR1" s="9" t="s">
        <v>10011</v>
      </c>
      <c r="NRS1" s="9" t="s">
        <v>10012</v>
      </c>
      <c r="NRT1" s="9" t="s">
        <v>10013</v>
      </c>
      <c r="NRU1" s="9" t="s">
        <v>10014</v>
      </c>
      <c r="NRV1" s="9" t="s">
        <v>10015</v>
      </c>
      <c r="NRW1" s="9" t="s">
        <v>10016</v>
      </c>
      <c r="NRX1" s="9" t="s">
        <v>10017</v>
      </c>
      <c r="NRY1" s="9" t="s">
        <v>10018</v>
      </c>
      <c r="NRZ1" s="9" t="s">
        <v>10019</v>
      </c>
      <c r="NSA1" s="9" t="s">
        <v>10020</v>
      </c>
      <c r="NSB1" s="9" t="s">
        <v>10021</v>
      </c>
      <c r="NSC1" s="9" t="s">
        <v>10022</v>
      </c>
      <c r="NSD1" s="9" t="s">
        <v>10023</v>
      </c>
      <c r="NSE1" s="9" t="s">
        <v>10024</v>
      </c>
      <c r="NSF1" s="9" t="s">
        <v>10025</v>
      </c>
      <c r="NSG1" s="9" t="s">
        <v>10026</v>
      </c>
      <c r="NSH1" s="9" t="s">
        <v>10027</v>
      </c>
      <c r="NSI1" s="9" t="s">
        <v>10028</v>
      </c>
      <c r="NSJ1" s="9" t="s">
        <v>10029</v>
      </c>
      <c r="NSK1" s="9" t="s">
        <v>10030</v>
      </c>
      <c r="NSL1" s="9" t="s">
        <v>10031</v>
      </c>
      <c r="NSM1" s="9" t="s">
        <v>10032</v>
      </c>
      <c r="NSN1" s="9" t="s">
        <v>10033</v>
      </c>
      <c r="NSO1" s="9" t="s">
        <v>10034</v>
      </c>
      <c r="NSP1" s="9" t="s">
        <v>10035</v>
      </c>
      <c r="NSQ1" s="9" t="s">
        <v>10036</v>
      </c>
      <c r="NSR1" s="9" t="s">
        <v>10037</v>
      </c>
      <c r="NSS1" s="9" t="s">
        <v>10038</v>
      </c>
      <c r="NST1" s="9" t="s">
        <v>10039</v>
      </c>
      <c r="NSU1" s="9" t="s">
        <v>10040</v>
      </c>
      <c r="NSV1" s="9" t="s">
        <v>10041</v>
      </c>
      <c r="NSW1" s="9" t="s">
        <v>10042</v>
      </c>
      <c r="NSX1" s="9" t="s">
        <v>10043</v>
      </c>
      <c r="NSY1" s="9" t="s">
        <v>10044</v>
      </c>
      <c r="NSZ1" s="9" t="s">
        <v>10045</v>
      </c>
      <c r="NTA1" s="9" t="s">
        <v>10046</v>
      </c>
      <c r="NTB1" s="9" t="s">
        <v>10047</v>
      </c>
      <c r="NTC1" s="9" t="s">
        <v>10048</v>
      </c>
      <c r="NTD1" s="9" t="s">
        <v>10049</v>
      </c>
      <c r="NTE1" s="9" t="s">
        <v>10050</v>
      </c>
      <c r="NTF1" s="9" t="s">
        <v>10051</v>
      </c>
      <c r="NTG1" s="9" t="s">
        <v>10052</v>
      </c>
      <c r="NTH1" s="9" t="s">
        <v>10053</v>
      </c>
      <c r="NTI1" s="9" t="s">
        <v>10054</v>
      </c>
      <c r="NTJ1" s="9" t="s">
        <v>10055</v>
      </c>
      <c r="NTK1" s="9" t="s">
        <v>10056</v>
      </c>
      <c r="NTL1" s="9" t="s">
        <v>10057</v>
      </c>
      <c r="NTM1" s="9" t="s">
        <v>10058</v>
      </c>
      <c r="NTN1" s="9" t="s">
        <v>10059</v>
      </c>
      <c r="NTO1" s="9" t="s">
        <v>10060</v>
      </c>
      <c r="NTP1" s="9" t="s">
        <v>10061</v>
      </c>
      <c r="NTQ1" s="9" t="s">
        <v>10062</v>
      </c>
      <c r="NTR1" s="9" t="s">
        <v>10063</v>
      </c>
      <c r="NTS1" s="9" t="s">
        <v>10064</v>
      </c>
      <c r="NTT1" s="9" t="s">
        <v>10065</v>
      </c>
      <c r="NTU1" s="9" t="s">
        <v>10066</v>
      </c>
      <c r="NTV1" s="9" t="s">
        <v>10067</v>
      </c>
      <c r="NTW1" s="9" t="s">
        <v>10068</v>
      </c>
      <c r="NTX1" s="9" t="s">
        <v>10069</v>
      </c>
      <c r="NTY1" s="9" t="s">
        <v>10070</v>
      </c>
      <c r="NTZ1" s="9" t="s">
        <v>10071</v>
      </c>
      <c r="NUA1" s="9" t="s">
        <v>10072</v>
      </c>
      <c r="NUB1" s="9" t="s">
        <v>10073</v>
      </c>
      <c r="NUC1" s="9" t="s">
        <v>10074</v>
      </c>
      <c r="NUD1" s="9" t="s">
        <v>10075</v>
      </c>
      <c r="NUE1" s="9" t="s">
        <v>10076</v>
      </c>
      <c r="NUF1" s="9" t="s">
        <v>10077</v>
      </c>
      <c r="NUG1" s="9" t="s">
        <v>10078</v>
      </c>
      <c r="NUH1" s="9" t="s">
        <v>10079</v>
      </c>
      <c r="NUI1" s="9" t="s">
        <v>10080</v>
      </c>
      <c r="NUJ1" s="9" t="s">
        <v>10081</v>
      </c>
      <c r="NUK1" s="9" t="s">
        <v>10082</v>
      </c>
      <c r="NUL1" s="9" t="s">
        <v>10083</v>
      </c>
      <c r="NUM1" s="9" t="s">
        <v>10084</v>
      </c>
      <c r="NUN1" s="9" t="s">
        <v>10085</v>
      </c>
      <c r="NUO1" s="9" t="s">
        <v>10086</v>
      </c>
      <c r="NUP1" s="9" t="s">
        <v>10087</v>
      </c>
      <c r="NUQ1" s="9" t="s">
        <v>10088</v>
      </c>
      <c r="NUR1" s="9" t="s">
        <v>10089</v>
      </c>
      <c r="NUS1" s="9" t="s">
        <v>10090</v>
      </c>
      <c r="NUT1" s="9" t="s">
        <v>10091</v>
      </c>
      <c r="NUU1" s="9" t="s">
        <v>10092</v>
      </c>
      <c r="NUV1" s="9" t="s">
        <v>10093</v>
      </c>
      <c r="NUW1" s="9" t="s">
        <v>10094</v>
      </c>
      <c r="NUX1" s="9" t="s">
        <v>10095</v>
      </c>
      <c r="NUY1" s="9" t="s">
        <v>10096</v>
      </c>
      <c r="NUZ1" s="9" t="s">
        <v>10097</v>
      </c>
      <c r="NVA1" s="9" t="s">
        <v>10098</v>
      </c>
      <c r="NVB1" s="9" t="s">
        <v>10099</v>
      </c>
      <c r="NVC1" s="9" t="s">
        <v>10100</v>
      </c>
      <c r="NVD1" s="9" t="s">
        <v>10101</v>
      </c>
      <c r="NVE1" s="9" t="s">
        <v>10102</v>
      </c>
      <c r="NVF1" s="9" t="s">
        <v>10103</v>
      </c>
      <c r="NVG1" s="9" t="s">
        <v>10104</v>
      </c>
      <c r="NVH1" s="9" t="s">
        <v>10105</v>
      </c>
      <c r="NVI1" s="9" t="s">
        <v>10106</v>
      </c>
      <c r="NVJ1" s="9" t="s">
        <v>10107</v>
      </c>
      <c r="NVK1" s="9" t="s">
        <v>10108</v>
      </c>
      <c r="NVL1" s="9" t="s">
        <v>10109</v>
      </c>
      <c r="NVM1" s="9" t="s">
        <v>10110</v>
      </c>
      <c r="NVN1" s="9" t="s">
        <v>10111</v>
      </c>
      <c r="NVO1" s="9" t="s">
        <v>10112</v>
      </c>
      <c r="NVP1" s="9" t="s">
        <v>10113</v>
      </c>
      <c r="NVQ1" s="9" t="s">
        <v>10114</v>
      </c>
      <c r="NVR1" s="9" t="s">
        <v>10115</v>
      </c>
      <c r="NVS1" s="9" t="s">
        <v>10116</v>
      </c>
      <c r="NVT1" s="9" t="s">
        <v>10117</v>
      </c>
      <c r="NVU1" s="9" t="s">
        <v>10118</v>
      </c>
      <c r="NVV1" s="9" t="s">
        <v>10119</v>
      </c>
      <c r="NVW1" s="9" t="s">
        <v>10120</v>
      </c>
      <c r="NVX1" s="9" t="s">
        <v>10121</v>
      </c>
      <c r="NVY1" s="9" t="s">
        <v>10122</v>
      </c>
      <c r="NVZ1" s="9" t="s">
        <v>10123</v>
      </c>
      <c r="NWA1" s="9" t="s">
        <v>10124</v>
      </c>
      <c r="NWB1" s="9" t="s">
        <v>10125</v>
      </c>
      <c r="NWC1" s="9" t="s">
        <v>10126</v>
      </c>
      <c r="NWD1" s="9" t="s">
        <v>10127</v>
      </c>
      <c r="NWE1" s="9" t="s">
        <v>10128</v>
      </c>
      <c r="NWF1" s="9" t="s">
        <v>10129</v>
      </c>
      <c r="NWG1" s="9" t="s">
        <v>10130</v>
      </c>
      <c r="NWH1" s="9" t="s">
        <v>10131</v>
      </c>
      <c r="NWI1" s="9" t="s">
        <v>10132</v>
      </c>
      <c r="NWJ1" s="9" t="s">
        <v>10133</v>
      </c>
      <c r="NWK1" s="9" t="s">
        <v>10134</v>
      </c>
      <c r="NWL1" s="9" t="s">
        <v>10135</v>
      </c>
      <c r="NWM1" s="9" t="s">
        <v>10136</v>
      </c>
      <c r="NWN1" s="9" t="s">
        <v>10137</v>
      </c>
      <c r="NWO1" s="9" t="s">
        <v>10138</v>
      </c>
      <c r="NWP1" s="9" t="s">
        <v>10139</v>
      </c>
      <c r="NWQ1" s="9" t="s">
        <v>10140</v>
      </c>
      <c r="NWR1" s="9" t="s">
        <v>10141</v>
      </c>
      <c r="NWS1" s="9" t="s">
        <v>10142</v>
      </c>
      <c r="NWT1" s="9" t="s">
        <v>10143</v>
      </c>
      <c r="NWU1" s="9" t="s">
        <v>10144</v>
      </c>
      <c r="NWV1" s="9" t="s">
        <v>10145</v>
      </c>
      <c r="NWW1" s="9" t="s">
        <v>10146</v>
      </c>
      <c r="NWX1" s="9" t="s">
        <v>10147</v>
      </c>
      <c r="NWY1" s="9" t="s">
        <v>10148</v>
      </c>
      <c r="NWZ1" s="9" t="s">
        <v>10149</v>
      </c>
      <c r="NXA1" s="9" t="s">
        <v>10150</v>
      </c>
      <c r="NXB1" s="9" t="s">
        <v>10151</v>
      </c>
      <c r="NXC1" s="9" t="s">
        <v>10152</v>
      </c>
      <c r="NXD1" s="9" t="s">
        <v>10153</v>
      </c>
      <c r="NXE1" s="9" t="s">
        <v>10154</v>
      </c>
      <c r="NXF1" s="9" t="s">
        <v>10155</v>
      </c>
      <c r="NXG1" s="9" t="s">
        <v>10156</v>
      </c>
      <c r="NXH1" s="9" t="s">
        <v>10157</v>
      </c>
      <c r="NXI1" s="9" t="s">
        <v>10158</v>
      </c>
      <c r="NXJ1" s="9" t="s">
        <v>10159</v>
      </c>
      <c r="NXK1" s="9" t="s">
        <v>10160</v>
      </c>
      <c r="NXL1" s="9" t="s">
        <v>10161</v>
      </c>
      <c r="NXM1" s="9" t="s">
        <v>10162</v>
      </c>
      <c r="NXN1" s="9" t="s">
        <v>10163</v>
      </c>
      <c r="NXO1" s="9" t="s">
        <v>10164</v>
      </c>
      <c r="NXP1" s="9" t="s">
        <v>10165</v>
      </c>
      <c r="NXQ1" s="9" t="s">
        <v>10166</v>
      </c>
      <c r="NXR1" s="9" t="s">
        <v>10167</v>
      </c>
      <c r="NXS1" s="9" t="s">
        <v>10168</v>
      </c>
      <c r="NXT1" s="9" t="s">
        <v>10169</v>
      </c>
      <c r="NXU1" s="9" t="s">
        <v>10170</v>
      </c>
      <c r="NXV1" s="9" t="s">
        <v>10171</v>
      </c>
      <c r="NXW1" s="9" t="s">
        <v>10172</v>
      </c>
      <c r="NXX1" s="9" t="s">
        <v>10173</v>
      </c>
      <c r="NXY1" s="9" t="s">
        <v>10174</v>
      </c>
      <c r="NXZ1" s="9" t="s">
        <v>10175</v>
      </c>
      <c r="NYA1" s="9" t="s">
        <v>10176</v>
      </c>
      <c r="NYB1" s="9" t="s">
        <v>10177</v>
      </c>
      <c r="NYC1" s="9" t="s">
        <v>10178</v>
      </c>
      <c r="NYD1" s="9" t="s">
        <v>10179</v>
      </c>
      <c r="NYE1" s="9" t="s">
        <v>10180</v>
      </c>
      <c r="NYF1" s="9" t="s">
        <v>10181</v>
      </c>
      <c r="NYG1" s="9" t="s">
        <v>10182</v>
      </c>
      <c r="NYH1" s="9" t="s">
        <v>10183</v>
      </c>
      <c r="NYI1" s="9" t="s">
        <v>10184</v>
      </c>
      <c r="NYJ1" s="9" t="s">
        <v>10185</v>
      </c>
      <c r="NYK1" s="9" t="s">
        <v>10186</v>
      </c>
      <c r="NYL1" s="9" t="s">
        <v>10187</v>
      </c>
      <c r="NYM1" s="9" t="s">
        <v>10188</v>
      </c>
      <c r="NYN1" s="9" t="s">
        <v>10189</v>
      </c>
      <c r="NYO1" s="9" t="s">
        <v>10190</v>
      </c>
      <c r="NYP1" s="9" t="s">
        <v>10191</v>
      </c>
      <c r="NYQ1" s="9" t="s">
        <v>10192</v>
      </c>
      <c r="NYR1" s="9" t="s">
        <v>10193</v>
      </c>
      <c r="NYS1" s="9" t="s">
        <v>10194</v>
      </c>
      <c r="NYT1" s="9" t="s">
        <v>10195</v>
      </c>
      <c r="NYU1" s="9" t="s">
        <v>10196</v>
      </c>
      <c r="NYV1" s="9" t="s">
        <v>10197</v>
      </c>
      <c r="NYW1" s="9" t="s">
        <v>10198</v>
      </c>
      <c r="NYX1" s="9" t="s">
        <v>10199</v>
      </c>
      <c r="NYY1" s="9" t="s">
        <v>10200</v>
      </c>
      <c r="NYZ1" s="9" t="s">
        <v>10201</v>
      </c>
      <c r="NZA1" s="9" t="s">
        <v>10202</v>
      </c>
      <c r="NZB1" s="9" t="s">
        <v>10203</v>
      </c>
      <c r="NZC1" s="9" t="s">
        <v>10204</v>
      </c>
      <c r="NZD1" s="9" t="s">
        <v>10205</v>
      </c>
      <c r="NZE1" s="9" t="s">
        <v>10206</v>
      </c>
      <c r="NZF1" s="9" t="s">
        <v>10207</v>
      </c>
      <c r="NZG1" s="9" t="s">
        <v>10208</v>
      </c>
      <c r="NZH1" s="9" t="s">
        <v>10209</v>
      </c>
      <c r="NZI1" s="9" t="s">
        <v>10210</v>
      </c>
      <c r="NZJ1" s="9" t="s">
        <v>10211</v>
      </c>
      <c r="NZK1" s="9" t="s">
        <v>10212</v>
      </c>
      <c r="NZL1" s="9" t="s">
        <v>10213</v>
      </c>
      <c r="NZM1" s="9" t="s">
        <v>10214</v>
      </c>
      <c r="NZN1" s="9" t="s">
        <v>10215</v>
      </c>
      <c r="NZO1" s="9" t="s">
        <v>10216</v>
      </c>
      <c r="NZP1" s="9" t="s">
        <v>10217</v>
      </c>
      <c r="NZQ1" s="9" t="s">
        <v>10218</v>
      </c>
      <c r="NZR1" s="9" t="s">
        <v>10219</v>
      </c>
      <c r="NZS1" s="9" t="s">
        <v>10220</v>
      </c>
      <c r="NZT1" s="9" t="s">
        <v>10221</v>
      </c>
      <c r="NZU1" s="9" t="s">
        <v>10222</v>
      </c>
      <c r="NZV1" s="9" t="s">
        <v>10223</v>
      </c>
      <c r="NZW1" s="9" t="s">
        <v>10224</v>
      </c>
      <c r="NZX1" s="9" t="s">
        <v>10225</v>
      </c>
      <c r="NZY1" s="9" t="s">
        <v>10226</v>
      </c>
      <c r="NZZ1" s="9" t="s">
        <v>10227</v>
      </c>
      <c r="OAA1" s="9" t="s">
        <v>10228</v>
      </c>
      <c r="OAB1" s="9" t="s">
        <v>10229</v>
      </c>
      <c r="OAC1" s="9" t="s">
        <v>10230</v>
      </c>
      <c r="OAD1" s="9" t="s">
        <v>10231</v>
      </c>
      <c r="OAE1" s="9" t="s">
        <v>10232</v>
      </c>
      <c r="OAF1" s="9" t="s">
        <v>10233</v>
      </c>
      <c r="OAG1" s="9" t="s">
        <v>10234</v>
      </c>
      <c r="OAH1" s="9" t="s">
        <v>10235</v>
      </c>
      <c r="OAI1" s="9" t="s">
        <v>10236</v>
      </c>
      <c r="OAJ1" s="9" t="s">
        <v>10237</v>
      </c>
      <c r="OAK1" s="9" t="s">
        <v>10238</v>
      </c>
      <c r="OAL1" s="9" t="s">
        <v>10239</v>
      </c>
      <c r="OAM1" s="9" t="s">
        <v>10240</v>
      </c>
      <c r="OAN1" s="9" t="s">
        <v>10241</v>
      </c>
      <c r="OAO1" s="9" t="s">
        <v>10242</v>
      </c>
      <c r="OAP1" s="9" t="s">
        <v>10243</v>
      </c>
      <c r="OAQ1" s="9" t="s">
        <v>10244</v>
      </c>
      <c r="OAR1" s="9" t="s">
        <v>10245</v>
      </c>
      <c r="OAS1" s="9" t="s">
        <v>10246</v>
      </c>
      <c r="OAT1" s="9" t="s">
        <v>10247</v>
      </c>
      <c r="OAU1" s="9" t="s">
        <v>10248</v>
      </c>
      <c r="OAV1" s="9" t="s">
        <v>10249</v>
      </c>
      <c r="OAW1" s="9" t="s">
        <v>10250</v>
      </c>
      <c r="OAX1" s="9" t="s">
        <v>10251</v>
      </c>
      <c r="OAY1" s="9" t="s">
        <v>10252</v>
      </c>
      <c r="OAZ1" s="9" t="s">
        <v>10253</v>
      </c>
      <c r="OBA1" s="9" t="s">
        <v>10254</v>
      </c>
      <c r="OBB1" s="9" t="s">
        <v>10255</v>
      </c>
      <c r="OBC1" s="9" t="s">
        <v>10256</v>
      </c>
      <c r="OBD1" s="9" t="s">
        <v>10257</v>
      </c>
      <c r="OBE1" s="9" t="s">
        <v>10258</v>
      </c>
      <c r="OBF1" s="9" t="s">
        <v>10259</v>
      </c>
      <c r="OBG1" s="9" t="s">
        <v>10260</v>
      </c>
      <c r="OBH1" s="9" t="s">
        <v>10261</v>
      </c>
      <c r="OBI1" s="9" t="s">
        <v>10262</v>
      </c>
      <c r="OBJ1" s="9" t="s">
        <v>10263</v>
      </c>
      <c r="OBK1" s="9" t="s">
        <v>10264</v>
      </c>
      <c r="OBL1" s="9" t="s">
        <v>10265</v>
      </c>
      <c r="OBM1" s="9" t="s">
        <v>10266</v>
      </c>
      <c r="OBN1" s="9" t="s">
        <v>10267</v>
      </c>
      <c r="OBO1" s="9" t="s">
        <v>10268</v>
      </c>
      <c r="OBP1" s="9" t="s">
        <v>10269</v>
      </c>
      <c r="OBQ1" s="9" t="s">
        <v>10270</v>
      </c>
      <c r="OBR1" s="9" t="s">
        <v>10271</v>
      </c>
      <c r="OBS1" s="9" t="s">
        <v>10272</v>
      </c>
      <c r="OBT1" s="9" t="s">
        <v>10273</v>
      </c>
      <c r="OBU1" s="9" t="s">
        <v>10274</v>
      </c>
      <c r="OBV1" s="9" t="s">
        <v>10275</v>
      </c>
      <c r="OBW1" s="9" t="s">
        <v>10276</v>
      </c>
      <c r="OBX1" s="9" t="s">
        <v>10277</v>
      </c>
      <c r="OBY1" s="9" t="s">
        <v>10278</v>
      </c>
      <c r="OBZ1" s="9" t="s">
        <v>10279</v>
      </c>
      <c r="OCA1" s="9" t="s">
        <v>10280</v>
      </c>
      <c r="OCB1" s="9" t="s">
        <v>10281</v>
      </c>
      <c r="OCC1" s="9" t="s">
        <v>10282</v>
      </c>
      <c r="OCD1" s="9" t="s">
        <v>10283</v>
      </c>
      <c r="OCE1" s="9" t="s">
        <v>10284</v>
      </c>
      <c r="OCF1" s="9" t="s">
        <v>10285</v>
      </c>
      <c r="OCG1" s="9" t="s">
        <v>10286</v>
      </c>
      <c r="OCH1" s="9" t="s">
        <v>10287</v>
      </c>
      <c r="OCI1" s="9" t="s">
        <v>10288</v>
      </c>
      <c r="OCJ1" s="9" t="s">
        <v>10289</v>
      </c>
      <c r="OCK1" s="9" t="s">
        <v>10290</v>
      </c>
      <c r="OCL1" s="9" t="s">
        <v>10291</v>
      </c>
      <c r="OCM1" s="9" t="s">
        <v>10292</v>
      </c>
      <c r="OCN1" s="9" t="s">
        <v>10293</v>
      </c>
      <c r="OCO1" s="9" t="s">
        <v>10294</v>
      </c>
      <c r="OCP1" s="9" t="s">
        <v>10295</v>
      </c>
      <c r="OCQ1" s="9" t="s">
        <v>10296</v>
      </c>
      <c r="OCR1" s="9" t="s">
        <v>10297</v>
      </c>
      <c r="OCS1" s="9" t="s">
        <v>10298</v>
      </c>
      <c r="OCT1" s="9" t="s">
        <v>10299</v>
      </c>
      <c r="OCU1" s="9" t="s">
        <v>10300</v>
      </c>
      <c r="OCV1" s="9" t="s">
        <v>10301</v>
      </c>
      <c r="OCW1" s="9" t="s">
        <v>10302</v>
      </c>
      <c r="OCX1" s="9" t="s">
        <v>10303</v>
      </c>
      <c r="OCY1" s="9" t="s">
        <v>10304</v>
      </c>
      <c r="OCZ1" s="9" t="s">
        <v>10305</v>
      </c>
      <c r="ODA1" s="9" t="s">
        <v>10306</v>
      </c>
      <c r="ODB1" s="9" t="s">
        <v>10307</v>
      </c>
      <c r="ODC1" s="9" t="s">
        <v>10308</v>
      </c>
      <c r="ODD1" s="9" t="s">
        <v>10309</v>
      </c>
      <c r="ODE1" s="9" t="s">
        <v>10310</v>
      </c>
      <c r="ODF1" s="9" t="s">
        <v>10311</v>
      </c>
      <c r="ODG1" s="9" t="s">
        <v>10312</v>
      </c>
      <c r="ODH1" s="9" t="s">
        <v>10313</v>
      </c>
      <c r="ODI1" s="9" t="s">
        <v>10314</v>
      </c>
      <c r="ODJ1" s="9" t="s">
        <v>10315</v>
      </c>
      <c r="ODK1" s="9" t="s">
        <v>10316</v>
      </c>
      <c r="ODL1" s="9" t="s">
        <v>10317</v>
      </c>
      <c r="ODM1" s="9" t="s">
        <v>10318</v>
      </c>
      <c r="ODN1" s="9" t="s">
        <v>10319</v>
      </c>
      <c r="ODO1" s="9" t="s">
        <v>10320</v>
      </c>
      <c r="ODP1" s="9" t="s">
        <v>10321</v>
      </c>
      <c r="ODQ1" s="9" t="s">
        <v>10322</v>
      </c>
      <c r="ODR1" s="9" t="s">
        <v>10323</v>
      </c>
      <c r="ODS1" s="9" t="s">
        <v>10324</v>
      </c>
      <c r="ODT1" s="9" t="s">
        <v>10325</v>
      </c>
      <c r="ODU1" s="9" t="s">
        <v>10326</v>
      </c>
      <c r="ODV1" s="9" t="s">
        <v>10327</v>
      </c>
      <c r="ODW1" s="9" t="s">
        <v>10328</v>
      </c>
      <c r="ODX1" s="9" t="s">
        <v>10329</v>
      </c>
      <c r="ODY1" s="9" t="s">
        <v>10330</v>
      </c>
      <c r="ODZ1" s="9" t="s">
        <v>10331</v>
      </c>
      <c r="OEA1" s="9" t="s">
        <v>10332</v>
      </c>
      <c r="OEB1" s="9" t="s">
        <v>10333</v>
      </c>
      <c r="OEC1" s="9" t="s">
        <v>10334</v>
      </c>
      <c r="OED1" s="9" t="s">
        <v>10335</v>
      </c>
      <c r="OEE1" s="9" t="s">
        <v>10336</v>
      </c>
      <c r="OEF1" s="9" t="s">
        <v>10337</v>
      </c>
      <c r="OEG1" s="9" t="s">
        <v>10338</v>
      </c>
      <c r="OEH1" s="9" t="s">
        <v>10339</v>
      </c>
      <c r="OEI1" s="9" t="s">
        <v>10340</v>
      </c>
      <c r="OEJ1" s="9" t="s">
        <v>10341</v>
      </c>
      <c r="OEK1" s="9" t="s">
        <v>10342</v>
      </c>
      <c r="OEL1" s="9" t="s">
        <v>10343</v>
      </c>
      <c r="OEM1" s="9" t="s">
        <v>10344</v>
      </c>
      <c r="OEN1" s="9" t="s">
        <v>10345</v>
      </c>
      <c r="OEO1" s="9" t="s">
        <v>10346</v>
      </c>
      <c r="OEP1" s="9" t="s">
        <v>10347</v>
      </c>
      <c r="OEQ1" s="9" t="s">
        <v>10348</v>
      </c>
      <c r="OER1" s="9" t="s">
        <v>10349</v>
      </c>
      <c r="OES1" s="9" t="s">
        <v>10350</v>
      </c>
      <c r="OET1" s="9" t="s">
        <v>10351</v>
      </c>
      <c r="OEU1" s="9" t="s">
        <v>10352</v>
      </c>
      <c r="OEV1" s="9" t="s">
        <v>10353</v>
      </c>
      <c r="OEW1" s="9" t="s">
        <v>10354</v>
      </c>
      <c r="OEX1" s="9" t="s">
        <v>10355</v>
      </c>
      <c r="OEY1" s="9" t="s">
        <v>10356</v>
      </c>
      <c r="OEZ1" s="9" t="s">
        <v>10357</v>
      </c>
      <c r="OFA1" s="9" t="s">
        <v>10358</v>
      </c>
      <c r="OFB1" s="9" t="s">
        <v>10359</v>
      </c>
      <c r="OFC1" s="9" t="s">
        <v>10360</v>
      </c>
      <c r="OFD1" s="9" t="s">
        <v>10361</v>
      </c>
      <c r="OFE1" s="9" t="s">
        <v>10362</v>
      </c>
      <c r="OFF1" s="9" t="s">
        <v>10363</v>
      </c>
      <c r="OFG1" s="9" t="s">
        <v>10364</v>
      </c>
      <c r="OFH1" s="9" t="s">
        <v>10365</v>
      </c>
      <c r="OFI1" s="9" t="s">
        <v>10366</v>
      </c>
      <c r="OFJ1" s="9" t="s">
        <v>10367</v>
      </c>
      <c r="OFK1" s="9" t="s">
        <v>10368</v>
      </c>
      <c r="OFL1" s="9" t="s">
        <v>10369</v>
      </c>
      <c r="OFM1" s="9" t="s">
        <v>10370</v>
      </c>
      <c r="OFN1" s="9" t="s">
        <v>10371</v>
      </c>
      <c r="OFO1" s="9" t="s">
        <v>10372</v>
      </c>
      <c r="OFP1" s="9" t="s">
        <v>10373</v>
      </c>
      <c r="OFQ1" s="9" t="s">
        <v>10374</v>
      </c>
      <c r="OFR1" s="9" t="s">
        <v>10375</v>
      </c>
      <c r="OFS1" s="9" t="s">
        <v>10376</v>
      </c>
      <c r="OFT1" s="9" t="s">
        <v>10377</v>
      </c>
      <c r="OFU1" s="9" t="s">
        <v>10378</v>
      </c>
      <c r="OFV1" s="9" t="s">
        <v>10379</v>
      </c>
      <c r="OFW1" s="9" t="s">
        <v>10380</v>
      </c>
      <c r="OFX1" s="9" t="s">
        <v>10381</v>
      </c>
      <c r="OFY1" s="9" t="s">
        <v>10382</v>
      </c>
      <c r="OFZ1" s="9" t="s">
        <v>10383</v>
      </c>
      <c r="OGA1" s="9" t="s">
        <v>10384</v>
      </c>
      <c r="OGB1" s="9" t="s">
        <v>10385</v>
      </c>
      <c r="OGC1" s="9" t="s">
        <v>10386</v>
      </c>
      <c r="OGD1" s="9" t="s">
        <v>10387</v>
      </c>
      <c r="OGE1" s="9" t="s">
        <v>10388</v>
      </c>
      <c r="OGF1" s="9" t="s">
        <v>10389</v>
      </c>
      <c r="OGG1" s="9" t="s">
        <v>10390</v>
      </c>
      <c r="OGH1" s="9" t="s">
        <v>10391</v>
      </c>
      <c r="OGI1" s="9" t="s">
        <v>10392</v>
      </c>
      <c r="OGJ1" s="9" t="s">
        <v>10393</v>
      </c>
      <c r="OGK1" s="9" t="s">
        <v>10394</v>
      </c>
      <c r="OGL1" s="9" t="s">
        <v>10395</v>
      </c>
      <c r="OGM1" s="9" t="s">
        <v>10396</v>
      </c>
      <c r="OGN1" s="9" t="s">
        <v>10397</v>
      </c>
      <c r="OGO1" s="9" t="s">
        <v>10398</v>
      </c>
      <c r="OGP1" s="9" t="s">
        <v>10399</v>
      </c>
      <c r="OGQ1" s="9" t="s">
        <v>10400</v>
      </c>
      <c r="OGR1" s="9" t="s">
        <v>10401</v>
      </c>
      <c r="OGS1" s="9" t="s">
        <v>10402</v>
      </c>
      <c r="OGT1" s="9" t="s">
        <v>10403</v>
      </c>
      <c r="OGU1" s="9" t="s">
        <v>10404</v>
      </c>
      <c r="OGV1" s="9" t="s">
        <v>10405</v>
      </c>
      <c r="OGW1" s="9" t="s">
        <v>10406</v>
      </c>
      <c r="OGX1" s="9" t="s">
        <v>10407</v>
      </c>
      <c r="OGY1" s="9" t="s">
        <v>10408</v>
      </c>
      <c r="OGZ1" s="9" t="s">
        <v>10409</v>
      </c>
      <c r="OHA1" s="9" t="s">
        <v>10410</v>
      </c>
      <c r="OHB1" s="9" t="s">
        <v>10411</v>
      </c>
      <c r="OHC1" s="9" t="s">
        <v>10412</v>
      </c>
      <c r="OHD1" s="9" t="s">
        <v>10413</v>
      </c>
      <c r="OHE1" s="9" t="s">
        <v>10414</v>
      </c>
      <c r="OHF1" s="9" t="s">
        <v>10415</v>
      </c>
      <c r="OHG1" s="9" t="s">
        <v>10416</v>
      </c>
      <c r="OHH1" s="9" t="s">
        <v>10417</v>
      </c>
      <c r="OHI1" s="9" t="s">
        <v>10418</v>
      </c>
      <c r="OHJ1" s="9" t="s">
        <v>10419</v>
      </c>
      <c r="OHK1" s="9" t="s">
        <v>10420</v>
      </c>
      <c r="OHL1" s="9" t="s">
        <v>10421</v>
      </c>
      <c r="OHM1" s="9" t="s">
        <v>10422</v>
      </c>
      <c r="OHN1" s="9" t="s">
        <v>10423</v>
      </c>
      <c r="OHO1" s="9" t="s">
        <v>10424</v>
      </c>
      <c r="OHP1" s="9" t="s">
        <v>10425</v>
      </c>
      <c r="OHQ1" s="9" t="s">
        <v>10426</v>
      </c>
      <c r="OHR1" s="9" t="s">
        <v>10427</v>
      </c>
      <c r="OHS1" s="9" t="s">
        <v>10428</v>
      </c>
      <c r="OHT1" s="9" t="s">
        <v>10429</v>
      </c>
      <c r="OHU1" s="9" t="s">
        <v>10430</v>
      </c>
      <c r="OHV1" s="9" t="s">
        <v>10431</v>
      </c>
      <c r="OHW1" s="9" t="s">
        <v>10432</v>
      </c>
      <c r="OHX1" s="9" t="s">
        <v>10433</v>
      </c>
      <c r="OHY1" s="9" t="s">
        <v>10434</v>
      </c>
      <c r="OHZ1" s="9" t="s">
        <v>10435</v>
      </c>
      <c r="OIA1" s="9" t="s">
        <v>10436</v>
      </c>
      <c r="OIB1" s="9" t="s">
        <v>10437</v>
      </c>
      <c r="OIC1" s="9" t="s">
        <v>10438</v>
      </c>
      <c r="OID1" s="9" t="s">
        <v>10439</v>
      </c>
      <c r="OIE1" s="9" t="s">
        <v>10440</v>
      </c>
      <c r="OIF1" s="9" t="s">
        <v>10441</v>
      </c>
      <c r="OIG1" s="9" t="s">
        <v>10442</v>
      </c>
      <c r="OIH1" s="9" t="s">
        <v>10443</v>
      </c>
      <c r="OII1" s="9" t="s">
        <v>10444</v>
      </c>
      <c r="OIJ1" s="9" t="s">
        <v>10445</v>
      </c>
      <c r="OIK1" s="9" t="s">
        <v>10446</v>
      </c>
      <c r="OIL1" s="9" t="s">
        <v>10447</v>
      </c>
      <c r="OIM1" s="9" t="s">
        <v>10448</v>
      </c>
      <c r="OIN1" s="9" t="s">
        <v>10449</v>
      </c>
      <c r="OIO1" s="9" t="s">
        <v>10450</v>
      </c>
      <c r="OIP1" s="9" t="s">
        <v>10451</v>
      </c>
      <c r="OIQ1" s="9" t="s">
        <v>10452</v>
      </c>
      <c r="OIR1" s="9" t="s">
        <v>10453</v>
      </c>
      <c r="OIS1" s="9" t="s">
        <v>10454</v>
      </c>
      <c r="OIT1" s="9" t="s">
        <v>10455</v>
      </c>
      <c r="OIU1" s="9" t="s">
        <v>10456</v>
      </c>
      <c r="OIV1" s="9" t="s">
        <v>10457</v>
      </c>
      <c r="OIW1" s="9" t="s">
        <v>10458</v>
      </c>
      <c r="OIX1" s="9" t="s">
        <v>10459</v>
      </c>
      <c r="OIY1" s="9" t="s">
        <v>10460</v>
      </c>
      <c r="OIZ1" s="9" t="s">
        <v>10461</v>
      </c>
      <c r="OJA1" s="9" t="s">
        <v>10462</v>
      </c>
      <c r="OJB1" s="9" t="s">
        <v>10463</v>
      </c>
      <c r="OJC1" s="9" t="s">
        <v>10464</v>
      </c>
      <c r="OJD1" s="9" t="s">
        <v>10465</v>
      </c>
      <c r="OJE1" s="9" t="s">
        <v>10466</v>
      </c>
      <c r="OJF1" s="9" t="s">
        <v>10467</v>
      </c>
      <c r="OJG1" s="9" t="s">
        <v>10468</v>
      </c>
      <c r="OJH1" s="9" t="s">
        <v>10469</v>
      </c>
      <c r="OJI1" s="9" t="s">
        <v>10470</v>
      </c>
      <c r="OJJ1" s="9" t="s">
        <v>10471</v>
      </c>
      <c r="OJK1" s="9" t="s">
        <v>10472</v>
      </c>
      <c r="OJL1" s="9" t="s">
        <v>10473</v>
      </c>
      <c r="OJM1" s="9" t="s">
        <v>10474</v>
      </c>
      <c r="OJN1" s="9" t="s">
        <v>10475</v>
      </c>
      <c r="OJO1" s="9" t="s">
        <v>10476</v>
      </c>
      <c r="OJP1" s="9" t="s">
        <v>10477</v>
      </c>
      <c r="OJQ1" s="9" t="s">
        <v>10478</v>
      </c>
      <c r="OJR1" s="9" t="s">
        <v>10479</v>
      </c>
      <c r="OJS1" s="9" t="s">
        <v>10480</v>
      </c>
      <c r="OJT1" s="9" t="s">
        <v>10481</v>
      </c>
      <c r="OJU1" s="9" t="s">
        <v>10482</v>
      </c>
      <c r="OJV1" s="9" t="s">
        <v>10483</v>
      </c>
      <c r="OJW1" s="9" t="s">
        <v>10484</v>
      </c>
      <c r="OJX1" s="9" t="s">
        <v>10485</v>
      </c>
      <c r="OJY1" s="9" t="s">
        <v>10486</v>
      </c>
      <c r="OJZ1" s="9" t="s">
        <v>10487</v>
      </c>
      <c r="OKA1" s="9" t="s">
        <v>10488</v>
      </c>
      <c r="OKB1" s="9" t="s">
        <v>10489</v>
      </c>
      <c r="OKC1" s="9" t="s">
        <v>10490</v>
      </c>
      <c r="OKD1" s="9" t="s">
        <v>10491</v>
      </c>
      <c r="OKE1" s="9" t="s">
        <v>10492</v>
      </c>
      <c r="OKF1" s="9" t="s">
        <v>10493</v>
      </c>
      <c r="OKG1" s="9" t="s">
        <v>10494</v>
      </c>
      <c r="OKH1" s="9" t="s">
        <v>10495</v>
      </c>
      <c r="OKI1" s="9" t="s">
        <v>10496</v>
      </c>
      <c r="OKJ1" s="9" t="s">
        <v>10497</v>
      </c>
      <c r="OKK1" s="9" t="s">
        <v>10498</v>
      </c>
      <c r="OKL1" s="9" t="s">
        <v>10499</v>
      </c>
      <c r="OKM1" s="9" t="s">
        <v>10500</v>
      </c>
      <c r="OKN1" s="9" t="s">
        <v>10501</v>
      </c>
      <c r="OKO1" s="9" t="s">
        <v>10502</v>
      </c>
      <c r="OKP1" s="9" t="s">
        <v>10503</v>
      </c>
      <c r="OKQ1" s="9" t="s">
        <v>10504</v>
      </c>
      <c r="OKR1" s="9" t="s">
        <v>10505</v>
      </c>
      <c r="OKS1" s="9" t="s">
        <v>10506</v>
      </c>
      <c r="OKT1" s="9" t="s">
        <v>10507</v>
      </c>
      <c r="OKU1" s="9" t="s">
        <v>10508</v>
      </c>
      <c r="OKV1" s="9" t="s">
        <v>10509</v>
      </c>
      <c r="OKW1" s="9" t="s">
        <v>10510</v>
      </c>
      <c r="OKX1" s="9" t="s">
        <v>10511</v>
      </c>
      <c r="OKY1" s="9" t="s">
        <v>10512</v>
      </c>
      <c r="OKZ1" s="9" t="s">
        <v>10513</v>
      </c>
      <c r="OLA1" s="9" t="s">
        <v>10514</v>
      </c>
      <c r="OLB1" s="9" t="s">
        <v>10515</v>
      </c>
      <c r="OLC1" s="9" t="s">
        <v>10516</v>
      </c>
      <c r="OLD1" s="9" t="s">
        <v>10517</v>
      </c>
      <c r="OLE1" s="9" t="s">
        <v>10518</v>
      </c>
      <c r="OLF1" s="9" t="s">
        <v>10519</v>
      </c>
      <c r="OLG1" s="9" t="s">
        <v>10520</v>
      </c>
      <c r="OLH1" s="9" t="s">
        <v>10521</v>
      </c>
      <c r="OLI1" s="9" t="s">
        <v>10522</v>
      </c>
      <c r="OLJ1" s="9" t="s">
        <v>10523</v>
      </c>
      <c r="OLK1" s="9" t="s">
        <v>10524</v>
      </c>
      <c r="OLL1" s="9" t="s">
        <v>10525</v>
      </c>
      <c r="OLM1" s="9" t="s">
        <v>10526</v>
      </c>
      <c r="OLN1" s="9" t="s">
        <v>10527</v>
      </c>
      <c r="OLO1" s="9" t="s">
        <v>10528</v>
      </c>
      <c r="OLP1" s="9" t="s">
        <v>10529</v>
      </c>
      <c r="OLQ1" s="9" t="s">
        <v>10530</v>
      </c>
      <c r="OLR1" s="9" t="s">
        <v>10531</v>
      </c>
      <c r="OLS1" s="9" t="s">
        <v>10532</v>
      </c>
      <c r="OLT1" s="9" t="s">
        <v>10533</v>
      </c>
      <c r="OLU1" s="9" t="s">
        <v>10534</v>
      </c>
      <c r="OLV1" s="9" t="s">
        <v>10535</v>
      </c>
      <c r="OLW1" s="9" t="s">
        <v>10536</v>
      </c>
      <c r="OLX1" s="9" t="s">
        <v>10537</v>
      </c>
      <c r="OLY1" s="9" t="s">
        <v>10538</v>
      </c>
      <c r="OLZ1" s="9" t="s">
        <v>10539</v>
      </c>
      <c r="OMA1" s="9" t="s">
        <v>10540</v>
      </c>
      <c r="OMB1" s="9" t="s">
        <v>10541</v>
      </c>
      <c r="OMC1" s="9" t="s">
        <v>10542</v>
      </c>
      <c r="OMD1" s="9" t="s">
        <v>10543</v>
      </c>
      <c r="OME1" s="9" t="s">
        <v>10544</v>
      </c>
      <c r="OMF1" s="9" t="s">
        <v>10545</v>
      </c>
      <c r="OMG1" s="9" t="s">
        <v>10546</v>
      </c>
      <c r="OMH1" s="9" t="s">
        <v>10547</v>
      </c>
      <c r="OMI1" s="9" t="s">
        <v>10548</v>
      </c>
      <c r="OMJ1" s="9" t="s">
        <v>10549</v>
      </c>
      <c r="OMK1" s="9" t="s">
        <v>10550</v>
      </c>
      <c r="OML1" s="9" t="s">
        <v>10551</v>
      </c>
      <c r="OMM1" s="9" t="s">
        <v>10552</v>
      </c>
      <c r="OMN1" s="9" t="s">
        <v>10553</v>
      </c>
      <c r="OMO1" s="9" t="s">
        <v>10554</v>
      </c>
      <c r="OMP1" s="9" t="s">
        <v>10555</v>
      </c>
      <c r="OMQ1" s="9" t="s">
        <v>10556</v>
      </c>
      <c r="OMR1" s="9" t="s">
        <v>10557</v>
      </c>
      <c r="OMS1" s="9" t="s">
        <v>10558</v>
      </c>
      <c r="OMT1" s="9" t="s">
        <v>10559</v>
      </c>
      <c r="OMU1" s="9" t="s">
        <v>10560</v>
      </c>
      <c r="OMV1" s="9" t="s">
        <v>10561</v>
      </c>
      <c r="OMW1" s="9" t="s">
        <v>10562</v>
      </c>
      <c r="OMX1" s="9" t="s">
        <v>10563</v>
      </c>
      <c r="OMY1" s="9" t="s">
        <v>10564</v>
      </c>
      <c r="OMZ1" s="9" t="s">
        <v>10565</v>
      </c>
      <c r="ONA1" s="9" t="s">
        <v>10566</v>
      </c>
      <c r="ONB1" s="9" t="s">
        <v>10567</v>
      </c>
      <c r="ONC1" s="9" t="s">
        <v>10568</v>
      </c>
      <c r="OND1" s="9" t="s">
        <v>10569</v>
      </c>
      <c r="ONE1" s="9" t="s">
        <v>10570</v>
      </c>
      <c r="ONF1" s="9" t="s">
        <v>10571</v>
      </c>
      <c r="ONG1" s="9" t="s">
        <v>10572</v>
      </c>
      <c r="ONH1" s="9" t="s">
        <v>10573</v>
      </c>
      <c r="ONI1" s="9" t="s">
        <v>10574</v>
      </c>
      <c r="ONJ1" s="9" t="s">
        <v>10575</v>
      </c>
      <c r="ONK1" s="9" t="s">
        <v>10576</v>
      </c>
      <c r="ONL1" s="9" t="s">
        <v>10577</v>
      </c>
      <c r="ONM1" s="9" t="s">
        <v>10578</v>
      </c>
      <c r="ONN1" s="9" t="s">
        <v>10579</v>
      </c>
      <c r="ONO1" s="9" t="s">
        <v>10580</v>
      </c>
      <c r="ONP1" s="9" t="s">
        <v>10581</v>
      </c>
      <c r="ONQ1" s="9" t="s">
        <v>10582</v>
      </c>
      <c r="ONR1" s="9" t="s">
        <v>10583</v>
      </c>
      <c r="ONS1" s="9" t="s">
        <v>10584</v>
      </c>
      <c r="ONT1" s="9" t="s">
        <v>10585</v>
      </c>
      <c r="ONU1" s="9" t="s">
        <v>10586</v>
      </c>
      <c r="ONV1" s="9" t="s">
        <v>10587</v>
      </c>
      <c r="ONW1" s="9" t="s">
        <v>10588</v>
      </c>
      <c r="ONX1" s="9" t="s">
        <v>10589</v>
      </c>
      <c r="ONY1" s="9" t="s">
        <v>10590</v>
      </c>
      <c r="ONZ1" s="9" t="s">
        <v>10591</v>
      </c>
      <c r="OOA1" s="9" t="s">
        <v>10592</v>
      </c>
      <c r="OOB1" s="9" t="s">
        <v>10593</v>
      </c>
      <c r="OOC1" s="9" t="s">
        <v>10594</v>
      </c>
      <c r="OOD1" s="9" t="s">
        <v>10595</v>
      </c>
      <c r="OOE1" s="9" t="s">
        <v>10596</v>
      </c>
      <c r="OOF1" s="9" t="s">
        <v>10597</v>
      </c>
      <c r="OOG1" s="9" t="s">
        <v>10598</v>
      </c>
      <c r="OOH1" s="9" t="s">
        <v>10599</v>
      </c>
      <c r="OOI1" s="9" t="s">
        <v>10600</v>
      </c>
      <c r="OOJ1" s="9" t="s">
        <v>10601</v>
      </c>
      <c r="OOK1" s="9" t="s">
        <v>10602</v>
      </c>
      <c r="OOL1" s="9" t="s">
        <v>10603</v>
      </c>
      <c r="OOM1" s="9" t="s">
        <v>10604</v>
      </c>
      <c r="OON1" s="9" t="s">
        <v>10605</v>
      </c>
      <c r="OOO1" s="9" t="s">
        <v>10606</v>
      </c>
      <c r="OOP1" s="9" t="s">
        <v>10607</v>
      </c>
      <c r="OOQ1" s="9" t="s">
        <v>10608</v>
      </c>
      <c r="OOR1" s="9" t="s">
        <v>10609</v>
      </c>
      <c r="OOS1" s="9" t="s">
        <v>10610</v>
      </c>
      <c r="OOT1" s="9" t="s">
        <v>10611</v>
      </c>
      <c r="OOU1" s="9" t="s">
        <v>10612</v>
      </c>
      <c r="OOV1" s="9" t="s">
        <v>10613</v>
      </c>
      <c r="OOW1" s="9" t="s">
        <v>10614</v>
      </c>
      <c r="OOX1" s="9" t="s">
        <v>10615</v>
      </c>
      <c r="OOY1" s="9" t="s">
        <v>10616</v>
      </c>
      <c r="OOZ1" s="9" t="s">
        <v>10617</v>
      </c>
      <c r="OPA1" s="9" t="s">
        <v>10618</v>
      </c>
      <c r="OPB1" s="9" t="s">
        <v>10619</v>
      </c>
      <c r="OPC1" s="9" t="s">
        <v>10620</v>
      </c>
      <c r="OPD1" s="9" t="s">
        <v>10621</v>
      </c>
      <c r="OPE1" s="9" t="s">
        <v>10622</v>
      </c>
      <c r="OPF1" s="9" t="s">
        <v>10623</v>
      </c>
      <c r="OPG1" s="9" t="s">
        <v>10624</v>
      </c>
      <c r="OPH1" s="9" t="s">
        <v>10625</v>
      </c>
      <c r="OPI1" s="9" t="s">
        <v>10626</v>
      </c>
      <c r="OPJ1" s="9" t="s">
        <v>10627</v>
      </c>
      <c r="OPK1" s="9" t="s">
        <v>10628</v>
      </c>
      <c r="OPL1" s="9" t="s">
        <v>10629</v>
      </c>
      <c r="OPM1" s="9" t="s">
        <v>10630</v>
      </c>
      <c r="OPN1" s="9" t="s">
        <v>10631</v>
      </c>
      <c r="OPO1" s="9" t="s">
        <v>10632</v>
      </c>
      <c r="OPP1" s="9" t="s">
        <v>10633</v>
      </c>
      <c r="OPQ1" s="9" t="s">
        <v>10634</v>
      </c>
      <c r="OPR1" s="9" t="s">
        <v>10635</v>
      </c>
      <c r="OPS1" s="9" t="s">
        <v>10636</v>
      </c>
      <c r="OPT1" s="9" t="s">
        <v>10637</v>
      </c>
      <c r="OPU1" s="9" t="s">
        <v>10638</v>
      </c>
      <c r="OPV1" s="9" t="s">
        <v>10639</v>
      </c>
      <c r="OPW1" s="9" t="s">
        <v>10640</v>
      </c>
      <c r="OPX1" s="9" t="s">
        <v>10641</v>
      </c>
      <c r="OPY1" s="9" t="s">
        <v>10642</v>
      </c>
      <c r="OPZ1" s="9" t="s">
        <v>10643</v>
      </c>
      <c r="OQA1" s="9" t="s">
        <v>10644</v>
      </c>
      <c r="OQB1" s="9" t="s">
        <v>10645</v>
      </c>
      <c r="OQC1" s="9" t="s">
        <v>10646</v>
      </c>
      <c r="OQD1" s="9" t="s">
        <v>10647</v>
      </c>
      <c r="OQE1" s="9" t="s">
        <v>10648</v>
      </c>
      <c r="OQF1" s="9" t="s">
        <v>10649</v>
      </c>
      <c r="OQG1" s="9" t="s">
        <v>10650</v>
      </c>
      <c r="OQH1" s="9" t="s">
        <v>10651</v>
      </c>
      <c r="OQI1" s="9" t="s">
        <v>10652</v>
      </c>
      <c r="OQJ1" s="9" t="s">
        <v>10653</v>
      </c>
      <c r="OQK1" s="9" t="s">
        <v>10654</v>
      </c>
      <c r="OQL1" s="9" t="s">
        <v>10655</v>
      </c>
      <c r="OQM1" s="9" t="s">
        <v>10656</v>
      </c>
      <c r="OQN1" s="9" t="s">
        <v>10657</v>
      </c>
      <c r="OQO1" s="9" t="s">
        <v>10658</v>
      </c>
      <c r="OQP1" s="9" t="s">
        <v>10659</v>
      </c>
      <c r="OQQ1" s="9" t="s">
        <v>10660</v>
      </c>
      <c r="OQR1" s="9" t="s">
        <v>10661</v>
      </c>
      <c r="OQS1" s="9" t="s">
        <v>10662</v>
      </c>
      <c r="OQT1" s="9" t="s">
        <v>10663</v>
      </c>
      <c r="OQU1" s="9" t="s">
        <v>10664</v>
      </c>
      <c r="OQV1" s="9" t="s">
        <v>10665</v>
      </c>
      <c r="OQW1" s="9" t="s">
        <v>10666</v>
      </c>
      <c r="OQX1" s="9" t="s">
        <v>10667</v>
      </c>
      <c r="OQY1" s="9" t="s">
        <v>10668</v>
      </c>
      <c r="OQZ1" s="9" t="s">
        <v>10669</v>
      </c>
      <c r="ORA1" s="9" t="s">
        <v>10670</v>
      </c>
      <c r="ORB1" s="9" t="s">
        <v>10671</v>
      </c>
      <c r="ORC1" s="9" t="s">
        <v>10672</v>
      </c>
      <c r="ORD1" s="9" t="s">
        <v>10673</v>
      </c>
      <c r="ORE1" s="9" t="s">
        <v>10674</v>
      </c>
      <c r="ORF1" s="9" t="s">
        <v>10675</v>
      </c>
      <c r="ORG1" s="9" t="s">
        <v>10676</v>
      </c>
      <c r="ORH1" s="9" t="s">
        <v>10677</v>
      </c>
      <c r="ORI1" s="9" t="s">
        <v>10678</v>
      </c>
      <c r="ORJ1" s="9" t="s">
        <v>10679</v>
      </c>
      <c r="ORK1" s="9" t="s">
        <v>10680</v>
      </c>
      <c r="ORL1" s="9" t="s">
        <v>10681</v>
      </c>
      <c r="ORM1" s="9" t="s">
        <v>10682</v>
      </c>
      <c r="ORN1" s="9" t="s">
        <v>10683</v>
      </c>
      <c r="ORO1" s="9" t="s">
        <v>10684</v>
      </c>
      <c r="ORP1" s="9" t="s">
        <v>10685</v>
      </c>
      <c r="ORQ1" s="9" t="s">
        <v>10686</v>
      </c>
      <c r="ORR1" s="9" t="s">
        <v>10687</v>
      </c>
      <c r="ORS1" s="9" t="s">
        <v>10688</v>
      </c>
      <c r="ORT1" s="9" t="s">
        <v>10689</v>
      </c>
      <c r="ORU1" s="9" t="s">
        <v>10690</v>
      </c>
      <c r="ORV1" s="9" t="s">
        <v>10691</v>
      </c>
      <c r="ORW1" s="9" t="s">
        <v>10692</v>
      </c>
      <c r="ORX1" s="9" t="s">
        <v>10693</v>
      </c>
      <c r="ORY1" s="9" t="s">
        <v>10694</v>
      </c>
      <c r="ORZ1" s="9" t="s">
        <v>10695</v>
      </c>
      <c r="OSA1" s="9" t="s">
        <v>10696</v>
      </c>
      <c r="OSB1" s="9" t="s">
        <v>10697</v>
      </c>
      <c r="OSC1" s="9" t="s">
        <v>10698</v>
      </c>
      <c r="OSD1" s="9" t="s">
        <v>10699</v>
      </c>
      <c r="OSE1" s="9" t="s">
        <v>10700</v>
      </c>
      <c r="OSF1" s="9" t="s">
        <v>10701</v>
      </c>
      <c r="OSG1" s="9" t="s">
        <v>10702</v>
      </c>
      <c r="OSH1" s="9" t="s">
        <v>10703</v>
      </c>
      <c r="OSI1" s="9" t="s">
        <v>10704</v>
      </c>
      <c r="OSJ1" s="9" t="s">
        <v>10705</v>
      </c>
      <c r="OSK1" s="9" t="s">
        <v>10706</v>
      </c>
      <c r="OSL1" s="9" t="s">
        <v>10707</v>
      </c>
      <c r="OSM1" s="9" t="s">
        <v>10708</v>
      </c>
      <c r="OSN1" s="9" t="s">
        <v>10709</v>
      </c>
      <c r="OSO1" s="9" t="s">
        <v>10710</v>
      </c>
      <c r="OSP1" s="9" t="s">
        <v>10711</v>
      </c>
      <c r="OSQ1" s="9" t="s">
        <v>10712</v>
      </c>
      <c r="OSR1" s="9" t="s">
        <v>10713</v>
      </c>
      <c r="OSS1" s="9" t="s">
        <v>10714</v>
      </c>
      <c r="OST1" s="9" t="s">
        <v>10715</v>
      </c>
      <c r="OSU1" s="9" t="s">
        <v>10716</v>
      </c>
      <c r="OSV1" s="9" t="s">
        <v>10717</v>
      </c>
      <c r="OSW1" s="9" t="s">
        <v>10718</v>
      </c>
      <c r="OSX1" s="9" t="s">
        <v>10719</v>
      </c>
      <c r="OSY1" s="9" t="s">
        <v>10720</v>
      </c>
      <c r="OSZ1" s="9" t="s">
        <v>10721</v>
      </c>
      <c r="OTA1" s="9" t="s">
        <v>10722</v>
      </c>
      <c r="OTB1" s="9" t="s">
        <v>10723</v>
      </c>
      <c r="OTC1" s="9" t="s">
        <v>10724</v>
      </c>
      <c r="OTD1" s="9" t="s">
        <v>10725</v>
      </c>
      <c r="OTE1" s="9" t="s">
        <v>10726</v>
      </c>
      <c r="OTF1" s="9" t="s">
        <v>10727</v>
      </c>
      <c r="OTG1" s="9" t="s">
        <v>10728</v>
      </c>
      <c r="OTH1" s="9" t="s">
        <v>10729</v>
      </c>
      <c r="OTI1" s="9" t="s">
        <v>10730</v>
      </c>
      <c r="OTJ1" s="9" t="s">
        <v>10731</v>
      </c>
      <c r="OTK1" s="9" t="s">
        <v>10732</v>
      </c>
      <c r="OTL1" s="9" t="s">
        <v>10733</v>
      </c>
      <c r="OTM1" s="9" t="s">
        <v>10734</v>
      </c>
      <c r="OTN1" s="9" t="s">
        <v>10735</v>
      </c>
      <c r="OTO1" s="9" t="s">
        <v>10736</v>
      </c>
      <c r="OTP1" s="9" t="s">
        <v>10737</v>
      </c>
      <c r="OTQ1" s="9" t="s">
        <v>10738</v>
      </c>
      <c r="OTR1" s="9" t="s">
        <v>10739</v>
      </c>
      <c r="OTS1" s="9" t="s">
        <v>10740</v>
      </c>
      <c r="OTT1" s="9" t="s">
        <v>10741</v>
      </c>
      <c r="OTU1" s="9" t="s">
        <v>10742</v>
      </c>
      <c r="OTV1" s="9" t="s">
        <v>10743</v>
      </c>
      <c r="OTW1" s="9" t="s">
        <v>10744</v>
      </c>
      <c r="OTX1" s="9" t="s">
        <v>10745</v>
      </c>
      <c r="OTY1" s="9" t="s">
        <v>10746</v>
      </c>
      <c r="OTZ1" s="9" t="s">
        <v>10747</v>
      </c>
      <c r="OUA1" s="9" t="s">
        <v>10748</v>
      </c>
      <c r="OUB1" s="9" t="s">
        <v>10749</v>
      </c>
      <c r="OUC1" s="9" t="s">
        <v>10750</v>
      </c>
      <c r="OUD1" s="9" t="s">
        <v>10751</v>
      </c>
      <c r="OUE1" s="9" t="s">
        <v>10752</v>
      </c>
      <c r="OUF1" s="9" t="s">
        <v>10753</v>
      </c>
      <c r="OUG1" s="9" t="s">
        <v>10754</v>
      </c>
      <c r="OUH1" s="9" t="s">
        <v>10755</v>
      </c>
      <c r="OUI1" s="9" t="s">
        <v>10756</v>
      </c>
      <c r="OUJ1" s="9" t="s">
        <v>10757</v>
      </c>
      <c r="OUK1" s="9" t="s">
        <v>10758</v>
      </c>
      <c r="OUL1" s="9" t="s">
        <v>10759</v>
      </c>
      <c r="OUM1" s="9" t="s">
        <v>10760</v>
      </c>
      <c r="OUN1" s="9" t="s">
        <v>10761</v>
      </c>
      <c r="OUO1" s="9" t="s">
        <v>10762</v>
      </c>
      <c r="OUP1" s="9" t="s">
        <v>10763</v>
      </c>
      <c r="OUQ1" s="9" t="s">
        <v>10764</v>
      </c>
      <c r="OUR1" s="9" t="s">
        <v>10765</v>
      </c>
      <c r="OUS1" s="9" t="s">
        <v>10766</v>
      </c>
      <c r="OUT1" s="9" t="s">
        <v>10767</v>
      </c>
      <c r="OUU1" s="9" t="s">
        <v>10768</v>
      </c>
      <c r="OUV1" s="9" t="s">
        <v>10769</v>
      </c>
      <c r="OUW1" s="9" t="s">
        <v>10770</v>
      </c>
      <c r="OUX1" s="9" t="s">
        <v>10771</v>
      </c>
      <c r="OUY1" s="9" t="s">
        <v>10772</v>
      </c>
      <c r="OUZ1" s="9" t="s">
        <v>10773</v>
      </c>
      <c r="OVA1" s="9" t="s">
        <v>10774</v>
      </c>
      <c r="OVB1" s="9" t="s">
        <v>10775</v>
      </c>
      <c r="OVC1" s="9" t="s">
        <v>10776</v>
      </c>
      <c r="OVD1" s="9" t="s">
        <v>10777</v>
      </c>
      <c r="OVE1" s="9" t="s">
        <v>10778</v>
      </c>
      <c r="OVF1" s="9" t="s">
        <v>10779</v>
      </c>
      <c r="OVG1" s="9" t="s">
        <v>10780</v>
      </c>
      <c r="OVH1" s="9" t="s">
        <v>10781</v>
      </c>
      <c r="OVI1" s="9" t="s">
        <v>10782</v>
      </c>
      <c r="OVJ1" s="9" t="s">
        <v>10783</v>
      </c>
      <c r="OVK1" s="9" t="s">
        <v>10784</v>
      </c>
      <c r="OVL1" s="9" t="s">
        <v>10785</v>
      </c>
      <c r="OVM1" s="9" t="s">
        <v>10786</v>
      </c>
      <c r="OVN1" s="9" t="s">
        <v>10787</v>
      </c>
      <c r="OVO1" s="9" t="s">
        <v>10788</v>
      </c>
      <c r="OVP1" s="9" t="s">
        <v>10789</v>
      </c>
      <c r="OVQ1" s="9" t="s">
        <v>10790</v>
      </c>
      <c r="OVR1" s="9" t="s">
        <v>10791</v>
      </c>
      <c r="OVS1" s="9" t="s">
        <v>10792</v>
      </c>
      <c r="OVT1" s="9" t="s">
        <v>10793</v>
      </c>
      <c r="OVU1" s="9" t="s">
        <v>10794</v>
      </c>
      <c r="OVV1" s="9" t="s">
        <v>10795</v>
      </c>
      <c r="OVW1" s="9" t="s">
        <v>10796</v>
      </c>
      <c r="OVX1" s="9" t="s">
        <v>10797</v>
      </c>
      <c r="OVY1" s="9" t="s">
        <v>10798</v>
      </c>
      <c r="OVZ1" s="9" t="s">
        <v>10799</v>
      </c>
      <c r="OWA1" s="9" t="s">
        <v>10800</v>
      </c>
      <c r="OWB1" s="9" t="s">
        <v>10801</v>
      </c>
      <c r="OWC1" s="9" t="s">
        <v>10802</v>
      </c>
      <c r="OWD1" s="9" t="s">
        <v>10803</v>
      </c>
      <c r="OWE1" s="9" t="s">
        <v>10804</v>
      </c>
      <c r="OWF1" s="9" t="s">
        <v>10805</v>
      </c>
      <c r="OWG1" s="9" t="s">
        <v>10806</v>
      </c>
      <c r="OWH1" s="9" t="s">
        <v>10807</v>
      </c>
      <c r="OWI1" s="9" t="s">
        <v>10808</v>
      </c>
      <c r="OWJ1" s="9" t="s">
        <v>10809</v>
      </c>
      <c r="OWK1" s="9" t="s">
        <v>10810</v>
      </c>
      <c r="OWL1" s="9" t="s">
        <v>10811</v>
      </c>
      <c r="OWM1" s="9" t="s">
        <v>10812</v>
      </c>
      <c r="OWN1" s="9" t="s">
        <v>10813</v>
      </c>
      <c r="OWO1" s="9" t="s">
        <v>10814</v>
      </c>
      <c r="OWP1" s="9" t="s">
        <v>10815</v>
      </c>
      <c r="OWQ1" s="9" t="s">
        <v>10816</v>
      </c>
      <c r="OWR1" s="9" t="s">
        <v>10817</v>
      </c>
      <c r="OWS1" s="9" t="s">
        <v>10818</v>
      </c>
      <c r="OWT1" s="9" t="s">
        <v>10819</v>
      </c>
      <c r="OWU1" s="9" t="s">
        <v>10820</v>
      </c>
      <c r="OWV1" s="9" t="s">
        <v>10821</v>
      </c>
      <c r="OWW1" s="9" t="s">
        <v>10822</v>
      </c>
      <c r="OWX1" s="9" t="s">
        <v>10823</v>
      </c>
      <c r="OWY1" s="9" t="s">
        <v>10824</v>
      </c>
      <c r="OWZ1" s="9" t="s">
        <v>10825</v>
      </c>
      <c r="OXA1" s="9" t="s">
        <v>10826</v>
      </c>
      <c r="OXB1" s="9" t="s">
        <v>10827</v>
      </c>
      <c r="OXC1" s="9" t="s">
        <v>10828</v>
      </c>
      <c r="OXD1" s="9" t="s">
        <v>10829</v>
      </c>
      <c r="OXE1" s="9" t="s">
        <v>10830</v>
      </c>
      <c r="OXF1" s="9" t="s">
        <v>10831</v>
      </c>
      <c r="OXG1" s="9" t="s">
        <v>10832</v>
      </c>
      <c r="OXH1" s="9" t="s">
        <v>10833</v>
      </c>
      <c r="OXI1" s="9" t="s">
        <v>10834</v>
      </c>
      <c r="OXJ1" s="9" t="s">
        <v>10835</v>
      </c>
      <c r="OXK1" s="9" t="s">
        <v>10836</v>
      </c>
      <c r="OXL1" s="9" t="s">
        <v>10837</v>
      </c>
      <c r="OXM1" s="9" t="s">
        <v>10838</v>
      </c>
      <c r="OXN1" s="9" t="s">
        <v>10839</v>
      </c>
      <c r="OXO1" s="9" t="s">
        <v>10840</v>
      </c>
      <c r="OXP1" s="9" t="s">
        <v>10841</v>
      </c>
      <c r="OXQ1" s="9" t="s">
        <v>10842</v>
      </c>
      <c r="OXR1" s="9" t="s">
        <v>10843</v>
      </c>
      <c r="OXS1" s="9" t="s">
        <v>10844</v>
      </c>
      <c r="OXT1" s="9" t="s">
        <v>10845</v>
      </c>
      <c r="OXU1" s="9" t="s">
        <v>10846</v>
      </c>
      <c r="OXV1" s="9" t="s">
        <v>10847</v>
      </c>
      <c r="OXW1" s="9" t="s">
        <v>10848</v>
      </c>
      <c r="OXX1" s="9" t="s">
        <v>10849</v>
      </c>
      <c r="OXY1" s="9" t="s">
        <v>10850</v>
      </c>
      <c r="OXZ1" s="9" t="s">
        <v>10851</v>
      </c>
      <c r="OYA1" s="9" t="s">
        <v>10852</v>
      </c>
      <c r="OYB1" s="9" t="s">
        <v>10853</v>
      </c>
      <c r="OYC1" s="9" t="s">
        <v>10854</v>
      </c>
      <c r="OYD1" s="9" t="s">
        <v>10855</v>
      </c>
      <c r="OYE1" s="9" t="s">
        <v>10856</v>
      </c>
      <c r="OYF1" s="9" t="s">
        <v>10857</v>
      </c>
      <c r="OYG1" s="9" t="s">
        <v>10858</v>
      </c>
      <c r="OYH1" s="9" t="s">
        <v>10859</v>
      </c>
      <c r="OYI1" s="9" t="s">
        <v>10860</v>
      </c>
      <c r="OYJ1" s="9" t="s">
        <v>10861</v>
      </c>
      <c r="OYK1" s="9" t="s">
        <v>10862</v>
      </c>
      <c r="OYL1" s="9" t="s">
        <v>10863</v>
      </c>
      <c r="OYM1" s="9" t="s">
        <v>10864</v>
      </c>
      <c r="OYN1" s="9" t="s">
        <v>10865</v>
      </c>
      <c r="OYO1" s="9" t="s">
        <v>10866</v>
      </c>
      <c r="OYP1" s="9" t="s">
        <v>10867</v>
      </c>
      <c r="OYQ1" s="9" t="s">
        <v>10868</v>
      </c>
      <c r="OYR1" s="9" t="s">
        <v>10869</v>
      </c>
      <c r="OYS1" s="9" t="s">
        <v>10870</v>
      </c>
      <c r="OYT1" s="9" t="s">
        <v>10871</v>
      </c>
      <c r="OYU1" s="9" t="s">
        <v>10872</v>
      </c>
      <c r="OYV1" s="9" t="s">
        <v>10873</v>
      </c>
      <c r="OYW1" s="9" t="s">
        <v>10874</v>
      </c>
      <c r="OYX1" s="9" t="s">
        <v>10875</v>
      </c>
      <c r="OYY1" s="9" t="s">
        <v>10876</v>
      </c>
      <c r="OYZ1" s="9" t="s">
        <v>10877</v>
      </c>
      <c r="OZA1" s="9" t="s">
        <v>10878</v>
      </c>
      <c r="OZB1" s="9" t="s">
        <v>10879</v>
      </c>
      <c r="OZC1" s="9" t="s">
        <v>10880</v>
      </c>
      <c r="OZD1" s="9" t="s">
        <v>10881</v>
      </c>
      <c r="OZE1" s="9" t="s">
        <v>10882</v>
      </c>
      <c r="OZF1" s="9" t="s">
        <v>10883</v>
      </c>
      <c r="OZG1" s="9" t="s">
        <v>10884</v>
      </c>
      <c r="OZH1" s="9" t="s">
        <v>10885</v>
      </c>
      <c r="OZI1" s="9" t="s">
        <v>10886</v>
      </c>
      <c r="OZJ1" s="9" t="s">
        <v>10887</v>
      </c>
      <c r="OZK1" s="9" t="s">
        <v>10888</v>
      </c>
      <c r="OZL1" s="9" t="s">
        <v>10889</v>
      </c>
      <c r="OZM1" s="9" t="s">
        <v>10890</v>
      </c>
      <c r="OZN1" s="9" t="s">
        <v>10891</v>
      </c>
      <c r="OZO1" s="9" t="s">
        <v>10892</v>
      </c>
      <c r="OZP1" s="9" t="s">
        <v>10893</v>
      </c>
      <c r="OZQ1" s="9" t="s">
        <v>10894</v>
      </c>
      <c r="OZR1" s="9" t="s">
        <v>10895</v>
      </c>
      <c r="OZS1" s="9" t="s">
        <v>10896</v>
      </c>
      <c r="OZT1" s="9" t="s">
        <v>10897</v>
      </c>
      <c r="OZU1" s="9" t="s">
        <v>10898</v>
      </c>
      <c r="OZV1" s="9" t="s">
        <v>10899</v>
      </c>
      <c r="OZW1" s="9" t="s">
        <v>10900</v>
      </c>
      <c r="OZX1" s="9" t="s">
        <v>10901</v>
      </c>
      <c r="OZY1" s="9" t="s">
        <v>10902</v>
      </c>
      <c r="OZZ1" s="9" t="s">
        <v>10903</v>
      </c>
      <c r="PAA1" s="9" t="s">
        <v>10904</v>
      </c>
      <c r="PAB1" s="9" t="s">
        <v>10905</v>
      </c>
      <c r="PAC1" s="9" t="s">
        <v>10906</v>
      </c>
      <c r="PAD1" s="9" t="s">
        <v>10907</v>
      </c>
      <c r="PAE1" s="9" t="s">
        <v>10908</v>
      </c>
      <c r="PAF1" s="9" t="s">
        <v>10909</v>
      </c>
      <c r="PAG1" s="9" t="s">
        <v>10910</v>
      </c>
      <c r="PAH1" s="9" t="s">
        <v>10911</v>
      </c>
      <c r="PAI1" s="9" t="s">
        <v>10912</v>
      </c>
      <c r="PAJ1" s="9" t="s">
        <v>10913</v>
      </c>
      <c r="PAK1" s="9" t="s">
        <v>10914</v>
      </c>
      <c r="PAL1" s="9" t="s">
        <v>10915</v>
      </c>
      <c r="PAM1" s="9" t="s">
        <v>10916</v>
      </c>
      <c r="PAN1" s="9" t="s">
        <v>10917</v>
      </c>
      <c r="PAO1" s="9" t="s">
        <v>10918</v>
      </c>
      <c r="PAP1" s="9" t="s">
        <v>10919</v>
      </c>
      <c r="PAQ1" s="9" t="s">
        <v>10920</v>
      </c>
      <c r="PAR1" s="9" t="s">
        <v>10921</v>
      </c>
      <c r="PAS1" s="9" t="s">
        <v>10922</v>
      </c>
      <c r="PAT1" s="9" t="s">
        <v>10923</v>
      </c>
      <c r="PAU1" s="9" t="s">
        <v>10924</v>
      </c>
      <c r="PAV1" s="9" t="s">
        <v>10925</v>
      </c>
      <c r="PAW1" s="9" t="s">
        <v>10926</v>
      </c>
      <c r="PAX1" s="9" t="s">
        <v>10927</v>
      </c>
      <c r="PAY1" s="9" t="s">
        <v>10928</v>
      </c>
      <c r="PAZ1" s="9" t="s">
        <v>10929</v>
      </c>
      <c r="PBA1" s="9" t="s">
        <v>10930</v>
      </c>
      <c r="PBB1" s="9" t="s">
        <v>10931</v>
      </c>
      <c r="PBC1" s="9" t="s">
        <v>10932</v>
      </c>
      <c r="PBD1" s="9" t="s">
        <v>10933</v>
      </c>
      <c r="PBE1" s="9" t="s">
        <v>10934</v>
      </c>
      <c r="PBF1" s="9" t="s">
        <v>10935</v>
      </c>
      <c r="PBG1" s="9" t="s">
        <v>10936</v>
      </c>
      <c r="PBH1" s="9" t="s">
        <v>10937</v>
      </c>
      <c r="PBI1" s="9" t="s">
        <v>10938</v>
      </c>
      <c r="PBJ1" s="9" t="s">
        <v>10939</v>
      </c>
      <c r="PBK1" s="9" t="s">
        <v>10940</v>
      </c>
      <c r="PBL1" s="9" t="s">
        <v>10941</v>
      </c>
      <c r="PBM1" s="9" t="s">
        <v>10942</v>
      </c>
      <c r="PBN1" s="9" t="s">
        <v>10943</v>
      </c>
      <c r="PBO1" s="9" t="s">
        <v>10944</v>
      </c>
      <c r="PBP1" s="9" t="s">
        <v>10945</v>
      </c>
      <c r="PBQ1" s="9" t="s">
        <v>10946</v>
      </c>
      <c r="PBR1" s="9" t="s">
        <v>10947</v>
      </c>
      <c r="PBS1" s="9" t="s">
        <v>10948</v>
      </c>
      <c r="PBT1" s="9" t="s">
        <v>10949</v>
      </c>
      <c r="PBU1" s="9" t="s">
        <v>10950</v>
      </c>
      <c r="PBV1" s="9" t="s">
        <v>10951</v>
      </c>
      <c r="PBW1" s="9" t="s">
        <v>10952</v>
      </c>
      <c r="PBX1" s="9" t="s">
        <v>10953</v>
      </c>
      <c r="PBY1" s="9" t="s">
        <v>10954</v>
      </c>
      <c r="PBZ1" s="9" t="s">
        <v>10955</v>
      </c>
      <c r="PCA1" s="9" t="s">
        <v>10956</v>
      </c>
      <c r="PCB1" s="9" t="s">
        <v>10957</v>
      </c>
      <c r="PCC1" s="9" t="s">
        <v>10958</v>
      </c>
      <c r="PCD1" s="9" t="s">
        <v>10959</v>
      </c>
      <c r="PCE1" s="9" t="s">
        <v>10960</v>
      </c>
      <c r="PCF1" s="9" t="s">
        <v>10961</v>
      </c>
      <c r="PCG1" s="9" t="s">
        <v>10962</v>
      </c>
      <c r="PCH1" s="9" t="s">
        <v>10963</v>
      </c>
      <c r="PCI1" s="9" t="s">
        <v>10964</v>
      </c>
      <c r="PCJ1" s="9" t="s">
        <v>10965</v>
      </c>
      <c r="PCK1" s="9" t="s">
        <v>10966</v>
      </c>
      <c r="PCL1" s="9" t="s">
        <v>10967</v>
      </c>
      <c r="PCM1" s="9" t="s">
        <v>10968</v>
      </c>
      <c r="PCN1" s="9" t="s">
        <v>10969</v>
      </c>
      <c r="PCO1" s="9" t="s">
        <v>10970</v>
      </c>
      <c r="PCP1" s="9" t="s">
        <v>10971</v>
      </c>
      <c r="PCQ1" s="9" t="s">
        <v>10972</v>
      </c>
      <c r="PCR1" s="9" t="s">
        <v>10973</v>
      </c>
      <c r="PCS1" s="9" t="s">
        <v>10974</v>
      </c>
      <c r="PCT1" s="9" t="s">
        <v>10975</v>
      </c>
      <c r="PCU1" s="9" t="s">
        <v>10976</v>
      </c>
      <c r="PCV1" s="9" t="s">
        <v>10977</v>
      </c>
      <c r="PCW1" s="9" t="s">
        <v>10978</v>
      </c>
      <c r="PCX1" s="9" t="s">
        <v>10979</v>
      </c>
      <c r="PCY1" s="9" t="s">
        <v>10980</v>
      </c>
      <c r="PCZ1" s="9" t="s">
        <v>10981</v>
      </c>
      <c r="PDA1" s="9" t="s">
        <v>10982</v>
      </c>
      <c r="PDB1" s="9" t="s">
        <v>10983</v>
      </c>
      <c r="PDC1" s="9" t="s">
        <v>10984</v>
      </c>
      <c r="PDD1" s="9" t="s">
        <v>10985</v>
      </c>
      <c r="PDE1" s="9" t="s">
        <v>10986</v>
      </c>
      <c r="PDF1" s="9" t="s">
        <v>10987</v>
      </c>
      <c r="PDG1" s="9" t="s">
        <v>10988</v>
      </c>
      <c r="PDH1" s="9" t="s">
        <v>10989</v>
      </c>
      <c r="PDI1" s="9" t="s">
        <v>10990</v>
      </c>
      <c r="PDJ1" s="9" t="s">
        <v>10991</v>
      </c>
      <c r="PDK1" s="9" t="s">
        <v>10992</v>
      </c>
      <c r="PDL1" s="9" t="s">
        <v>10993</v>
      </c>
      <c r="PDM1" s="9" t="s">
        <v>10994</v>
      </c>
      <c r="PDN1" s="9" t="s">
        <v>10995</v>
      </c>
      <c r="PDO1" s="9" t="s">
        <v>10996</v>
      </c>
      <c r="PDP1" s="9" t="s">
        <v>10997</v>
      </c>
      <c r="PDQ1" s="9" t="s">
        <v>10998</v>
      </c>
      <c r="PDR1" s="9" t="s">
        <v>10999</v>
      </c>
      <c r="PDS1" s="9" t="s">
        <v>11000</v>
      </c>
      <c r="PDT1" s="9" t="s">
        <v>11001</v>
      </c>
      <c r="PDU1" s="9" t="s">
        <v>11002</v>
      </c>
      <c r="PDV1" s="9" t="s">
        <v>11003</v>
      </c>
      <c r="PDW1" s="9" t="s">
        <v>11004</v>
      </c>
      <c r="PDX1" s="9" t="s">
        <v>11005</v>
      </c>
      <c r="PDY1" s="9" t="s">
        <v>11006</v>
      </c>
      <c r="PDZ1" s="9" t="s">
        <v>11007</v>
      </c>
      <c r="PEA1" s="9" t="s">
        <v>11008</v>
      </c>
      <c r="PEB1" s="9" t="s">
        <v>11009</v>
      </c>
      <c r="PEC1" s="9" t="s">
        <v>11010</v>
      </c>
      <c r="PED1" s="9" t="s">
        <v>11011</v>
      </c>
      <c r="PEE1" s="9" t="s">
        <v>11012</v>
      </c>
      <c r="PEF1" s="9" t="s">
        <v>11013</v>
      </c>
      <c r="PEG1" s="9" t="s">
        <v>11014</v>
      </c>
      <c r="PEH1" s="9" t="s">
        <v>11015</v>
      </c>
      <c r="PEI1" s="9" t="s">
        <v>11016</v>
      </c>
      <c r="PEJ1" s="9" t="s">
        <v>11017</v>
      </c>
      <c r="PEK1" s="9" t="s">
        <v>11018</v>
      </c>
      <c r="PEL1" s="9" t="s">
        <v>11019</v>
      </c>
      <c r="PEM1" s="9" t="s">
        <v>11020</v>
      </c>
      <c r="PEN1" s="9" t="s">
        <v>11021</v>
      </c>
      <c r="PEO1" s="9" t="s">
        <v>11022</v>
      </c>
      <c r="PEP1" s="9" t="s">
        <v>11023</v>
      </c>
      <c r="PEQ1" s="9" t="s">
        <v>11024</v>
      </c>
      <c r="PER1" s="9" t="s">
        <v>11025</v>
      </c>
      <c r="PES1" s="9" t="s">
        <v>11026</v>
      </c>
      <c r="PET1" s="9" t="s">
        <v>11027</v>
      </c>
      <c r="PEU1" s="9" t="s">
        <v>11028</v>
      </c>
      <c r="PEV1" s="9" t="s">
        <v>11029</v>
      </c>
      <c r="PEW1" s="9" t="s">
        <v>11030</v>
      </c>
      <c r="PEX1" s="9" t="s">
        <v>11031</v>
      </c>
      <c r="PEY1" s="9" t="s">
        <v>11032</v>
      </c>
      <c r="PEZ1" s="9" t="s">
        <v>11033</v>
      </c>
      <c r="PFA1" s="9" t="s">
        <v>11034</v>
      </c>
      <c r="PFB1" s="9" t="s">
        <v>11035</v>
      </c>
      <c r="PFC1" s="9" t="s">
        <v>11036</v>
      </c>
      <c r="PFD1" s="9" t="s">
        <v>11037</v>
      </c>
      <c r="PFE1" s="9" t="s">
        <v>11038</v>
      </c>
      <c r="PFF1" s="9" t="s">
        <v>11039</v>
      </c>
      <c r="PFG1" s="9" t="s">
        <v>11040</v>
      </c>
      <c r="PFH1" s="9" t="s">
        <v>11041</v>
      </c>
      <c r="PFI1" s="9" t="s">
        <v>11042</v>
      </c>
      <c r="PFJ1" s="9" t="s">
        <v>11043</v>
      </c>
      <c r="PFK1" s="9" t="s">
        <v>11044</v>
      </c>
      <c r="PFL1" s="9" t="s">
        <v>11045</v>
      </c>
      <c r="PFM1" s="9" t="s">
        <v>11046</v>
      </c>
      <c r="PFN1" s="9" t="s">
        <v>11047</v>
      </c>
      <c r="PFO1" s="9" t="s">
        <v>11048</v>
      </c>
      <c r="PFP1" s="9" t="s">
        <v>11049</v>
      </c>
      <c r="PFQ1" s="9" t="s">
        <v>11050</v>
      </c>
      <c r="PFR1" s="9" t="s">
        <v>11051</v>
      </c>
      <c r="PFS1" s="9" t="s">
        <v>11052</v>
      </c>
      <c r="PFT1" s="9" t="s">
        <v>11053</v>
      </c>
      <c r="PFU1" s="9" t="s">
        <v>11054</v>
      </c>
      <c r="PFV1" s="9" t="s">
        <v>11055</v>
      </c>
      <c r="PFW1" s="9" t="s">
        <v>11056</v>
      </c>
      <c r="PFX1" s="9" t="s">
        <v>11057</v>
      </c>
      <c r="PFY1" s="9" t="s">
        <v>11058</v>
      </c>
      <c r="PFZ1" s="9" t="s">
        <v>11059</v>
      </c>
      <c r="PGA1" s="9" t="s">
        <v>11060</v>
      </c>
      <c r="PGB1" s="9" t="s">
        <v>11061</v>
      </c>
      <c r="PGC1" s="9" t="s">
        <v>11062</v>
      </c>
      <c r="PGD1" s="9" t="s">
        <v>11063</v>
      </c>
      <c r="PGE1" s="9" t="s">
        <v>11064</v>
      </c>
      <c r="PGF1" s="9" t="s">
        <v>11065</v>
      </c>
      <c r="PGG1" s="9" t="s">
        <v>11066</v>
      </c>
      <c r="PGH1" s="9" t="s">
        <v>11067</v>
      </c>
      <c r="PGI1" s="9" t="s">
        <v>11068</v>
      </c>
      <c r="PGJ1" s="9" t="s">
        <v>11069</v>
      </c>
      <c r="PGK1" s="9" t="s">
        <v>11070</v>
      </c>
      <c r="PGL1" s="9" t="s">
        <v>11071</v>
      </c>
      <c r="PGM1" s="9" t="s">
        <v>11072</v>
      </c>
      <c r="PGN1" s="9" t="s">
        <v>11073</v>
      </c>
      <c r="PGO1" s="9" t="s">
        <v>11074</v>
      </c>
      <c r="PGP1" s="9" t="s">
        <v>11075</v>
      </c>
      <c r="PGQ1" s="9" t="s">
        <v>11076</v>
      </c>
      <c r="PGR1" s="9" t="s">
        <v>11077</v>
      </c>
      <c r="PGS1" s="9" t="s">
        <v>11078</v>
      </c>
      <c r="PGT1" s="9" t="s">
        <v>11079</v>
      </c>
      <c r="PGU1" s="9" t="s">
        <v>11080</v>
      </c>
      <c r="PGV1" s="9" t="s">
        <v>11081</v>
      </c>
      <c r="PGW1" s="9" t="s">
        <v>11082</v>
      </c>
      <c r="PGX1" s="9" t="s">
        <v>11083</v>
      </c>
      <c r="PGY1" s="9" t="s">
        <v>11084</v>
      </c>
      <c r="PGZ1" s="9" t="s">
        <v>11085</v>
      </c>
      <c r="PHA1" s="9" t="s">
        <v>11086</v>
      </c>
      <c r="PHB1" s="9" t="s">
        <v>11087</v>
      </c>
      <c r="PHC1" s="9" t="s">
        <v>11088</v>
      </c>
      <c r="PHD1" s="9" t="s">
        <v>11089</v>
      </c>
      <c r="PHE1" s="9" t="s">
        <v>11090</v>
      </c>
      <c r="PHF1" s="9" t="s">
        <v>11091</v>
      </c>
      <c r="PHG1" s="9" t="s">
        <v>11092</v>
      </c>
      <c r="PHH1" s="9" t="s">
        <v>11093</v>
      </c>
      <c r="PHI1" s="9" t="s">
        <v>11094</v>
      </c>
      <c r="PHJ1" s="9" t="s">
        <v>11095</v>
      </c>
      <c r="PHK1" s="9" t="s">
        <v>11096</v>
      </c>
      <c r="PHL1" s="9" t="s">
        <v>11097</v>
      </c>
      <c r="PHM1" s="9" t="s">
        <v>11098</v>
      </c>
      <c r="PHN1" s="9" t="s">
        <v>11099</v>
      </c>
      <c r="PHO1" s="9" t="s">
        <v>11100</v>
      </c>
      <c r="PHP1" s="9" t="s">
        <v>11101</v>
      </c>
      <c r="PHQ1" s="9" t="s">
        <v>11102</v>
      </c>
      <c r="PHR1" s="9" t="s">
        <v>11103</v>
      </c>
      <c r="PHS1" s="9" t="s">
        <v>11104</v>
      </c>
      <c r="PHT1" s="9" t="s">
        <v>11105</v>
      </c>
      <c r="PHU1" s="9" t="s">
        <v>11106</v>
      </c>
      <c r="PHV1" s="9" t="s">
        <v>11107</v>
      </c>
      <c r="PHW1" s="9" t="s">
        <v>11108</v>
      </c>
      <c r="PHX1" s="9" t="s">
        <v>11109</v>
      </c>
      <c r="PHY1" s="9" t="s">
        <v>11110</v>
      </c>
      <c r="PHZ1" s="9" t="s">
        <v>11111</v>
      </c>
      <c r="PIA1" s="9" t="s">
        <v>11112</v>
      </c>
      <c r="PIB1" s="9" t="s">
        <v>11113</v>
      </c>
      <c r="PIC1" s="9" t="s">
        <v>11114</v>
      </c>
      <c r="PID1" s="9" t="s">
        <v>11115</v>
      </c>
      <c r="PIE1" s="9" t="s">
        <v>11116</v>
      </c>
      <c r="PIF1" s="9" t="s">
        <v>11117</v>
      </c>
      <c r="PIG1" s="9" t="s">
        <v>11118</v>
      </c>
      <c r="PIH1" s="9" t="s">
        <v>11119</v>
      </c>
      <c r="PII1" s="9" t="s">
        <v>11120</v>
      </c>
      <c r="PIJ1" s="9" t="s">
        <v>11121</v>
      </c>
      <c r="PIK1" s="9" t="s">
        <v>11122</v>
      </c>
      <c r="PIL1" s="9" t="s">
        <v>11123</v>
      </c>
      <c r="PIM1" s="9" t="s">
        <v>11124</v>
      </c>
      <c r="PIN1" s="9" t="s">
        <v>11125</v>
      </c>
      <c r="PIO1" s="9" t="s">
        <v>11126</v>
      </c>
      <c r="PIP1" s="9" t="s">
        <v>11127</v>
      </c>
      <c r="PIQ1" s="9" t="s">
        <v>11128</v>
      </c>
      <c r="PIR1" s="9" t="s">
        <v>11129</v>
      </c>
      <c r="PIS1" s="9" t="s">
        <v>11130</v>
      </c>
      <c r="PIT1" s="9" t="s">
        <v>11131</v>
      </c>
      <c r="PIU1" s="9" t="s">
        <v>11132</v>
      </c>
      <c r="PIV1" s="9" t="s">
        <v>11133</v>
      </c>
      <c r="PIW1" s="9" t="s">
        <v>11134</v>
      </c>
      <c r="PIX1" s="9" t="s">
        <v>11135</v>
      </c>
      <c r="PIY1" s="9" t="s">
        <v>11136</v>
      </c>
      <c r="PIZ1" s="9" t="s">
        <v>11137</v>
      </c>
      <c r="PJA1" s="9" t="s">
        <v>11138</v>
      </c>
      <c r="PJB1" s="9" t="s">
        <v>11139</v>
      </c>
      <c r="PJC1" s="9" t="s">
        <v>11140</v>
      </c>
      <c r="PJD1" s="9" t="s">
        <v>11141</v>
      </c>
      <c r="PJE1" s="9" t="s">
        <v>11142</v>
      </c>
      <c r="PJF1" s="9" t="s">
        <v>11143</v>
      </c>
      <c r="PJG1" s="9" t="s">
        <v>11144</v>
      </c>
      <c r="PJH1" s="9" t="s">
        <v>11145</v>
      </c>
      <c r="PJI1" s="9" t="s">
        <v>11146</v>
      </c>
      <c r="PJJ1" s="9" t="s">
        <v>11147</v>
      </c>
      <c r="PJK1" s="9" t="s">
        <v>11148</v>
      </c>
      <c r="PJL1" s="9" t="s">
        <v>11149</v>
      </c>
      <c r="PJM1" s="9" t="s">
        <v>11150</v>
      </c>
      <c r="PJN1" s="9" t="s">
        <v>11151</v>
      </c>
      <c r="PJO1" s="9" t="s">
        <v>11152</v>
      </c>
      <c r="PJP1" s="9" t="s">
        <v>11153</v>
      </c>
      <c r="PJQ1" s="9" t="s">
        <v>11154</v>
      </c>
      <c r="PJR1" s="9" t="s">
        <v>11155</v>
      </c>
      <c r="PJS1" s="9" t="s">
        <v>11156</v>
      </c>
      <c r="PJT1" s="9" t="s">
        <v>11157</v>
      </c>
      <c r="PJU1" s="9" t="s">
        <v>11158</v>
      </c>
      <c r="PJV1" s="9" t="s">
        <v>11159</v>
      </c>
      <c r="PJW1" s="9" t="s">
        <v>11160</v>
      </c>
      <c r="PJX1" s="9" t="s">
        <v>11161</v>
      </c>
      <c r="PJY1" s="9" t="s">
        <v>11162</v>
      </c>
      <c r="PJZ1" s="9" t="s">
        <v>11163</v>
      </c>
      <c r="PKA1" s="9" t="s">
        <v>11164</v>
      </c>
      <c r="PKB1" s="9" t="s">
        <v>11165</v>
      </c>
      <c r="PKC1" s="9" t="s">
        <v>11166</v>
      </c>
      <c r="PKD1" s="9" t="s">
        <v>11167</v>
      </c>
      <c r="PKE1" s="9" t="s">
        <v>11168</v>
      </c>
      <c r="PKF1" s="9" t="s">
        <v>11169</v>
      </c>
      <c r="PKG1" s="9" t="s">
        <v>11170</v>
      </c>
      <c r="PKH1" s="9" t="s">
        <v>11171</v>
      </c>
      <c r="PKI1" s="9" t="s">
        <v>11172</v>
      </c>
      <c r="PKJ1" s="9" t="s">
        <v>11173</v>
      </c>
      <c r="PKK1" s="9" t="s">
        <v>11174</v>
      </c>
      <c r="PKL1" s="9" t="s">
        <v>11175</v>
      </c>
      <c r="PKM1" s="9" t="s">
        <v>11176</v>
      </c>
      <c r="PKN1" s="9" t="s">
        <v>11177</v>
      </c>
      <c r="PKO1" s="9" t="s">
        <v>11178</v>
      </c>
      <c r="PKP1" s="9" t="s">
        <v>11179</v>
      </c>
      <c r="PKQ1" s="9" t="s">
        <v>11180</v>
      </c>
      <c r="PKR1" s="9" t="s">
        <v>11181</v>
      </c>
      <c r="PKS1" s="9" t="s">
        <v>11182</v>
      </c>
      <c r="PKT1" s="9" t="s">
        <v>11183</v>
      </c>
      <c r="PKU1" s="9" t="s">
        <v>11184</v>
      </c>
      <c r="PKV1" s="9" t="s">
        <v>11185</v>
      </c>
      <c r="PKW1" s="9" t="s">
        <v>11186</v>
      </c>
      <c r="PKX1" s="9" t="s">
        <v>11187</v>
      </c>
      <c r="PKY1" s="9" t="s">
        <v>11188</v>
      </c>
      <c r="PKZ1" s="9" t="s">
        <v>11189</v>
      </c>
      <c r="PLA1" s="9" t="s">
        <v>11190</v>
      </c>
      <c r="PLB1" s="9" t="s">
        <v>11191</v>
      </c>
      <c r="PLC1" s="9" t="s">
        <v>11192</v>
      </c>
      <c r="PLD1" s="9" t="s">
        <v>11193</v>
      </c>
      <c r="PLE1" s="9" t="s">
        <v>11194</v>
      </c>
      <c r="PLF1" s="9" t="s">
        <v>11195</v>
      </c>
      <c r="PLG1" s="9" t="s">
        <v>11196</v>
      </c>
      <c r="PLH1" s="9" t="s">
        <v>11197</v>
      </c>
      <c r="PLI1" s="9" t="s">
        <v>11198</v>
      </c>
      <c r="PLJ1" s="9" t="s">
        <v>11199</v>
      </c>
      <c r="PLK1" s="9" t="s">
        <v>11200</v>
      </c>
      <c r="PLL1" s="9" t="s">
        <v>11201</v>
      </c>
      <c r="PLM1" s="9" t="s">
        <v>11202</v>
      </c>
      <c r="PLN1" s="9" t="s">
        <v>11203</v>
      </c>
      <c r="PLO1" s="9" t="s">
        <v>11204</v>
      </c>
      <c r="PLP1" s="9" t="s">
        <v>11205</v>
      </c>
      <c r="PLQ1" s="9" t="s">
        <v>11206</v>
      </c>
      <c r="PLR1" s="9" t="s">
        <v>11207</v>
      </c>
      <c r="PLS1" s="9" t="s">
        <v>11208</v>
      </c>
      <c r="PLT1" s="9" t="s">
        <v>11209</v>
      </c>
      <c r="PLU1" s="9" t="s">
        <v>11210</v>
      </c>
      <c r="PLV1" s="9" t="s">
        <v>11211</v>
      </c>
      <c r="PLW1" s="9" t="s">
        <v>11212</v>
      </c>
      <c r="PLX1" s="9" t="s">
        <v>11213</v>
      </c>
      <c r="PLY1" s="9" t="s">
        <v>11214</v>
      </c>
      <c r="PLZ1" s="9" t="s">
        <v>11215</v>
      </c>
      <c r="PMA1" s="9" t="s">
        <v>11216</v>
      </c>
      <c r="PMB1" s="9" t="s">
        <v>11217</v>
      </c>
      <c r="PMC1" s="9" t="s">
        <v>11218</v>
      </c>
      <c r="PMD1" s="9" t="s">
        <v>11219</v>
      </c>
      <c r="PME1" s="9" t="s">
        <v>11220</v>
      </c>
      <c r="PMF1" s="9" t="s">
        <v>11221</v>
      </c>
      <c r="PMG1" s="9" t="s">
        <v>11222</v>
      </c>
      <c r="PMH1" s="9" t="s">
        <v>11223</v>
      </c>
      <c r="PMI1" s="9" t="s">
        <v>11224</v>
      </c>
      <c r="PMJ1" s="9" t="s">
        <v>11225</v>
      </c>
      <c r="PMK1" s="9" t="s">
        <v>11226</v>
      </c>
      <c r="PML1" s="9" t="s">
        <v>11227</v>
      </c>
      <c r="PMM1" s="9" t="s">
        <v>11228</v>
      </c>
      <c r="PMN1" s="9" t="s">
        <v>11229</v>
      </c>
      <c r="PMO1" s="9" t="s">
        <v>11230</v>
      </c>
      <c r="PMP1" s="9" t="s">
        <v>11231</v>
      </c>
      <c r="PMQ1" s="9" t="s">
        <v>11232</v>
      </c>
      <c r="PMR1" s="9" t="s">
        <v>11233</v>
      </c>
      <c r="PMS1" s="9" t="s">
        <v>11234</v>
      </c>
      <c r="PMT1" s="9" t="s">
        <v>11235</v>
      </c>
      <c r="PMU1" s="9" t="s">
        <v>11236</v>
      </c>
      <c r="PMV1" s="9" t="s">
        <v>11237</v>
      </c>
      <c r="PMW1" s="9" t="s">
        <v>11238</v>
      </c>
      <c r="PMX1" s="9" t="s">
        <v>11239</v>
      </c>
      <c r="PMY1" s="9" t="s">
        <v>11240</v>
      </c>
      <c r="PMZ1" s="9" t="s">
        <v>11241</v>
      </c>
      <c r="PNA1" s="9" t="s">
        <v>11242</v>
      </c>
      <c r="PNB1" s="9" t="s">
        <v>11243</v>
      </c>
      <c r="PNC1" s="9" t="s">
        <v>11244</v>
      </c>
      <c r="PND1" s="9" t="s">
        <v>11245</v>
      </c>
      <c r="PNE1" s="9" t="s">
        <v>11246</v>
      </c>
      <c r="PNF1" s="9" t="s">
        <v>11247</v>
      </c>
      <c r="PNG1" s="9" t="s">
        <v>11248</v>
      </c>
      <c r="PNH1" s="9" t="s">
        <v>11249</v>
      </c>
      <c r="PNI1" s="9" t="s">
        <v>11250</v>
      </c>
      <c r="PNJ1" s="9" t="s">
        <v>11251</v>
      </c>
      <c r="PNK1" s="9" t="s">
        <v>11252</v>
      </c>
      <c r="PNL1" s="9" t="s">
        <v>11253</v>
      </c>
      <c r="PNM1" s="9" t="s">
        <v>11254</v>
      </c>
      <c r="PNN1" s="9" t="s">
        <v>11255</v>
      </c>
      <c r="PNO1" s="9" t="s">
        <v>11256</v>
      </c>
      <c r="PNP1" s="9" t="s">
        <v>11257</v>
      </c>
      <c r="PNQ1" s="9" t="s">
        <v>11258</v>
      </c>
      <c r="PNR1" s="9" t="s">
        <v>11259</v>
      </c>
      <c r="PNS1" s="9" t="s">
        <v>11260</v>
      </c>
      <c r="PNT1" s="9" t="s">
        <v>11261</v>
      </c>
      <c r="PNU1" s="9" t="s">
        <v>11262</v>
      </c>
      <c r="PNV1" s="9" t="s">
        <v>11263</v>
      </c>
      <c r="PNW1" s="9" t="s">
        <v>11264</v>
      </c>
      <c r="PNX1" s="9" t="s">
        <v>11265</v>
      </c>
      <c r="PNY1" s="9" t="s">
        <v>11266</v>
      </c>
      <c r="PNZ1" s="9" t="s">
        <v>11267</v>
      </c>
      <c r="POA1" s="9" t="s">
        <v>11268</v>
      </c>
      <c r="POB1" s="9" t="s">
        <v>11269</v>
      </c>
      <c r="POC1" s="9" t="s">
        <v>11270</v>
      </c>
      <c r="POD1" s="9" t="s">
        <v>11271</v>
      </c>
      <c r="POE1" s="9" t="s">
        <v>11272</v>
      </c>
      <c r="POF1" s="9" t="s">
        <v>11273</v>
      </c>
      <c r="POG1" s="9" t="s">
        <v>11274</v>
      </c>
      <c r="POH1" s="9" t="s">
        <v>11275</v>
      </c>
      <c r="POI1" s="9" t="s">
        <v>11276</v>
      </c>
      <c r="POJ1" s="9" t="s">
        <v>11277</v>
      </c>
      <c r="POK1" s="9" t="s">
        <v>11278</v>
      </c>
      <c r="POL1" s="9" t="s">
        <v>11279</v>
      </c>
      <c r="POM1" s="9" t="s">
        <v>11280</v>
      </c>
      <c r="PON1" s="9" t="s">
        <v>11281</v>
      </c>
      <c r="POO1" s="9" t="s">
        <v>11282</v>
      </c>
      <c r="POP1" s="9" t="s">
        <v>11283</v>
      </c>
      <c r="POQ1" s="9" t="s">
        <v>11284</v>
      </c>
      <c r="POR1" s="9" t="s">
        <v>11285</v>
      </c>
      <c r="POS1" s="9" t="s">
        <v>11286</v>
      </c>
      <c r="POT1" s="9" t="s">
        <v>11287</v>
      </c>
      <c r="POU1" s="9" t="s">
        <v>11288</v>
      </c>
      <c r="POV1" s="9" t="s">
        <v>11289</v>
      </c>
      <c r="POW1" s="9" t="s">
        <v>11290</v>
      </c>
      <c r="POX1" s="9" t="s">
        <v>11291</v>
      </c>
      <c r="POY1" s="9" t="s">
        <v>11292</v>
      </c>
      <c r="POZ1" s="9" t="s">
        <v>11293</v>
      </c>
      <c r="PPA1" s="9" t="s">
        <v>11294</v>
      </c>
      <c r="PPB1" s="9" t="s">
        <v>11295</v>
      </c>
      <c r="PPC1" s="9" t="s">
        <v>11296</v>
      </c>
      <c r="PPD1" s="9" t="s">
        <v>11297</v>
      </c>
      <c r="PPE1" s="9" t="s">
        <v>11298</v>
      </c>
      <c r="PPF1" s="9" t="s">
        <v>11299</v>
      </c>
      <c r="PPG1" s="9" t="s">
        <v>11300</v>
      </c>
      <c r="PPH1" s="9" t="s">
        <v>11301</v>
      </c>
      <c r="PPI1" s="9" t="s">
        <v>11302</v>
      </c>
      <c r="PPJ1" s="9" t="s">
        <v>11303</v>
      </c>
      <c r="PPK1" s="9" t="s">
        <v>11304</v>
      </c>
      <c r="PPL1" s="9" t="s">
        <v>11305</v>
      </c>
      <c r="PPM1" s="9" t="s">
        <v>11306</v>
      </c>
      <c r="PPN1" s="9" t="s">
        <v>11307</v>
      </c>
      <c r="PPO1" s="9" t="s">
        <v>11308</v>
      </c>
      <c r="PPP1" s="9" t="s">
        <v>11309</v>
      </c>
      <c r="PPQ1" s="9" t="s">
        <v>11310</v>
      </c>
      <c r="PPR1" s="9" t="s">
        <v>11311</v>
      </c>
      <c r="PPS1" s="9" t="s">
        <v>11312</v>
      </c>
      <c r="PPT1" s="9" t="s">
        <v>11313</v>
      </c>
      <c r="PPU1" s="9" t="s">
        <v>11314</v>
      </c>
      <c r="PPV1" s="9" t="s">
        <v>11315</v>
      </c>
      <c r="PPW1" s="9" t="s">
        <v>11316</v>
      </c>
      <c r="PPX1" s="9" t="s">
        <v>11317</v>
      </c>
      <c r="PPY1" s="9" t="s">
        <v>11318</v>
      </c>
      <c r="PPZ1" s="9" t="s">
        <v>11319</v>
      </c>
      <c r="PQA1" s="9" t="s">
        <v>11320</v>
      </c>
      <c r="PQB1" s="9" t="s">
        <v>11321</v>
      </c>
      <c r="PQC1" s="9" t="s">
        <v>11322</v>
      </c>
      <c r="PQD1" s="9" t="s">
        <v>11323</v>
      </c>
      <c r="PQE1" s="9" t="s">
        <v>11324</v>
      </c>
      <c r="PQF1" s="9" t="s">
        <v>11325</v>
      </c>
      <c r="PQG1" s="9" t="s">
        <v>11326</v>
      </c>
      <c r="PQH1" s="9" t="s">
        <v>11327</v>
      </c>
      <c r="PQI1" s="9" t="s">
        <v>11328</v>
      </c>
      <c r="PQJ1" s="9" t="s">
        <v>11329</v>
      </c>
      <c r="PQK1" s="9" t="s">
        <v>11330</v>
      </c>
      <c r="PQL1" s="9" t="s">
        <v>11331</v>
      </c>
      <c r="PQM1" s="9" t="s">
        <v>11332</v>
      </c>
      <c r="PQN1" s="9" t="s">
        <v>11333</v>
      </c>
      <c r="PQO1" s="9" t="s">
        <v>11334</v>
      </c>
      <c r="PQP1" s="9" t="s">
        <v>11335</v>
      </c>
      <c r="PQQ1" s="9" t="s">
        <v>11336</v>
      </c>
      <c r="PQR1" s="9" t="s">
        <v>11337</v>
      </c>
      <c r="PQS1" s="9" t="s">
        <v>11338</v>
      </c>
      <c r="PQT1" s="9" t="s">
        <v>11339</v>
      </c>
      <c r="PQU1" s="9" t="s">
        <v>11340</v>
      </c>
      <c r="PQV1" s="9" t="s">
        <v>11341</v>
      </c>
      <c r="PQW1" s="9" t="s">
        <v>11342</v>
      </c>
      <c r="PQX1" s="9" t="s">
        <v>11343</v>
      </c>
      <c r="PQY1" s="9" t="s">
        <v>11344</v>
      </c>
      <c r="PQZ1" s="9" t="s">
        <v>11345</v>
      </c>
      <c r="PRA1" s="9" t="s">
        <v>11346</v>
      </c>
      <c r="PRB1" s="9" t="s">
        <v>11347</v>
      </c>
      <c r="PRC1" s="9" t="s">
        <v>11348</v>
      </c>
      <c r="PRD1" s="9" t="s">
        <v>11349</v>
      </c>
      <c r="PRE1" s="9" t="s">
        <v>11350</v>
      </c>
      <c r="PRF1" s="9" t="s">
        <v>11351</v>
      </c>
      <c r="PRG1" s="9" t="s">
        <v>11352</v>
      </c>
      <c r="PRH1" s="9" t="s">
        <v>11353</v>
      </c>
      <c r="PRI1" s="9" t="s">
        <v>11354</v>
      </c>
      <c r="PRJ1" s="9" t="s">
        <v>11355</v>
      </c>
      <c r="PRK1" s="9" t="s">
        <v>11356</v>
      </c>
      <c r="PRL1" s="9" t="s">
        <v>11357</v>
      </c>
      <c r="PRM1" s="9" t="s">
        <v>11358</v>
      </c>
      <c r="PRN1" s="9" t="s">
        <v>11359</v>
      </c>
      <c r="PRO1" s="9" t="s">
        <v>11360</v>
      </c>
      <c r="PRP1" s="9" t="s">
        <v>11361</v>
      </c>
      <c r="PRQ1" s="9" t="s">
        <v>11362</v>
      </c>
      <c r="PRR1" s="9" t="s">
        <v>11363</v>
      </c>
      <c r="PRS1" s="9" t="s">
        <v>11364</v>
      </c>
      <c r="PRT1" s="9" t="s">
        <v>11365</v>
      </c>
      <c r="PRU1" s="9" t="s">
        <v>11366</v>
      </c>
      <c r="PRV1" s="9" t="s">
        <v>11367</v>
      </c>
      <c r="PRW1" s="9" t="s">
        <v>11368</v>
      </c>
      <c r="PRX1" s="9" t="s">
        <v>11369</v>
      </c>
      <c r="PRY1" s="9" t="s">
        <v>11370</v>
      </c>
      <c r="PRZ1" s="9" t="s">
        <v>11371</v>
      </c>
      <c r="PSA1" s="9" t="s">
        <v>11372</v>
      </c>
      <c r="PSB1" s="9" t="s">
        <v>11373</v>
      </c>
      <c r="PSC1" s="9" t="s">
        <v>11374</v>
      </c>
      <c r="PSD1" s="9" t="s">
        <v>11375</v>
      </c>
      <c r="PSE1" s="9" t="s">
        <v>11376</v>
      </c>
      <c r="PSF1" s="9" t="s">
        <v>11377</v>
      </c>
      <c r="PSG1" s="9" t="s">
        <v>11378</v>
      </c>
      <c r="PSH1" s="9" t="s">
        <v>11379</v>
      </c>
      <c r="PSI1" s="9" t="s">
        <v>11380</v>
      </c>
      <c r="PSJ1" s="9" t="s">
        <v>11381</v>
      </c>
      <c r="PSK1" s="9" t="s">
        <v>11382</v>
      </c>
      <c r="PSL1" s="9" t="s">
        <v>11383</v>
      </c>
      <c r="PSM1" s="9" t="s">
        <v>11384</v>
      </c>
      <c r="PSN1" s="9" t="s">
        <v>11385</v>
      </c>
      <c r="PSO1" s="9" t="s">
        <v>11386</v>
      </c>
      <c r="PSP1" s="9" t="s">
        <v>11387</v>
      </c>
      <c r="PSQ1" s="9" t="s">
        <v>11388</v>
      </c>
      <c r="PSR1" s="9" t="s">
        <v>11389</v>
      </c>
      <c r="PSS1" s="9" t="s">
        <v>11390</v>
      </c>
      <c r="PST1" s="9" t="s">
        <v>11391</v>
      </c>
      <c r="PSU1" s="9" t="s">
        <v>11392</v>
      </c>
      <c r="PSV1" s="9" t="s">
        <v>11393</v>
      </c>
      <c r="PSW1" s="9" t="s">
        <v>11394</v>
      </c>
      <c r="PSX1" s="9" t="s">
        <v>11395</v>
      </c>
      <c r="PSY1" s="9" t="s">
        <v>11396</v>
      </c>
      <c r="PSZ1" s="9" t="s">
        <v>11397</v>
      </c>
      <c r="PTA1" s="9" t="s">
        <v>11398</v>
      </c>
      <c r="PTB1" s="9" t="s">
        <v>11399</v>
      </c>
      <c r="PTC1" s="9" t="s">
        <v>11400</v>
      </c>
      <c r="PTD1" s="9" t="s">
        <v>11401</v>
      </c>
      <c r="PTE1" s="9" t="s">
        <v>11402</v>
      </c>
      <c r="PTF1" s="9" t="s">
        <v>11403</v>
      </c>
      <c r="PTG1" s="9" t="s">
        <v>11404</v>
      </c>
      <c r="PTH1" s="9" t="s">
        <v>11405</v>
      </c>
      <c r="PTI1" s="9" t="s">
        <v>11406</v>
      </c>
      <c r="PTJ1" s="9" t="s">
        <v>11407</v>
      </c>
      <c r="PTK1" s="9" t="s">
        <v>11408</v>
      </c>
      <c r="PTL1" s="9" t="s">
        <v>11409</v>
      </c>
      <c r="PTM1" s="9" t="s">
        <v>11410</v>
      </c>
      <c r="PTN1" s="9" t="s">
        <v>11411</v>
      </c>
      <c r="PTO1" s="9" t="s">
        <v>11412</v>
      </c>
      <c r="PTP1" s="9" t="s">
        <v>11413</v>
      </c>
      <c r="PTQ1" s="9" t="s">
        <v>11414</v>
      </c>
      <c r="PTR1" s="9" t="s">
        <v>11415</v>
      </c>
      <c r="PTS1" s="9" t="s">
        <v>11416</v>
      </c>
      <c r="PTT1" s="9" t="s">
        <v>11417</v>
      </c>
      <c r="PTU1" s="9" t="s">
        <v>11418</v>
      </c>
      <c r="PTV1" s="9" t="s">
        <v>11419</v>
      </c>
      <c r="PTW1" s="9" t="s">
        <v>11420</v>
      </c>
      <c r="PTX1" s="9" t="s">
        <v>11421</v>
      </c>
      <c r="PTY1" s="9" t="s">
        <v>11422</v>
      </c>
      <c r="PTZ1" s="9" t="s">
        <v>11423</v>
      </c>
      <c r="PUA1" s="9" t="s">
        <v>11424</v>
      </c>
      <c r="PUB1" s="9" t="s">
        <v>11425</v>
      </c>
      <c r="PUC1" s="9" t="s">
        <v>11426</v>
      </c>
      <c r="PUD1" s="9" t="s">
        <v>11427</v>
      </c>
      <c r="PUE1" s="9" t="s">
        <v>11428</v>
      </c>
      <c r="PUF1" s="9" t="s">
        <v>11429</v>
      </c>
      <c r="PUG1" s="9" t="s">
        <v>11430</v>
      </c>
      <c r="PUH1" s="9" t="s">
        <v>11431</v>
      </c>
      <c r="PUI1" s="9" t="s">
        <v>11432</v>
      </c>
      <c r="PUJ1" s="9" t="s">
        <v>11433</v>
      </c>
      <c r="PUK1" s="9" t="s">
        <v>11434</v>
      </c>
      <c r="PUL1" s="9" t="s">
        <v>11435</v>
      </c>
      <c r="PUM1" s="9" t="s">
        <v>11436</v>
      </c>
      <c r="PUN1" s="9" t="s">
        <v>11437</v>
      </c>
      <c r="PUO1" s="9" t="s">
        <v>11438</v>
      </c>
      <c r="PUP1" s="9" t="s">
        <v>11439</v>
      </c>
      <c r="PUQ1" s="9" t="s">
        <v>11440</v>
      </c>
      <c r="PUR1" s="9" t="s">
        <v>11441</v>
      </c>
      <c r="PUS1" s="9" t="s">
        <v>11442</v>
      </c>
      <c r="PUT1" s="9" t="s">
        <v>11443</v>
      </c>
      <c r="PUU1" s="9" t="s">
        <v>11444</v>
      </c>
      <c r="PUV1" s="9" t="s">
        <v>11445</v>
      </c>
      <c r="PUW1" s="9" t="s">
        <v>11446</v>
      </c>
      <c r="PUX1" s="9" t="s">
        <v>11447</v>
      </c>
      <c r="PUY1" s="9" t="s">
        <v>11448</v>
      </c>
      <c r="PUZ1" s="9" t="s">
        <v>11449</v>
      </c>
      <c r="PVA1" s="9" t="s">
        <v>11450</v>
      </c>
      <c r="PVB1" s="9" t="s">
        <v>11451</v>
      </c>
      <c r="PVC1" s="9" t="s">
        <v>11452</v>
      </c>
      <c r="PVD1" s="9" t="s">
        <v>11453</v>
      </c>
      <c r="PVE1" s="9" t="s">
        <v>11454</v>
      </c>
      <c r="PVF1" s="9" t="s">
        <v>11455</v>
      </c>
      <c r="PVG1" s="9" t="s">
        <v>11456</v>
      </c>
      <c r="PVH1" s="9" t="s">
        <v>11457</v>
      </c>
      <c r="PVI1" s="9" t="s">
        <v>11458</v>
      </c>
      <c r="PVJ1" s="9" t="s">
        <v>11459</v>
      </c>
      <c r="PVK1" s="9" t="s">
        <v>11460</v>
      </c>
      <c r="PVL1" s="9" t="s">
        <v>11461</v>
      </c>
      <c r="PVM1" s="9" t="s">
        <v>11462</v>
      </c>
      <c r="PVN1" s="9" t="s">
        <v>11463</v>
      </c>
      <c r="PVO1" s="9" t="s">
        <v>11464</v>
      </c>
      <c r="PVP1" s="9" t="s">
        <v>11465</v>
      </c>
      <c r="PVQ1" s="9" t="s">
        <v>11466</v>
      </c>
      <c r="PVR1" s="9" t="s">
        <v>11467</v>
      </c>
      <c r="PVS1" s="9" t="s">
        <v>11468</v>
      </c>
      <c r="PVT1" s="9" t="s">
        <v>11469</v>
      </c>
      <c r="PVU1" s="9" t="s">
        <v>11470</v>
      </c>
      <c r="PVV1" s="9" t="s">
        <v>11471</v>
      </c>
      <c r="PVW1" s="9" t="s">
        <v>11472</v>
      </c>
      <c r="PVX1" s="9" t="s">
        <v>11473</v>
      </c>
      <c r="PVY1" s="9" t="s">
        <v>11474</v>
      </c>
      <c r="PVZ1" s="9" t="s">
        <v>11475</v>
      </c>
      <c r="PWA1" s="9" t="s">
        <v>11476</v>
      </c>
      <c r="PWB1" s="9" t="s">
        <v>11477</v>
      </c>
      <c r="PWC1" s="9" t="s">
        <v>11478</v>
      </c>
      <c r="PWD1" s="9" t="s">
        <v>11479</v>
      </c>
      <c r="PWE1" s="9" t="s">
        <v>11480</v>
      </c>
      <c r="PWF1" s="9" t="s">
        <v>11481</v>
      </c>
      <c r="PWG1" s="9" t="s">
        <v>11482</v>
      </c>
      <c r="PWH1" s="9" t="s">
        <v>11483</v>
      </c>
      <c r="PWI1" s="9" t="s">
        <v>11484</v>
      </c>
      <c r="PWJ1" s="9" t="s">
        <v>11485</v>
      </c>
      <c r="PWK1" s="9" t="s">
        <v>11486</v>
      </c>
      <c r="PWL1" s="9" t="s">
        <v>11487</v>
      </c>
      <c r="PWM1" s="9" t="s">
        <v>11488</v>
      </c>
      <c r="PWN1" s="9" t="s">
        <v>11489</v>
      </c>
      <c r="PWO1" s="9" t="s">
        <v>11490</v>
      </c>
      <c r="PWP1" s="9" t="s">
        <v>11491</v>
      </c>
      <c r="PWQ1" s="9" t="s">
        <v>11492</v>
      </c>
      <c r="PWR1" s="9" t="s">
        <v>11493</v>
      </c>
      <c r="PWS1" s="9" t="s">
        <v>11494</v>
      </c>
      <c r="PWT1" s="9" t="s">
        <v>11495</v>
      </c>
      <c r="PWU1" s="9" t="s">
        <v>11496</v>
      </c>
      <c r="PWV1" s="9" t="s">
        <v>11497</v>
      </c>
      <c r="PWW1" s="9" t="s">
        <v>11498</v>
      </c>
      <c r="PWX1" s="9" t="s">
        <v>11499</v>
      </c>
      <c r="PWY1" s="9" t="s">
        <v>11500</v>
      </c>
      <c r="PWZ1" s="9" t="s">
        <v>11501</v>
      </c>
      <c r="PXA1" s="9" t="s">
        <v>11502</v>
      </c>
      <c r="PXB1" s="9" t="s">
        <v>11503</v>
      </c>
      <c r="PXC1" s="9" t="s">
        <v>11504</v>
      </c>
      <c r="PXD1" s="9" t="s">
        <v>11505</v>
      </c>
      <c r="PXE1" s="9" t="s">
        <v>11506</v>
      </c>
      <c r="PXF1" s="9" t="s">
        <v>11507</v>
      </c>
      <c r="PXG1" s="9" t="s">
        <v>11508</v>
      </c>
      <c r="PXH1" s="9" t="s">
        <v>11509</v>
      </c>
      <c r="PXI1" s="9" t="s">
        <v>11510</v>
      </c>
      <c r="PXJ1" s="9" t="s">
        <v>11511</v>
      </c>
      <c r="PXK1" s="9" t="s">
        <v>11512</v>
      </c>
      <c r="PXL1" s="9" t="s">
        <v>11513</v>
      </c>
      <c r="PXM1" s="9" t="s">
        <v>11514</v>
      </c>
      <c r="PXN1" s="9" t="s">
        <v>11515</v>
      </c>
      <c r="PXO1" s="9" t="s">
        <v>11516</v>
      </c>
      <c r="PXP1" s="9" t="s">
        <v>11517</v>
      </c>
      <c r="PXQ1" s="9" t="s">
        <v>11518</v>
      </c>
      <c r="PXR1" s="9" t="s">
        <v>11519</v>
      </c>
      <c r="PXS1" s="9" t="s">
        <v>11520</v>
      </c>
      <c r="PXT1" s="9" t="s">
        <v>11521</v>
      </c>
      <c r="PXU1" s="9" t="s">
        <v>11522</v>
      </c>
      <c r="PXV1" s="9" t="s">
        <v>11523</v>
      </c>
      <c r="PXW1" s="9" t="s">
        <v>11524</v>
      </c>
      <c r="PXX1" s="9" t="s">
        <v>11525</v>
      </c>
      <c r="PXY1" s="9" t="s">
        <v>11526</v>
      </c>
      <c r="PXZ1" s="9" t="s">
        <v>11527</v>
      </c>
      <c r="PYA1" s="9" t="s">
        <v>11528</v>
      </c>
      <c r="PYB1" s="9" t="s">
        <v>11529</v>
      </c>
      <c r="PYC1" s="9" t="s">
        <v>11530</v>
      </c>
      <c r="PYD1" s="9" t="s">
        <v>11531</v>
      </c>
      <c r="PYE1" s="9" t="s">
        <v>11532</v>
      </c>
      <c r="PYF1" s="9" t="s">
        <v>11533</v>
      </c>
      <c r="PYG1" s="9" t="s">
        <v>11534</v>
      </c>
      <c r="PYH1" s="9" t="s">
        <v>11535</v>
      </c>
      <c r="PYI1" s="9" t="s">
        <v>11536</v>
      </c>
      <c r="PYJ1" s="9" t="s">
        <v>11537</v>
      </c>
      <c r="PYK1" s="9" t="s">
        <v>11538</v>
      </c>
      <c r="PYL1" s="9" t="s">
        <v>11539</v>
      </c>
      <c r="PYM1" s="9" t="s">
        <v>11540</v>
      </c>
      <c r="PYN1" s="9" t="s">
        <v>11541</v>
      </c>
      <c r="PYO1" s="9" t="s">
        <v>11542</v>
      </c>
      <c r="PYP1" s="9" t="s">
        <v>11543</v>
      </c>
      <c r="PYQ1" s="9" t="s">
        <v>11544</v>
      </c>
      <c r="PYR1" s="9" t="s">
        <v>11545</v>
      </c>
      <c r="PYS1" s="9" t="s">
        <v>11546</v>
      </c>
      <c r="PYT1" s="9" t="s">
        <v>11547</v>
      </c>
      <c r="PYU1" s="9" t="s">
        <v>11548</v>
      </c>
      <c r="PYV1" s="9" t="s">
        <v>11549</v>
      </c>
      <c r="PYW1" s="9" t="s">
        <v>11550</v>
      </c>
      <c r="PYX1" s="9" t="s">
        <v>11551</v>
      </c>
      <c r="PYY1" s="9" t="s">
        <v>11552</v>
      </c>
      <c r="PYZ1" s="9" t="s">
        <v>11553</v>
      </c>
      <c r="PZA1" s="9" t="s">
        <v>11554</v>
      </c>
      <c r="PZB1" s="9" t="s">
        <v>11555</v>
      </c>
      <c r="PZC1" s="9" t="s">
        <v>11556</v>
      </c>
      <c r="PZD1" s="9" t="s">
        <v>11557</v>
      </c>
      <c r="PZE1" s="9" t="s">
        <v>11558</v>
      </c>
      <c r="PZF1" s="9" t="s">
        <v>11559</v>
      </c>
      <c r="PZG1" s="9" t="s">
        <v>11560</v>
      </c>
      <c r="PZH1" s="9" t="s">
        <v>11561</v>
      </c>
      <c r="PZI1" s="9" t="s">
        <v>11562</v>
      </c>
      <c r="PZJ1" s="9" t="s">
        <v>11563</v>
      </c>
      <c r="PZK1" s="9" t="s">
        <v>11564</v>
      </c>
      <c r="PZL1" s="9" t="s">
        <v>11565</v>
      </c>
      <c r="PZM1" s="9" t="s">
        <v>11566</v>
      </c>
      <c r="PZN1" s="9" t="s">
        <v>11567</v>
      </c>
      <c r="PZO1" s="9" t="s">
        <v>11568</v>
      </c>
      <c r="PZP1" s="9" t="s">
        <v>11569</v>
      </c>
      <c r="PZQ1" s="9" t="s">
        <v>11570</v>
      </c>
      <c r="PZR1" s="9" t="s">
        <v>11571</v>
      </c>
      <c r="PZS1" s="9" t="s">
        <v>11572</v>
      </c>
      <c r="PZT1" s="9" t="s">
        <v>11573</v>
      </c>
      <c r="PZU1" s="9" t="s">
        <v>11574</v>
      </c>
      <c r="PZV1" s="9" t="s">
        <v>11575</v>
      </c>
      <c r="PZW1" s="9" t="s">
        <v>11576</v>
      </c>
      <c r="PZX1" s="9" t="s">
        <v>11577</v>
      </c>
      <c r="PZY1" s="9" t="s">
        <v>11578</v>
      </c>
      <c r="PZZ1" s="9" t="s">
        <v>11579</v>
      </c>
      <c r="QAA1" s="9" t="s">
        <v>11580</v>
      </c>
      <c r="QAB1" s="9" t="s">
        <v>11581</v>
      </c>
      <c r="QAC1" s="9" t="s">
        <v>11582</v>
      </c>
      <c r="QAD1" s="9" t="s">
        <v>11583</v>
      </c>
      <c r="QAE1" s="9" t="s">
        <v>11584</v>
      </c>
      <c r="QAF1" s="9" t="s">
        <v>11585</v>
      </c>
      <c r="QAG1" s="9" t="s">
        <v>11586</v>
      </c>
      <c r="QAH1" s="9" t="s">
        <v>11587</v>
      </c>
      <c r="QAI1" s="9" t="s">
        <v>11588</v>
      </c>
      <c r="QAJ1" s="9" t="s">
        <v>11589</v>
      </c>
      <c r="QAK1" s="9" t="s">
        <v>11590</v>
      </c>
      <c r="QAL1" s="9" t="s">
        <v>11591</v>
      </c>
      <c r="QAM1" s="9" t="s">
        <v>11592</v>
      </c>
      <c r="QAN1" s="9" t="s">
        <v>11593</v>
      </c>
      <c r="QAO1" s="9" t="s">
        <v>11594</v>
      </c>
      <c r="QAP1" s="9" t="s">
        <v>11595</v>
      </c>
      <c r="QAQ1" s="9" t="s">
        <v>11596</v>
      </c>
      <c r="QAR1" s="9" t="s">
        <v>11597</v>
      </c>
      <c r="QAS1" s="9" t="s">
        <v>11598</v>
      </c>
      <c r="QAT1" s="9" t="s">
        <v>11599</v>
      </c>
      <c r="QAU1" s="9" t="s">
        <v>11600</v>
      </c>
      <c r="QAV1" s="9" t="s">
        <v>11601</v>
      </c>
      <c r="QAW1" s="9" t="s">
        <v>11602</v>
      </c>
      <c r="QAX1" s="9" t="s">
        <v>11603</v>
      </c>
      <c r="QAY1" s="9" t="s">
        <v>11604</v>
      </c>
      <c r="QAZ1" s="9" t="s">
        <v>11605</v>
      </c>
      <c r="QBA1" s="9" t="s">
        <v>11606</v>
      </c>
      <c r="QBB1" s="9" t="s">
        <v>11607</v>
      </c>
      <c r="QBC1" s="9" t="s">
        <v>11608</v>
      </c>
      <c r="QBD1" s="9" t="s">
        <v>11609</v>
      </c>
      <c r="QBE1" s="9" t="s">
        <v>11610</v>
      </c>
      <c r="QBF1" s="9" t="s">
        <v>11611</v>
      </c>
      <c r="QBG1" s="9" t="s">
        <v>11612</v>
      </c>
      <c r="QBH1" s="9" t="s">
        <v>11613</v>
      </c>
      <c r="QBI1" s="9" t="s">
        <v>11614</v>
      </c>
      <c r="QBJ1" s="9" t="s">
        <v>11615</v>
      </c>
      <c r="QBK1" s="9" t="s">
        <v>11616</v>
      </c>
      <c r="QBL1" s="9" t="s">
        <v>11617</v>
      </c>
      <c r="QBM1" s="9" t="s">
        <v>11618</v>
      </c>
      <c r="QBN1" s="9" t="s">
        <v>11619</v>
      </c>
      <c r="QBO1" s="9" t="s">
        <v>11620</v>
      </c>
      <c r="QBP1" s="9" t="s">
        <v>11621</v>
      </c>
      <c r="QBQ1" s="9" t="s">
        <v>11622</v>
      </c>
      <c r="QBR1" s="9" t="s">
        <v>11623</v>
      </c>
      <c r="QBS1" s="9" t="s">
        <v>11624</v>
      </c>
      <c r="QBT1" s="9" t="s">
        <v>11625</v>
      </c>
      <c r="QBU1" s="9" t="s">
        <v>11626</v>
      </c>
      <c r="QBV1" s="9" t="s">
        <v>11627</v>
      </c>
      <c r="QBW1" s="9" t="s">
        <v>11628</v>
      </c>
      <c r="QBX1" s="9" t="s">
        <v>11629</v>
      </c>
      <c r="QBY1" s="9" t="s">
        <v>11630</v>
      </c>
      <c r="QBZ1" s="9" t="s">
        <v>11631</v>
      </c>
      <c r="QCA1" s="9" t="s">
        <v>11632</v>
      </c>
      <c r="QCB1" s="9" t="s">
        <v>11633</v>
      </c>
      <c r="QCC1" s="9" t="s">
        <v>11634</v>
      </c>
      <c r="QCD1" s="9" t="s">
        <v>11635</v>
      </c>
      <c r="QCE1" s="9" t="s">
        <v>11636</v>
      </c>
      <c r="QCF1" s="9" t="s">
        <v>11637</v>
      </c>
      <c r="QCG1" s="9" t="s">
        <v>11638</v>
      </c>
      <c r="QCH1" s="9" t="s">
        <v>11639</v>
      </c>
      <c r="QCI1" s="9" t="s">
        <v>11640</v>
      </c>
      <c r="QCJ1" s="9" t="s">
        <v>11641</v>
      </c>
      <c r="QCK1" s="9" t="s">
        <v>11642</v>
      </c>
      <c r="QCL1" s="9" t="s">
        <v>11643</v>
      </c>
      <c r="QCM1" s="9" t="s">
        <v>11644</v>
      </c>
      <c r="QCN1" s="9" t="s">
        <v>11645</v>
      </c>
      <c r="QCO1" s="9" t="s">
        <v>11646</v>
      </c>
      <c r="QCP1" s="9" t="s">
        <v>11647</v>
      </c>
      <c r="QCQ1" s="9" t="s">
        <v>11648</v>
      </c>
      <c r="QCR1" s="9" t="s">
        <v>11649</v>
      </c>
      <c r="QCS1" s="9" t="s">
        <v>11650</v>
      </c>
      <c r="QCT1" s="9" t="s">
        <v>11651</v>
      </c>
      <c r="QCU1" s="9" t="s">
        <v>11652</v>
      </c>
      <c r="QCV1" s="9" t="s">
        <v>11653</v>
      </c>
      <c r="QCW1" s="9" t="s">
        <v>11654</v>
      </c>
      <c r="QCX1" s="9" t="s">
        <v>11655</v>
      </c>
      <c r="QCY1" s="9" t="s">
        <v>11656</v>
      </c>
      <c r="QCZ1" s="9" t="s">
        <v>11657</v>
      </c>
      <c r="QDA1" s="9" t="s">
        <v>11658</v>
      </c>
      <c r="QDB1" s="9" t="s">
        <v>11659</v>
      </c>
      <c r="QDC1" s="9" t="s">
        <v>11660</v>
      </c>
      <c r="QDD1" s="9" t="s">
        <v>11661</v>
      </c>
      <c r="QDE1" s="9" t="s">
        <v>11662</v>
      </c>
      <c r="QDF1" s="9" t="s">
        <v>11663</v>
      </c>
      <c r="QDG1" s="9" t="s">
        <v>11664</v>
      </c>
      <c r="QDH1" s="9" t="s">
        <v>11665</v>
      </c>
      <c r="QDI1" s="9" t="s">
        <v>11666</v>
      </c>
      <c r="QDJ1" s="9" t="s">
        <v>11667</v>
      </c>
      <c r="QDK1" s="9" t="s">
        <v>11668</v>
      </c>
      <c r="QDL1" s="9" t="s">
        <v>11669</v>
      </c>
      <c r="QDM1" s="9" t="s">
        <v>11670</v>
      </c>
      <c r="QDN1" s="9" t="s">
        <v>11671</v>
      </c>
      <c r="QDO1" s="9" t="s">
        <v>11672</v>
      </c>
      <c r="QDP1" s="9" t="s">
        <v>11673</v>
      </c>
      <c r="QDQ1" s="9" t="s">
        <v>11674</v>
      </c>
      <c r="QDR1" s="9" t="s">
        <v>11675</v>
      </c>
      <c r="QDS1" s="9" t="s">
        <v>11676</v>
      </c>
      <c r="QDT1" s="9" t="s">
        <v>11677</v>
      </c>
      <c r="QDU1" s="9" t="s">
        <v>11678</v>
      </c>
      <c r="QDV1" s="9" t="s">
        <v>11679</v>
      </c>
      <c r="QDW1" s="9" t="s">
        <v>11680</v>
      </c>
      <c r="QDX1" s="9" t="s">
        <v>11681</v>
      </c>
      <c r="QDY1" s="9" t="s">
        <v>11682</v>
      </c>
      <c r="QDZ1" s="9" t="s">
        <v>11683</v>
      </c>
      <c r="QEA1" s="9" t="s">
        <v>11684</v>
      </c>
      <c r="QEB1" s="9" t="s">
        <v>11685</v>
      </c>
      <c r="QEC1" s="9" t="s">
        <v>11686</v>
      </c>
      <c r="QED1" s="9" t="s">
        <v>11687</v>
      </c>
      <c r="QEE1" s="9" t="s">
        <v>11688</v>
      </c>
      <c r="QEF1" s="9" t="s">
        <v>11689</v>
      </c>
      <c r="QEG1" s="9" t="s">
        <v>11690</v>
      </c>
      <c r="QEH1" s="9" t="s">
        <v>11691</v>
      </c>
      <c r="QEI1" s="9" t="s">
        <v>11692</v>
      </c>
      <c r="QEJ1" s="9" t="s">
        <v>11693</v>
      </c>
      <c r="QEK1" s="9" t="s">
        <v>11694</v>
      </c>
      <c r="QEL1" s="9" t="s">
        <v>11695</v>
      </c>
      <c r="QEM1" s="9" t="s">
        <v>11696</v>
      </c>
      <c r="QEN1" s="9" t="s">
        <v>11697</v>
      </c>
      <c r="QEO1" s="9" t="s">
        <v>11698</v>
      </c>
      <c r="QEP1" s="9" t="s">
        <v>11699</v>
      </c>
      <c r="QEQ1" s="9" t="s">
        <v>11700</v>
      </c>
      <c r="QER1" s="9" t="s">
        <v>11701</v>
      </c>
      <c r="QES1" s="9" t="s">
        <v>11702</v>
      </c>
      <c r="QET1" s="9" t="s">
        <v>11703</v>
      </c>
      <c r="QEU1" s="9" t="s">
        <v>11704</v>
      </c>
      <c r="QEV1" s="9" t="s">
        <v>11705</v>
      </c>
      <c r="QEW1" s="9" t="s">
        <v>11706</v>
      </c>
      <c r="QEX1" s="9" t="s">
        <v>11707</v>
      </c>
      <c r="QEY1" s="9" t="s">
        <v>11708</v>
      </c>
      <c r="QEZ1" s="9" t="s">
        <v>11709</v>
      </c>
      <c r="QFA1" s="9" t="s">
        <v>11710</v>
      </c>
      <c r="QFB1" s="9" t="s">
        <v>11711</v>
      </c>
      <c r="QFC1" s="9" t="s">
        <v>11712</v>
      </c>
      <c r="QFD1" s="9" t="s">
        <v>11713</v>
      </c>
      <c r="QFE1" s="9" t="s">
        <v>11714</v>
      </c>
      <c r="QFF1" s="9" t="s">
        <v>11715</v>
      </c>
      <c r="QFG1" s="9" t="s">
        <v>11716</v>
      </c>
      <c r="QFH1" s="9" t="s">
        <v>11717</v>
      </c>
      <c r="QFI1" s="9" t="s">
        <v>11718</v>
      </c>
      <c r="QFJ1" s="9" t="s">
        <v>11719</v>
      </c>
      <c r="QFK1" s="9" t="s">
        <v>11720</v>
      </c>
      <c r="QFL1" s="9" t="s">
        <v>11721</v>
      </c>
      <c r="QFM1" s="9" t="s">
        <v>11722</v>
      </c>
      <c r="QFN1" s="9" t="s">
        <v>11723</v>
      </c>
      <c r="QFO1" s="9" t="s">
        <v>11724</v>
      </c>
      <c r="QFP1" s="9" t="s">
        <v>11725</v>
      </c>
      <c r="QFQ1" s="9" t="s">
        <v>11726</v>
      </c>
      <c r="QFR1" s="9" t="s">
        <v>11727</v>
      </c>
      <c r="QFS1" s="9" t="s">
        <v>11728</v>
      </c>
      <c r="QFT1" s="9" t="s">
        <v>11729</v>
      </c>
      <c r="QFU1" s="9" t="s">
        <v>11730</v>
      </c>
      <c r="QFV1" s="9" t="s">
        <v>11731</v>
      </c>
      <c r="QFW1" s="9" t="s">
        <v>11732</v>
      </c>
      <c r="QFX1" s="9" t="s">
        <v>11733</v>
      </c>
      <c r="QFY1" s="9" t="s">
        <v>11734</v>
      </c>
      <c r="QFZ1" s="9" t="s">
        <v>11735</v>
      </c>
      <c r="QGA1" s="9" t="s">
        <v>11736</v>
      </c>
      <c r="QGB1" s="9" t="s">
        <v>11737</v>
      </c>
      <c r="QGC1" s="9" t="s">
        <v>11738</v>
      </c>
      <c r="QGD1" s="9" t="s">
        <v>11739</v>
      </c>
      <c r="QGE1" s="9" t="s">
        <v>11740</v>
      </c>
      <c r="QGF1" s="9" t="s">
        <v>11741</v>
      </c>
      <c r="QGG1" s="9" t="s">
        <v>11742</v>
      </c>
      <c r="QGH1" s="9" t="s">
        <v>11743</v>
      </c>
      <c r="QGI1" s="9" t="s">
        <v>11744</v>
      </c>
      <c r="QGJ1" s="9" t="s">
        <v>11745</v>
      </c>
      <c r="QGK1" s="9" t="s">
        <v>11746</v>
      </c>
      <c r="QGL1" s="9" t="s">
        <v>11747</v>
      </c>
      <c r="QGM1" s="9" t="s">
        <v>11748</v>
      </c>
      <c r="QGN1" s="9" t="s">
        <v>11749</v>
      </c>
      <c r="QGO1" s="9" t="s">
        <v>11750</v>
      </c>
      <c r="QGP1" s="9" t="s">
        <v>11751</v>
      </c>
      <c r="QGQ1" s="9" t="s">
        <v>11752</v>
      </c>
      <c r="QGR1" s="9" t="s">
        <v>11753</v>
      </c>
      <c r="QGS1" s="9" t="s">
        <v>11754</v>
      </c>
      <c r="QGT1" s="9" t="s">
        <v>11755</v>
      </c>
      <c r="QGU1" s="9" t="s">
        <v>11756</v>
      </c>
      <c r="QGV1" s="9" t="s">
        <v>11757</v>
      </c>
      <c r="QGW1" s="9" t="s">
        <v>11758</v>
      </c>
      <c r="QGX1" s="9" t="s">
        <v>11759</v>
      </c>
      <c r="QGY1" s="9" t="s">
        <v>11760</v>
      </c>
      <c r="QGZ1" s="9" t="s">
        <v>11761</v>
      </c>
      <c r="QHA1" s="9" t="s">
        <v>11762</v>
      </c>
      <c r="QHB1" s="9" t="s">
        <v>11763</v>
      </c>
      <c r="QHC1" s="9" t="s">
        <v>11764</v>
      </c>
      <c r="QHD1" s="9" t="s">
        <v>11765</v>
      </c>
      <c r="QHE1" s="9" t="s">
        <v>11766</v>
      </c>
      <c r="QHF1" s="9" t="s">
        <v>11767</v>
      </c>
      <c r="QHG1" s="9" t="s">
        <v>11768</v>
      </c>
      <c r="QHH1" s="9" t="s">
        <v>11769</v>
      </c>
      <c r="QHI1" s="9" t="s">
        <v>11770</v>
      </c>
      <c r="QHJ1" s="9" t="s">
        <v>11771</v>
      </c>
      <c r="QHK1" s="9" t="s">
        <v>11772</v>
      </c>
      <c r="QHL1" s="9" t="s">
        <v>11773</v>
      </c>
      <c r="QHM1" s="9" t="s">
        <v>11774</v>
      </c>
      <c r="QHN1" s="9" t="s">
        <v>11775</v>
      </c>
      <c r="QHO1" s="9" t="s">
        <v>11776</v>
      </c>
      <c r="QHP1" s="9" t="s">
        <v>11777</v>
      </c>
      <c r="QHQ1" s="9" t="s">
        <v>11778</v>
      </c>
      <c r="QHR1" s="9" t="s">
        <v>11779</v>
      </c>
      <c r="QHS1" s="9" t="s">
        <v>11780</v>
      </c>
      <c r="QHT1" s="9" t="s">
        <v>11781</v>
      </c>
      <c r="QHU1" s="9" t="s">
        <v>11782</v>
      </c>
      <c r="QHV1" s="9" t="s">
        <v>11783</v>
      </c>
      <c r="QHW1" s="9" t="s">
        <v>11784</v>
      </c>
      <c r="QHX1" s="9" t="s">
        <v>11785</v>
      </c>
      <c r="QHY1" s="9" t="s">
        <v>11786</v>
      </c>
      <c r="QHZ1" s="9" t="s">
        <v>11787</v>
      </c>
      <c r="QIA1" s="9" t="s">
        <v>11788</v>
      </c>
      <c r="QIB1" s="9" t="s">
        <v>11789</v>
      </c>
      <c r="QIC1" s="9" t="s">
        <v>11790</v>
      </c>
      <c r="QID1" s="9" t="s">
        <v>11791</v>
      </c>
      <c r="QIE1" s="9" t="s">
        <v>11792</v>
      </c>
      <c r="QIF1" s="9" t="s">
        <v>11793</v>
      </c>
      <c r="QIG1" s="9" t="s">
        <v>11794</v>
      </c>
      <c r="QIH1" s="9" t="s">
        <v>11795</v>
      </c>
      <c r="QII1" s="9" t="s">
        <v>11796</v>
      </c>
      <c r="QIJ1" s="9" t="s">
        <v>11797</v>
      </c>
      <c r="QIK1" s="9" t="s">
        <v>11798</v>
      </c>
      <c r="QIL1" s="9" t="s">
        <v>11799</v>
      </c>
      <c r="QIM1" s="9" t="s">
        <v>11800</v>
      </c>
      <c r="QIN1" s="9" t="s">
        <v>11801</v>
      </c>
      <c r="QIO1" s="9" t="s">
        <v>11802</v>
      </c>
      <c r="QIP1" s="9" t="s">
        <v>11803</v>
      </c>
      <c r="QIQ1" s="9" t="s">
        <v>11804</v>
      </c>
      <c r="QIR1" s="9" t="s">
        <v>11805</v>
      </c>
      <c r="QIS1" s="9" t="s">
        <v>11806</v>
      </c>
      <c r="QIT1" s="9" t="s">
        <v>11807</v>
      </c>
      <c r="QIU1" s="9" t="s">
        <v>11808</v>
      </c>
      <c r="QIV1" s="9" t="s">
        <v>11809</v>
      </c>
      <c r="QIW1" s="9" t="s">
        <v>11810</v>
      </c>
      <c r="QIX1" s="9" t="s">
        <v>11811</v>
      </c>
      <c r="QIY1" s="9" t="s">
        <v>11812</v>
      </c>
      <c r="QIZ1" s="9" t="s">
        <v>11813</v>
      </c>
      <c r="QJA1" s="9" t="s">
        <v>11814</v>
      </c>
      <c r="QJB1" s="9" t="s">
        <v>11815</v>
      </c>
      <c r="QJC1" s="9" t="s">
        <v>11816</v>
      </c>
      <c r="QJD1" s="9" t="s">
        <v>11817</v>
      </c>
      <c r="QJE1" s="9" t="s">
        <v>11818</v>
      </c>
      <c r="QJF1" s="9" t="s">
        <v>11819</v>
      </c>
      <c r="QJG1" s="9" t="s">
        <v>11820</v>
      </c>
      <c r="QJH1" s="9" t="s">
        <v>11821</v>
      </c>
      <c r="QJI1" s="9" t="s">
        <v>11822</v>
      </c>
      <c r="QJJ1" s="9" t="s">
        <v>11823</v>
      </c>
      <c r="QJK1" s="9" t="s">
        <v>11824</v>
      </c>
      <c r="QJL1" s="9" t="s">
        <v>11825</v>
      </c>
      <c r="QJM1" s="9" t="s">
        <v>11826</v>
      </c>
      <c r="QJN1" s="9" t="s">
        <v>11827</v>
      </c>
      <c r="QJO1" s="9" t="s">
        <v>11828</v>
      </c>
      <c r="QJP1" s="9" t="s">
        <v>11829</v>
      </c>
      <c r="QJQ1" s="9" t="s">
        <v>11830</v>
      </c>
      <c r="QJR1" s="9" t="s">
        <v>11831</v>
      </c>
      <c r="QJS1" s="9" t="s">
        <v>11832</v>
      </c>
      <c r="QJT1" s="9" t="s">
        <v>11833</v>
      </c>
      <c r="QJU1" s="9" t="s">
        <v>11834</v>
      </c>
      <c r="QJV1" s="9" t="s">
        <v>11835</v>
      </c>
      <c r="QJW1" s="9" t="s">
        <v>11836</v>
      </c>
      <c r="QJX1" s="9" t="s">
        <v>11837</v>
      </c>
      <c r="QJY1" s="9" t="s">
        <v>11838</v>
      </c>
      <c r="QJZ1" s="9" t="s">
        <v>11839</v>
      </c>
      <c r="QKA1" s="9" t="s">
        <v>11840</v>
      </c>
      <c r="QKB1" s="9" t="s">
        <v>11841</v>
      </c>
      <c r="QKC1" s="9" t="s">
        <v>11842</v>
      </c>
      <c r="QKD1" s="9" t="s">
        <v>11843</v>
      </c>
      <c r="QKE1" s="9" t="s">
        <v>11844</v>
      </c>
      <c r="QKF1" s="9" t="s">
        <v>11845</v>
      </c>
      <c r="QKG1" s="9" t="s">
        <v>11846</v>
      </c>
      <c r="QKH1" s="9" t="s">
        <v>11847</v>
      </c>
      <c r="QKI1" s="9" t="s">
        <v>11848</v>
      </c>
      <c r="QKJ1" s="9" t="s">
        <v>11849</v>
      </c>
      <c r="QKK1" s="9" t="s">
        <v>11850</v>
      </c>
      <c r="QKL1" s="9" t="s">
        <v>11851</v>
      </c>
      <c r="QKM1" s="9" t="s">
        <v>11852</v>
      </c>
      <c r="QKN1" s="9" t="s">
        <v>11853</v>
      </c>
      <c r="QKO1" s="9" t="s">
        <v>11854</v>
      </c>
      <c r="QKP1" s="9" t="s">
        <v>11855</v>
      </c>
      <c r="QKQ1" s="9" t="s">
        <v>11856</v>
      </c>
      <c r="QKR1" s="9" t="s">
        <v>11857</v>
      </c>
      <c r="QKS1" s="9" t="s">
        <v>11858</v>
      </c>
      <c r="QKT1" s="9" t="s">
        <v>11859</v>
      </c>
      <c r="QKU1" s="9" t="s">
        <v>11860</v>
      </c>
      <c r="QKV1" s="9" t="s">
        <v>11861</v>
      </c>
      <c r="QKW1" s="9" t="s">
        <v>11862</v>
      </c>
      <c r="QKX1" s="9" t="s">
        <v>11863</v>
      </c>
      <c r="QKY1" s="9" t="s">
        <v>11864</v>
      </c>
      <c r="QKZ1" s="9" t="s">
        <v>11865</v>
      </c>
      <c r="QLA1" s="9" t="s">
        <v>11866</v>
      </c>
      <c r="QLB1" s="9" t="s">
        <v>11867</v>
      </c>
      <c r="QLC1" s="9" t="s">
        <v>11868</v>
      </c>
      <c r="QLD1" s="9" t="s">
        <v>11869</v>
      </c>
      <c r="QLE1" s="9" t="s">
        <v>11870</v>
      </c>
      <c r="QLF1" s="9" t="s">
        <v>11871</v>
      </c>
      <c r="QLG1" s="9" t="s">
        <v>11872</v>
      </c>
      <c r="QLH1" s="9" t="s">
        <v>11873</v>
      </c>
      <c r="QLI1" s="9" t="s">
        <v>11874</v>
      </c>
      <c r="QLJ1" s="9" t="s">
        <v>11875</v>
      </c>
      <c r="QLK1" s="9" t="s">
        <v>11876</v>
      </c>
      <c r="QLL1" s="9" t="s">
        <v>11877</v>
      </c>
      <c r="QLM1" s="9" t="s">
        <v>11878</v>
      </c>
      <c r="QLN1" s="9" t="s">
        <v>11879</v>
      </c>
      <c r="QLO1" s="9" t="s">
        <v>11880</v>
      </c>
      <c r="QLP1" s="9" t="s">
        <v>11881</v>
      </c>
      <c r="QLQ1" s="9" t="s">
        <v>11882</v>
      </c>
      <c r="QLR1" s="9" t="s">
        <v>11883</v>
      </c>
      <c r="QLS1" s="9" t="s">
        <v>11884</v>
      </c>
      <c r="QLT1" s="9" t="s">
        <v>11885</v>
      </c>
      <c r="QLU1" s="9" t="s">
        <v>11886</v>
      </c>
      <c r="QLV1" s="9" t="s">
        <v>11887</v>
      </c>
      <c r="QLW1" s="9" t="s">
        <v>11888</v>
      </c>
      <c r="QLX1" s="9" t="s">
        <v>11889</v>
      </c>
      <c r="QLY1" s="9" t="s">
        <v>11890</v>
      </c>
      <c r="QLZ1" s="9" t="s">
        <v>11891</v>
      </c>
      <c r="QMA1" s="9" t="s">
        <v>11892</v>
      </c>
      <c r="QMB1" s="9" t="s">
        <v>11893</v>
      </c>
      <c r="QMC1" s="9" t="s">
        <v>11894</v>
      </c>
      <c r="QMD1" s="9" t="s">
        <v>11895</v>
      </c>
      <c r="QME1" s="9" t="s">
        <v>11896</v>
      </c>
      <c r="QMF1" s="9" t="s">
        <v>11897</v>
      </c>
      <c r="QMG1" s="9" t="s">
        <v>11898</v>
      </c>
      <c r="QMH1" s="9" t="s">
        <v>11899</v>
      </c>
      <c r="QMI1" s="9" t="s">
        <v>11900</v>
      </c>
      <c r="QMJ1" s="9" t="s">
        <v>11901</v>
      </c>
      <c r="QMK1" s="9" t="s">
        <v>11902</v>
      </c>
      <c r="QML1" s="9" t="s">
        <v>11903</v>
      </c>
      <c r="QMM1" s="9" t="s">
        <v>11904</v>
      </c>
      <c r="QMN1" s="9" t="s">
        <v>11905</v>
      </c>
      <c r="QMO1" s="9" t="s">
        <v>11906</v>
      </c>
      <c r="QMP1" s="9" t="s">
        <v>11907</v>
      </c>
      <c r="QMQ1" s="9" t="s">
        <v>11908</v>
      </c>
      <c r="QMR1" s="9" t="s">
        <v>11909</v>
      </c>
      <c r="QMS1" s="9" t="s">
        <v>11910</v>
      </c>
      <c r="QMT1" s="9" t="s">
        <v>11911</v>
      </c>
      <c r="QMU1" s="9" t="s">
        <v>11912</v>
      </c>
      <c r="QMV1" s="9" t="s">
        <v>11913</v>
      </c>
      <c r="QMW1" s="9" t="s">
        <v>11914</v>
      </c>
      <c r="QMX1" s="9" t="s">
        <v>11915</v>
      </c>
      <c r="QMY1" s="9" t="s">
        <v>11916</v>
      </c>
      <c r="QMZ1" s="9" t="s">
        <v>11917</v>
      </c>
      <c r="QNA1" s="9" t="s">
        <v>11918</v>
      </c>
      <c r="QNB1" s="9" t="s">
        <v>11919</v>
      </c>
      <c r="QNC1" s="9" t="s">
        <v>11920</v>
      </c>
      <c r="QND1" s="9" t="s">
        <v>11921</v>
      </c>
      <c r="QNE1" s="9" t="s">
        <v>11922</v>
      </c>
      <c r="QNF1" s="9" t="s">
        <v>11923</v>
      </c>
      <c r="QNG1" s="9" t="s">
        <v>11924</v>
      </c>
      <c r="QNH1" s="9" t="s">
        <v>11925</v>
      </c>
      <c r="QNI1" s="9" t="s">
        <v>11926</v>
      </c>
      <c r="QNJ1" s="9" t="s">
        <v>11927</v>
      </c>
      <c r="QNK1" s="9" t="s">
        <v>11928</v>
      </c>
      <c r="QNL1" s="9" t="s">
        <v>11929</v>
      </c>
      <c r="QNM1" s="9" t="s">
        <v>11930</v>
      </c>
      <c r="QNN1" s="9" t="s">
        <v>11931</v>
      </c>
      <c r="QNO1" s="9" t="s">
        <v>11932</v>
      </c>
      <c r="QNP1" s="9" t="s">
        <v>11933</v>
      </c>
      <c r="QNQ1" s="9" t="s">
        <v>11934</v>
      </c>
      <c r="QNR1" s="9" t="s">
        <v>11935</v>
      </c>
      <c r="QNS1" s="9" t="s">
        <v>11936</v>
      </c>
      <c r="QNT1" s="9" t="s">
        <v>11937</v>
      </c>
      <c r="QNU1" s="9" t="s">
        <v>11938</v>
      </c>
      <c r="QNV1" s="9" t="s">
        <v>11939</v>
      </c>
      <c r="QNW1" s="9" t="s">
        <v>11940</v>
      </c>
      <c r="QNX1" s="9" t="s">
        <v>11941</v>
      </c>
      <c r="QNY1" s="9" t="s">
        <v>11942</v>
      </c>
      <c r="QNZ1" s="9" t="s">
        <v>11943</v>
      </c>
      <c r="QOA1" s="9" t="s">
        <v>11944</v>
      </c>
      <c r="QOB1" s="9" t="s">
        <v>11945</v>
      </c>
      <c r="QOC1" s="9" t="s">
        <v>11946</v>
      </c>
      <c r="QOD1" s="9" t="s">
        <v>11947</v>
      </c>
      <c r="QOE1" s="9" t="s">
        <v>11948</v>
      </c>
      <c r="QOF1" s="9" t="s">
        <v>11949</v>
      </c>
      <c r="QOG1" s="9" t="s">
        <v>11950</v>
      </c>
      <c r="QOH1" s="9" t="s">
        <v>11951</v>
      </c>
      <c r="QOI1" s="9" t="s">
        <v>11952</v>
      </c>
      <c r="QOJ1" s="9" t="s">
        <v>11953</v>
      </c>
      <c r="QOK1" s="9" t="s">
        <v>11954</v>
      </c>
      <c r="QOL1" s="9" t="s">
        <v>11955</v>
      </c>
      <c r="QOM1" s="9" t="s">
        <v>11956</v>
      </c>
      <c r="QON1" s="9" t="s">
        <v>11957</v>
      </c>
      <c r="QOO1" s="9" t="s">
        <v>11958</v>
      </c>
      <c r="QOP1" s="9" t="s">
        <v>11959</v>
      </c>
      <c r="QOQ1" s="9" t="s">
        <v>11960</v>
      </c>
      <c r="QOR1" s="9" t="s">
        <v>11961</v>
      </c>
      <c r="QOS1" s="9" t="s">
        <v>11962</v>
      </c>
      <c r="QOT1" s="9" t="s">
        <v>11963</v>
      </c>
      <c r="QOU1" s="9" t="s">
        <v>11964</v>
      </c>
      <c r="QOV1" s="9" t="s">
        <v>11965</v>
      </c>
      <c r="QOW1" s="9" t="s">
        <v>11966</v>
      </c>
      <c r="QOX1" s="9" t="s">
        <v>11967</v>
      </c>
      <c r="QOY1" s="9" t="s">
        <v>11968</v>
      </c>
      <c r="QOZ1" s="9" t="s">
        <v>11969</v>
      </c>
      <c r="QPA1" s="9" t="s">
        <v>11970</v>
      </c>
      <c r="QPB1" s="9" t="s">
        <v>11971</v>
      </c>
      <c r="QPC1" s="9" t="s">
        <v>11972</v>
      </c>
      <c r="QPD1" s="9" t="s">
        <v>11973</v>
      </c>
      <c r="QPE1" s="9" t="s">
        <v>11974</v>
      </c>
      <c r="QPF1" s="9" t="s">
        <v>11975</v>
      </c>
      <c r="QPG1" s="9" t="s">
        <v>11976</v>
      </c>
      <c r="QPH1" s="9" t="s">
        <v>11977</v>
      </c>
      <c r="QPI1" s="9" t="s">
        <v>11978</v>
      </c>
      <c r="QPJ1" s="9" t="s">
        <v>11979</v>
      </c>
      <c r="QPK1" s="9" t="s">
        <v>11980</v>
      </c>
      <c r="QPL1" s="9" t="s">
        <v>11981</v>
      </c>
      <c r="QPM1" s="9" t="s">
        <v>11982</v>
      </c>
      <c r="QPN1" s="9" t="s">
        <v>11983</v>
      </c>
      <c r="QPO1" s="9" t="s">
        <v>11984</v>
      </c>
      <c r="QPP1" s="9" t="s">
        <v>11985</v>
      </c>
      <c r="QPQ1" s="9" t="s">
        <v>11986</v>
      </c>
      <c r="QPR1" s="9" t="s">
        <v>11987</v>
      </c>
      <c r="QPS1" s="9" t="s">
        <v>11988</v>
      </c>
      <c r="QPT1" s="9" t="s">
        <v>11989</v>
      </c>
      <c r="QPU1" s="9" t="s">
        <v>11990</v>
      </c>
      <c r="QPV1" s="9" t="s">
        <v>11991</v>
      </c>
      <c r="QPW1" s="9" t="s">
        <v>11992</v>
      </c>
      <c r="QPX1" s="9" t="s">
        <v>11993</v>
      </c>
      <c r="QPY1" s="9" t="s">
        <v>11994</v>
      </c>
      <c r="QPZ1" s="9" t="s">
        <v>11995</v>
      </c>
      <c r="QQA1" s="9" t="s">
        <v>11996</v>
      </c>
      <c r="QQB1" s="9" t="s">
        <v>11997</v>
      </c>
      <c r="QQC1" s="9" t="s">
        <v>11998</v>
      </c>
      <c r="QQD1" s="9" t="s">
        <v>11999</v>
      </c>
      <c r="QQE1" s="9" t="s">
        <v>12000</v>
      </c>
      <c r="QQF1" s="9" t="s">
        <v>12001</v>
      </c>
      <c r="QQG1" s="9" t="s">
        <v>12002</v>
      </c>
      <c r="QQH1" s="9" t="s">
        <v>12003</v>
      </c>
      <c r="QQI1" s="9" t="s">
        <v>12004</v>
      </c>
      <c r="QQJ1" s="9" t="s">
        <v>12005</v>
      </c>
      <c r="QQK1" s="9" t="s">
        <v>12006</v>
      </c>
      <c r="QQL1" s="9" t="s">
        <v>12007</v>
      </c>
      <c r="QQM1" s="9" t="s">
        <v>12008</v>
      </c>
      <c r="QQN1" s="9" t="s">
        <v>12009</v>
      </c>
      <c r="QQO1" s="9" t="s">
        <v>12010</v>
      </c>
      <c r="QQP1" s="9" t="s">
        <v>12011</v>
      </c>
      <c r="QQQ1" s="9" t="s">
        <v>12012</v>
      </c>
      <c r="QQR1" s="9" t="s">
        <v>12013</v>
      </c>
      <c r="QQS1" s="9" t="s">
        <v>12014</v>
      </c>
      <c r="QQT1" s="9" t="s">
        <v>12015</v>
      </c>
      <c r="QQU1" s="9" t="s">
        <v>12016</v>
      </c>
      <c r="QQV1" s="9" t="s">
        <v>12017</v>
      </c>
      <c r="QQW1" s="9" t="s">
        <v>12018</v>
      </c>
      <c r="QQX1" s="9" t="s">
        <v>12019</v>
      </c>
      <c r="QQY1" s="9" t="s">
        <v>12020</v>
      </c>
      <c r="QQZ1" s="9" t="s">
        <v>12021</v>
      </c>
      <c r="QRA1" s="9" t="s">
        <v>12022</v>
      </c>
      <c r="QRB1" s="9" t="s">
        <v>12023</v>
      </c>
      <c r="QRC1" s="9" t="s">
        <v>12024</v>
      </c>
      <c r="QRD1" s="9" t="s">
        <v>12025</v>
      </c>
      <c r="QRE1" s="9" t="s">
        <v>12026</v>
      </c>
      <c r="QRF1" s="9" t="s">
        <v>12027</v>
      </c>
      <c r="QRG1" s="9" t="s">
        <v>12028</v>
      </c>
      <c r="QRH1" s="9" t="s">
        <v>12029</v>
      </c>
      <c r="QRI1" s="9" t="s">
        <v>12030</v>
      </c>
      <c r="QRJ1" s="9" t="s">
        <v>12031</v>
      </c>
      <c r="QRK1" s="9" t="s">
        <v>12032</v>
      </c>
      <c r="QRL1" s="9" t="s">
        <v>12033</v>
      </c>
      <c r="QRM1" s="9" t="s">
        <v>12034</v>
      </c>
      <c r="QRN1" s="9" t="s">
        <v>12035</v>
      </c>
      <c r="QRO1" s="9" t="s">
        <v>12036</v>
      </c>
      <c r="QRP1" s="9" t="s">
        <v>12037</v>
      </c>
      <c r="QRQ1" s="9" t="s">
        <v>12038</v>
      </c>
      <c r="QRR1" s="9" t="s">
        <v>12039</v>
      </c>
      <c r="QRS1" s="9" t="s">
        <v>12040</v>
      </c>
      <c r="QRT1" s="9" t="s">
        <v>12041</v>
      </c>
      <c r="QRU1" s="9" t="s">
        <v>12042</v>
      </c>
      <c r="QRV1" s="9" t="s">
        <v>12043</v>
      </c>
      <c r="QRW1" s="9" t="s">
        <v>12044</v>
      </c>
      <c r="QRX1" s="9" t="s">
        <v>12045</v>
      </c>
      <c r="QRY1" s="9" t="s">
        <v>12046</v>
      </c>
      <c r="QRZ1" s="9" t="s">
        <v>12047</v>
      </c>
      <c r="QSA1" s="9" t="s">
        <v>12048</v>
      </c>
      <c r="QSB1" s="9" t="s">
        <v>12049</v>
      </c>
      <c r="QSC1" s="9" t="s">
        <v>12050</v>
      </c>
      <c r="QSD1" s="9" t="s">
        <v>12051</v>
      </c>
      <c r="QSE1" s="9" t="s">
        <v>12052</v>
      </c>
      <c r="QSF1" s="9" t="s">
        <v>12053</v>
      </c>
      <c r="QSG1" s="9" t="s">
        <v>12054</v>
      </c>
      <c r="QSH1" s="9" t="s">
        <v>12055</v>
      </c>
      <c r="QSI1" s="9" t="s">
        <v>12056</v>
      </c>
      <c r="QSJ1" s="9" t="s">
        <v>12057</v>
      </c>
      <c r="QSK1" s="9" t="s">
        <v>12058</v>
      </c>
      <c r="QSL1" s="9" t="s">
        <v>12059</v>
      </c>
      <c r="QSM1" s="9" t="s">
        <v>12060</v>
      </c>
      <c r="QSN1" s="9" t="s">
        <v>12061</v>
      </c>
      <c r="QSO1" s="9" t="s">
        <v>12062</v>
      </c>
      <c r="QSP1" s="9" t="s">
        <v>12063</v>
      </c>
      <c r="QSQ1" s="9" t="s">
        <v>12064</v>
      </c>
      <c r="QSR1" s="9" t="s">
        <v>12065</v>
      </c>
      <c r="QSS1" s="9" t="s">
        <v>12066</v>
      </c>
      <c r="QST1" s="9" t="s">
        <v>12067</v>
      </c>
      <c r="QSU1" s="9" t="s">
        <v>12068</v>
      </c>
      <c r="QSV1" s="9" t="s">
        <v>12069</v>
      </c>
      <c r="QSW1" s="9" t="s">
        <v>12070</v>
      </c>
      <c r="QSX1" s="9" t="s">
        <v>12071</v>
      </c>
      <c r="QSY1" s="9" t="s">
        <v>12072</v>
      </c>
      <c r="QSZ1" s="9" t="s">
        <v>12073</v>
      </c>
      <c r="QTA1" s="9" t="s">
        <v>12074</v>
      </c>
      <c r="QTB1" s="9" t="s">
        <v>12075</v>
      </c>
      <c r="QTC1" s="9" t="s">
        <v>12076</v>
      </c>
      <c r="QTD1" s="9" t="s">
        <v>12077</v>
      </c>
      <c r="QTE1" s="9" t="s">
        <v>12078</v>
      </c>
      <c r="QTF1" s="9" t="s">
        <v>12079</v>
      </c>
      <c r="QTG1" s="9" t="s">
        <v>12080</v>
      </c>
      <c r="QTH1" s="9" t="s">
        <v>12081</v>
      </c>
      <c r="QTI1" s="9" t="s">
        <v>12082</v>
      </c>
      <c r="QTJ1" s="9" t="s">
        <v>12083</v>
      </c>
      <c r="QTK1" s="9" t="s">
        <v>12084</v>
      </c>
      <c r="QTL1" s="9" t="s">
        <v>12085</v>
      </c>
      <c r="QTM1" s="9" t="s">
        <v>12086</v>
      </c>
      <c r="QTN1" s="9" t="s">
        <v>12087</v>
      </c>
      <c r="QTO1" s="9" t="s">
        <v>12088</v>
      </c>
      <c r="QTP1" s="9" t="s">
        <v>12089</v>
      </c>
      <c r="QTQ1" s="9" t="s">
        <v>12090</v>
      </c>
      <c r="QTR1" s="9" t="s">
        <v>12091</v>
      </c>
      <c r="QTS1" s="9" t="s">
        <v>12092</v>
      </c>
      <c r="QTT1" s="9" t="s">
        <v>12093</v>
      </c>
      <c r="QTU1" s="9" t="s">
        <v>12094</v>
      </c>
      <c r="QTV1" s="9" t="s">
        <v>12095</v>
      </c>
      <c r="QTW1" s="9" t="s">
        <v>12096</v>
      </c>
      <c r="QTX1" s="9" t="s">
        <v>12097</v>
      </c>
      <c r="QTY1" s="9" t="s">
        <v>12098</v>
      </c>
      <c r="QTZ1" s="9" t="s">
        <v>12099</v>
      </c>
      <c r="QUA1" s="9" t="s">
        <v>12100</v>
      </c>
      <c r="QUB1" s="9" t="s">
        <v>12101</v>
      </c>
      <c r="QUC1" s="9" t="s">
        <v>12102</v>
      </c>
      <c r="QUD1" s="9" t="s">
        <v>12103</v>
      </c>
      <c r="QUE1" s="9" t="s">
        <v>12104</v>
      </c>
      <c r="QUF1" s="9" t="s">
        <v>12105</v>
      </c>
      <c r="QUG1" s="9" t="s">
        <v>12106</v>
      </c>
      <c r="QUH1" s="9" t="s">
        <v>12107</v>
      </c>
      <c r="QUI1" s="9" t="s">
        <v>12108</v>
      </c>
      <c r="QUJ1" s="9" t="s">
        <v>12109</v>
      </c>
      <c r="QUK1" s="9" t="s">
        <v>12110</v>
      </c>
      <c r="QUL1" s="9" t="s">
        <v>12111</v>
      </c>
      <c r="QUM1" s="9" t="s">
        <v>12112</v>
      </c>
      <c r="QUN1" s="9" t="s">
        <v>12113</v>
      </c>
      <c r="QUO1" s="9" t="s">
        <v>12114</v>
      </c>
      <c r="QUP1" s="9" t="s">
        <v>12115</v>
      </c>
      <c r="QUQ1" s="9" t="s">
        <v>12116</v>
      </c>
      <c r="QUR1" s="9" t="s">
        <v>12117</v>
      </c>
      <c r="QUS1" s="9" t="s">
        <v>12118</v>
      </c>
      <c r="QUT1" s="9" t="s">
        <v>12119</v>
      </c>
      <c r="QUU1" s="9" t="s">
        <v>12120</v>
      </c>
      <c r="QUV1" s="9" t="s">
        <v>12121</v>
      </c>
      <c r="QUW1" s="9" t="s">
        <v>12122</v>
      </c>
      <c r="QUX1" s="9" t="s">
        <v>12123</v>
      </c>
      <c r="QUY1" s="9" t="s">
        <v>12124</v>
      </c>
      <c r="QUZ1" s="9" t="s">
        <v>12125</v>
      </c>
      <c r="QVA1" s="9" t="s">
        <v>12126</v>
      </c>
      <c r="QVB1" s="9" t="s">
        <v>12127</v>
      </c>
      <c r="QVC1" s="9" t="s">
        <v>12128</v>
      </c>
      <c r="QVD1" s="9" t="s">
        <v>12129</v>
      </c>
      <c r="QVE1" s="9" t="s">
        <v>12130</v>
      </c>
      <c r="QVF1" s="9" t="s">
        <v>12131</v>
      </c>
      <c r="QVG1" s="9" t="s">
        <v>12132</v>
      </c>
      <c r="QVH1" s="9" t="s">
        <v>12133</v>
      </c>
      <c r="QVI1" s="9" t="s">
        <v>12134</v>
      </c>
      <c r="QVJ1" s="9" t="s">
        <v>12135</v>
      </c>
      <c r="QVK1" s="9" t="s">
        <v>12136</v>
      </c>
      <c r="QVL1" s="9" t="s">
        <v>12137</v>
      </c>
      <c r="QVM1" s="9" t="s">
        <v>12138</v>
      </c>
      <c r="QVN1" s="9" t="s">
        <v>12139</v>
      </c>
      <c r="QVO1" s="9" t="s">
        <v>12140</v>
      </c>
      <c r="QVP1" s="9" t="s">
        <v>12141</v>
      </c>
      <c r="QVQ1" s="9" t="s">
        <v>12142</v>
      </c>
      <c r="QVR1" s="9" t="s">
        <v>12143</v>
      </c>
      <c r="QVS1" s="9" t="s">
        <v>12144</v>
      </c>
      <c r="QVT1" s="9" t="s">
        <v>12145</v>
      </c>
      <c r="QVU1" s="9" t="s">
        <v>12146</v>
      </c>
      <c r="QVV1" s="9" t="s">
        <v>12147</v>
      </c>
      <c r="QVW1" s="9" t="s">
        <v>12148</v>
      </c>
      <c r="QVX1" s="9" t="s">
        <v>12149</v>
      </c>
      <c r="QVY1" s="9" t="s">
        <v>12150</v>
      </c>
      <c r="QVZ1" s="9" t="s">
        <v>12151</v>
      </c>
      <c r="QWA1" s="9" t="s">
        <v>12152</v>
      </c>
      <c r="QWB1" s="9" t="s">
        <v>12153</v>
      </c>
      <c r="QWC1" s="9" t="s">
        <v>12154</v>
      </c>
      <c r="QWD1" s="9" t="s">
        <v>12155</v>
      </c>
      <c r="QWE1" s="9" t="s">
        <v>12156</v>
      </c>
      <c r="QWF1" s="9" t="s">
        <v>12157</v>
      </c>
      <c r="QWG1" s="9" t="s">
        <v>12158</v>
      </c>
      <c r="QWH1" s="9" t="s">
        <v>12159</v>
      </c>
      <c r="QWI1" s="9" t="s">
        <v>12160</v>
      </c>
      <c r="QWJ1" s="9" t="s">
        <v>12161</v>
      </c>
      <c r="QWK1" s="9" t="s">
        <v>12162</v>
      </c>
      <c r="QWL1" s="9" t="s">
        <v>12163</v>
      </c>
      <c r="QWM1" s="9" t="s">
        <v>12164</v>
      </c>
      <c r="QWN1" s="9" t="s">
        <v>12165</v>
      </c>
      <c r="QWO1" s="9" t="s">
        <v>12166</v>
      </c>
      <c r="QWP1" s="9" t="s">
        <v>12167</v>
      </c>
      <c r="QWQ1" s="9" t="s">
        <v>12168</v>
      </c>
      <c r="QWR1" s="9" t="s">
        <v>12169</v>
      </c>
      <c r="QWS1" s="9" t="s">
        <v>12170</v>
      </c>
      <c r="QWT1" s="9" t="s">
        <v>12171</v>
      </c>
      <c r="QWU1" s="9" t="s">
        <v>12172</v>
      </c>
      <c r="QWV1" s="9" t="s">
        <v>12173</v>
      </c>
      <c r="QWW1" s="9" t="s">
        <v>12174</v>
      </c>
      <c r="QWX1" s="9" t="s">
        <v>12175</v>
      </c>
      <c r="QWY1" s="9" t="s">
        <v>12176</v>
      </c>
      <c r="QWZ1" s="9" t="s">
        <v>12177</v>
      </c>
      <c r="QXA1" s="9" t="s">
        <v>12178</v>
      </c>
      <c r="QXB1" s="9" t="s">
        <v>12179</v>
      </c>
      <c r="QXC1" s="9" t="s">
        <v>12180</v>
      </c>
      <c r="QXD1" s="9" t="s">
        <v>12181</v>
      </c>
      <c r="QXE1" s="9" t="s">
        <v>12182</v>
      </c>
      <c r="QXF1" s="9" t="s">
        <v>12183</v>
      </c>
      <c r="QXG1" s="9" t="s">
        <v>12184</v>
      </c>
      <c r="QXH1" s="9" t="s">
        <v>12185</v>
      </c>
      <c r="QXI1" s="9" t="s">
        <v>12186</v>
      </c>
      <c r="QXJ1" s="9" t="s">
        <v>12187</v>
      </c>
      <c r="QXK1" s="9" t="s">
        <v>12188</v>
      </c>
      <c r="QXL1" s="9" t="s">
        <v>12189</v>
      </c>
      <c r="QXM1" s="9" t="s">
        <v>12190</v>
      </c>
      <c r="QXN1" s="9" t="s">
        <v>12191</v>
      </c>
      <c r="QXO1" s="9" t="s">
        <v>12192</v>
      </c>
      <c r="QXP1" s="9" t="s">
        <v>12193</v>
      </c>
      <c r="QXQ1" s="9" t="s">
        <v>12194</v>
      </c>
      <c r="QXR1" s="9" t="s">
        <v>12195</v>
      </c>
      <c r="QXS1" s="9" t="s">
        <v>12196</v>
      </c>
      <c r="QXT1" s="9" t="s">
        <v>12197</v>
      </c>
      <c r="QXU1" s="9" t="s">
        <v>12198</v>
      </c>
      <c r="QXV1" s="9" t="s">
        <v>12199</v>
      </c>
      <c r="QXW1" s="9" t="s">
        <v>12200</v>
      </c>
      <c r="QXX1" s="9" t="s">
        <v>12201</v>
      </c>
      <c r="QXY1" s="9" t="s">
        <v>12202</v>
      </c>
      <c r="QXZ1" s="9" t="s">
        <v>12203</v>
      </c>
      <c r="QYA1" s="9" t="s">
        <v>12204</v>
      </c>
      <c r="QYB1" s="9" t="s">
        <v>12205</v>
      </c>
      <c r="QYC1" s="9" t="s">
        <v>12206</v>
      </c>
      <c r="QYD1" s="9" t="s">
        <v>12207</v>
      </c>
      <c r="QYE1" s="9" t="s">
        <v>12208</v>
      </c>
      <c r="QYF1" s="9" t="s">
        <v>12209</v>
      </c>
      <c r="QYG1" s="9" t="s">
        <v>12210</v>
      </c>
      <c r="QYH1" s="9" t="s">
        <v>12211</v>
      </c>
      <c r="QYI1" s="9" t="s">
        <v>12212</v>
      </c>
      <c r="QYJ1" s="9" t="s">
        <v>12213</v>
      </c>
      <c r="QYK1" s="9" t="s">
        <v>12214</v>
      </c>
      <c r="QYL1" s="9" t="s">
        <v>12215</v>
      </c>
      <c r="QYM1" s="9" t="s">
        <v>12216</v>
      </c>
      <c r="QYN1" s="9" t="s">
        <v>12217</v>
      </c>
      <c r="QYO1" s="9" t="s">
        <v>12218</v>
      </c>
      <c r="QYP1" s="9" t="s">
        <v>12219</v>
      </c>
      <c r="QYQ1" s="9" t="s">
        <v>12220</v>
      </c>
      <c r="QYR1" s="9" t="s">
        <v>12221</v>
      </c>
      <c r="QYS1" s="9" t="s">
        <v>12222</v>
      </c>
      <c r="QYT1" s="9" t="s">
        <v>12223</v>
      </c>
      <c r="QYU1" s="9" t="s">
        <v>12224</v>
      </c>
      <c r="QYV1" s="9" t="s">
        <v>12225</v>
      </c>
      <c r="QYW1" s="9" t="s">
        <v>12226</v>
      </c>
      <c r="QYX1" s="9" t="s">
        <v>12227</v>
      </c>
      <c r="QYY1" s="9" t="s">
        <v>12228</v>
      </c>
      <c r="QYZ1" s="9" t="s">
        <v>12229</v>
      </c>
      <c r="QZA1" s="9" t="s">
        <v>12230</v>
      </c>
      <c r="QZB1" s="9" t="s">
        <v>12231</v>
      </c>
      <c r="QZC1" s="9" t="s">
        <v>12232</v>
      </c>
      <c r="QZD1" s="9" t="s">
        <v>12233</v>
      </c>
      <c r="QZE1" s="9" t="s">
        <v>12234</v>
      </c>
      <c r="QZF1" s="9" t="s">
        <v>12235</v>
      </c>
      <c r="QZG1" s="9" t="s">
        <v>12236</v>
      </c>
      <c r="QZH1" s="9" t="s">
        <v>12237</v>
      </c>
      <c r="QZI1" s="9" t="s">
        <v>12238</v>
      </c>
      <c r="QZJ1" s="9" t="s">
        <v>12239</v>
      </c>
      <c r="QZK1" s="9" t="s">
        <v>12240</v>
      </c>
      <c r="QZL1" s="9" t="s">
        <v>12241</v>
      </c>
      <c r="QZM1" s="9" t="s">
        <v>12242</v>
      </c>
      <c r="QZN1" s="9" t="s">
        <v>12243</v>
      </c>
      <c r="QZO1" s="9" t="s">
        <v>12244</v>
      </c>
      <c r="QZP1" s="9" t="s">
        <v>12245</v>
      </c>
      <c r="QZQ1" s="9" t="s">
        <v>12246</v>
      </c>
      <c r="QZR1" s="9" t="s">
        <v>12247</v>
      </c>
      <c r="QZS1" s="9" t="s">
        <v>12248</v>
      </c>
      <c r="QZT1" s="9" t="s">
        <v>12249</v>
      </c>
      <c r="QZU1" s="9" t="s">
        <v>12250</v>
      </c>
      <c r="QZV1" s="9" t="s">
        <v>12251</v>
      </c>
      <c r="QZW1" s="9" t="s">
        <v>12252</v>
      </c>
      <c r="QZX1" s="9" t="s">
        <v>12253</v>
      </c>
      <c r="QZY1" s="9" t="s">
        <v>12254</v>
      </c>
      <c r="QZZ1" s="9" t="s">
        <v>12255</v>
      </c>
      <c r="RAA1" s="9" t="s">
        <v>12256</v>
      </c>
      <c r="RAB1" s="9" t="s">
        <v>12257</v>
      </c>
      <c r="RAC1" s="9" t="s">
        <v>12258</v>
      </c>
      <c r="RAD1" s="9" t="s">
        <v>12259</v>
      </c>
      <c r="RAE1" s="9" t="s">
        <v>12260</v>
      </c>
      <c r="RAF1" s="9" t="s">
        <v>12261</v>
      </c>
      <c r="RAG1" s="9" t="s">
        <v>12262</v>
      </c>
      <c r="RAH1" s="9" t="s">
        <v>12263</v>
      </c>
      <c r="RAI1" s="9" t="s">
        <v>12264</v>
      </c>
      <c r="RAJ1" s="9" t="s">
        <v>12265</v>
      </c>
      <c r="RAK1" s="9" t="s">
        <v>12266</v>
      </c>
      <c r="RAL1" s="9" t="s">
        <v>12267</v>
      </c>
      <c r="RAM1" s="9" t="s">
        <v>12268</v>
      </c>
      <c r="RAN1" s="9" t="s">
        <v>12269</v>
      </c>
      <c r="RAO1" s="9" t="s">
        <v>12270</v>
      </c>
      <c r="RAP1" s="9" t="s">
        <v>12271</v>
      </c>
      <c r="RAQ1" s="9" t="s">
        <v>12272</v>
      </c>
      <c r="RAR1" s="9" t="s">
        <v>12273</v>
      </c>
      <c r="RAS1" s="9" t="s">
        <v>12274</v>
      </c>
      <c r="RAT1" s="9" t="s">
        <v>12275</v>
      </c>
      <c r="RAU1" s="9" t="s">
        <v>12276</v>
      </c>
      <c r="RAV1" s="9" t="s">
        <v>12277</v>
      </c>
      <c r="RAW1" s="9" t="s">
        <v>12278</v>
      </c>
      <c r="RAX1" s="9" t="s">
        <v>12279</v>
      </c>
      <c r="RAY1" s="9" t="s">
        <v>12280</v>
      </c>
      <c r="RAZ1" s="9" t="s">
        <v>12281</v>
      </c>
      <c r="RBA1" s="9" t="s">
        <v>12282</v>
      </c>
      <c r="RBB1" s="9" t="s">
        <v>12283</v>
      </c>
      <c r="RBC1" s="9" t="s">
        <v>12284</v>
      </c>
      <c r="RBD1" s="9" t="s">
        <v>12285</v>
      </c>
      <c r="RBE1" s="9" t="s">
        <v>12286</v>
      </c>
      <c r="RBF1" s="9" t="s">
        <v>12287</v>
      </c>
      <c r="RBG1" s="9" t="s">
        <v>12288</v>
      </c>
      <c r="RBH1" s="9" t="s">
        <v>12289</v>
      </c>
      <c r="RBI1" s="9" t="s">
        <v>12290</v>
      </c>
      <c r="RBJ1" s="9" t="s">
        <v>12291</v>
      </c>
      <c r="RBK1" s="9" t="s">
        <v>12292</v>
      </c>
      <c r="RBL1" s="9" t="s">
        <v>12293</v>
      </c>
      <c r="RBM1" s="9" t="s">
        <v>12294</v>
      </c>
      <c r="RBN1" s="9" t="s">
        <v>12295</v>
      </c>
      <c r="RBO1" s="9" t="s">
        <v>12296</v>
      </c>
      <c r="RBP1" s="9" t="s">
        <v>12297</v>
      </c>
      <c r="RBQ1" s="9" t="s">
        <v>12298</v>
      </c>
      <c r="RBR1" s="9" t="s">
        <v>12299</v>
      </c>
      <c r="RBS1" s="9" t="s">
        <v>12300</v>
      </c>
      <c r="RBT1" s="9" t="s">
        <v>12301</v>
      </c>
      <c r="RBU1" s="9" t="s">
        <v>12302</v>
      </c>
      <c r="RBV1" s="9" t="s">
        <v>12303</v>
      </c>
      <c r="RBW1" s="9" t="s">
        <v>12304</v>
      </c>
      <c r="RBX1" s="9" t="s">
        <v>12305</v>
      </c>
      <c r="RBY1" s="9" t="s">
        <v>12306</v>
      </c>
      <c r="RBZ1" s="9" t="s">
        <v>12307</v>
      </c>
      <c r="RCA1" s="9" t="s">
        <v>12308</v>
      </c>
      <c r="RCB1" s="9" t="s">
        <v>12309</v>
      </c>
      <c r="RCC1" s="9" t="s">
        <v>12310</v>
      </c>
      <c r="RCD1" s="9" t="s">
        <v>12311</v>
      </c>
      <c r="RCE1" s="9" t="s">
        <v>12312</v>
      </c>
      <c r="RCF1" s="9" t="s">
        <v>12313</v>
      </c>
      <c r="RCG1" s="9" t="s">
        <v>12314</v>
      </c>
      <c r="RCH1" s="9" t="s">
        <v>12315</v>
      </c>
      <c r="RCI1" s="9" t="s">
        <v>12316</v>
      </c>
      <c r="RCJ1" s="9" t="s">
        <v>12317</v>
      </c>
      <c r="RCK1" s="9" t="s">
        <v>12318</v>
      </c>
      <c r="RCL1" s="9" t="s">
        <v>12319</v>
      </c>
      <c r="RCM1" s="9" t="s">
        <v>12320</v>
      </c>
      <c r="RCN1" s="9" t="s">
        <v>12321</v>
      </c>
      <c r="RCO1" s="9" t="s">
        <v>12322</v>
      </c>
      <c r="RCP1" s="9" t="s">
        <v>12323</v>
      </c>
      <c r="RCQ1" s="9" t="s">
        <v>12324</v>
      </c>
      <c r="RCR1" s="9" t="s">
        <v>12325</v>
      </c>
      <c r="RCS1" s="9" t="s">
        <v>12326</v>
      </c>
      <c r="RCT1" s="9" t="s">
        <v>12327</v>
      </c>
      <c r="RCU1" s="9" t="s">
        <v>12328</v>
      </c>
      <c r="RCV1" s="9" t="s">
        <v>12329</v>
      </c>
      <c r="RCW1" s="9" t="s">
        <v>12330</v>
      </c>
      <c r="RCX1" s="9" t="s">
        <v>12331</v>
      </c>
      <c r="RCY1" s="9" t="s">
        <v>12332</v>
      </c>
      <c r="RCZ1" s="9" t="s">
        <v>12333</v>
      </c>
      <c r="RDA1" s="9" t="s">
        <v>12334</v>
      </c>
      <c r="RDB1" s="9" t="s">
        <v>12335</v>
      </c>
      <c r="RDC1" s="9" t="s">
        <v>12336</v>
      </c>
      <c r="RDD1" s="9" t="s">
        <v>12337</v>
      </c>
      <c r="RDE1" s="9" t="s">
        <v>12338</v>
      </c>
      <c r="RDF1" s="9" t="s">
        <v>12339</v>
      </c>
      <c r="RDG1" s="9" t="s">
        <v>12340</v>
      </c>
      <c r="RDH1" s="9" t="s">
        <v>12341</v>
      </c>
      <c r="RDI1" s="9" t="s">
        <v>12342</v>
      </c>
      <c r="RDJ1" s="9" t="s">
        <v>12343</v>
      </c>
      <c r="RDK1" s="9" t="s">
        <v>12344</v>
      </c>
      <c r="RDL1" s="9" t="s">
        <v>12345</v>
      </c>
      <c r="RDM1" s="9" t="s">
        <v>12346</v>
      </c>
      <c r="RDN1" s="9" t="s">
        <v>12347</v>
      </c>
      <c r="RDO1" s="9" t="s">
        <v>12348</v>
      </c>
      <c r="RDP1" s="9" t="s">
        <v>12349</v>
      </c>
      <c r="RDQ1" s="9" t="s">
        <v>12350</v>
      </c>
      <c r="RDR1" s="9" t="s">
        <v>12351</v>
      </c>
      <c r="RDS1" s="9" t="s">
        <v>12352</v>
      </c>
      <c r="RDT1" s="9" t="s">
        <v>12353</v>
      </c>
      <c r="RDU1" s="9" t="s">
        <v>12354</v>
      </c>
      <c r="RDV1" s="9" t="s">
        <v>12355</v>
      </c>
      <c r="RDW1" s="9" t="s">
        <v>12356</v>
      </c>
      <c r="RDX1" s="9" t="s">
        <v>12357</v>
      </c>
      <c r="RDY1" s="9" t="s">
        <v>12358</v>
      </c>
      <c r="RDZ1" s="9" t="s">
        <v>12359</v>
      </c>
      <c r="REA1" s="9" t="s">
        <v>12360</v>
      </c>
      <c r="REB1" s="9" t="s">
        <v>12361</v>
      </c>
      <c r="REC1" s="9" t="s">
        <v>12362</v>
      </c>
      <c r="RED1" s="9" t="s">
        <v>12363</v>
      </c>
      <c r="REE1" s="9" t="s">
        <v>12364</v>
      </c>
      <c r="REF1" s="9" t="s">
        <v>12365</v>
      </c>
      <c r="REG1" s="9" t="s">
        <v>12366</v>
      </c>
      <c r="REH1" s="9" t="s">
        <v>12367</v>
      </c>
      <c r="REI1" s="9" t="s">
        <v>12368</v>
      </c>
      <c r="REJ1" s="9" t="s">
        <v>12369</v>
      </c>
      <c r="REK1" s="9" t="s">
        <v>12370</v>
      </c>
      <c r="REL1" s="9" t="s">
        <v>12371</v>
      </c>
      <c r="REM1" s="9" t="s">
        <v>12372</v>
      </c>
      <c r="REN1" s="9" t="s">
        <v>12373</v>
      </c>
      <c r="REO1" s="9" t="s">
        <v>12374</v>
      </c>
      <c r="REP1" s="9" t="s">
        <v>12375</v>
      </c>
      <c r="REQ1" s="9" t="s">
        <v>12376</v>
      </c>
      <c r="RER1" s="9" t="s">
        <v>12377</v>
      </c>
      <c r="RES1" s="9" t="s">
        <v>12378</v>
      </c>
      <c r="RET1" s="9" t="s">
        <v>12379</v>
      </c>
      <c r="REU1" s="9" t="s">
        <v>12380</v>
      </c>
      <c r="REV1" s="9" t="s">
        <v>12381</v>
      </c>
      <c r="REW1" s="9" t="s">
        <v>12382</v>
      </c>
      <c r="REX1" s="9" t="s">
        <v>12383</v>
      </c>
      <c r="REY1" s="9" t="s">
        <v>12384</v>
      </c>
      <c r="REZ1" s="9" t="s">
        <v>12385</v>
      </c>
      <c r="RFA1" s="9" t="s">
        <v>12386</v>
      </c>
      <c r="RFB1" s="9" t="s">
        <v>12387</v>
      </c>
      <c r="RFC1" s="9" t="s">
        <v>12388</v>
      </c>
      <c r="RFD1" s="9" t="s">
        <v>12389</v>
      </c>
      <c r="RFE1" s="9" t="s">
        <v>12390</v>
      </c>
      <c r="RFF1" s="9" t="s">
        <v>12391</v>
      </c>
      <c r="RFG1" s="9" t="s">
        <v>12392</v>
      </c>
      <c r="RFH1" s="9" t="s">
        <v>12393</v>
      </c>
      <c r="RFI1" s="9" t="s">
        <v>12394</v>
      </c>
      <c r="RFJ1" s="9" t="s">
        <v>12395</v>
      </c>
      <c r="RFK1" s="9" t="s">
        <v>12396</v>
      </c>
      <c r="RFL1" s="9" t="s">
        <v>12397</v>
      </c>
      <c r="RFM1" s="9" t="s">
        <v>12398</v>
      </c>
      <c r="RFN1" s="9" t="s">
        <v>12399</v>
      </c>
      <c r="RFO1" s="9" t="s">
        <v>12400</v>
      </c>
      <c r="RFP1" s="9" t="s">
        <v>12401</v>
      </c>
      <c r="RFQ1" s="9" t="s">
        <v>12402</v>
      </c>
      <c r="RFR1" s="9" t="s">
        <v>12403</v>
      </c>
      <c r="RFS1" s="9" t="s">
        <v>12404</v>
      </c>
      <c r="RFT1" s="9" t="s">
        <v>12405</v>
      </c>
      <c r="RFU1" s="9" t="s">
        <v>12406</v>
      </c>
      <c r="RFV1" s="9" t="s">
        <v>12407</v>
      </c>
      <c r="RFW1" s="9" t="s">
        <v>12408</v>
      </c>
      <c r="RFX1" s="9" t="s">
        <v>12409</v>
      </c>
      <c r="RFY1" s="9" t="s">
        <v>12410</v>
      </c>
      <c r="RFZ1" s="9" t="s">
        <v>12411</v>
      </c>
      <c r="RGA1" s="9" t="s">
        <v>12412</v>
      </c>
      <c r="RGB1" s="9" t="s">
        <v>12413</v>
      </c>
      <c r="RGC1" s="9" t="s">
        <v>12414</v>
      </c>
      <c r="RGD1" s="9" t="s">
        <v>12415</v>
      </c>
      <c r="RGE1" s="9" t="s">
        <v>12416</v>
      </c>
      <c r="RGF1" s="9" t="s">
        <v>12417</v>
      </c>
      <c r="RGG1" s="9" t="s">
        <v>12418</v>
      </c>
      <c r="RGH1" s="9" t="s">
        <v>12419</v>
      </c>
      <c r="RGI1" s="9" t="s">
        <v>12420</v>
      </c>
      <c r="RGJ1" s="9" t="s">
        <v>12421</v>
      </c>
      <c r="RGK1" s="9" t="s">
        <v>12422</v>
      </c>
      <c r="RGL1" s="9" t="s">
        <v>12423</v>
      </c>
      <c r="RGM1" s="9" t="s">
        <v>12424</v>
      </c>
      <c r="RGN1" s="9" t="s">
        <v>12425</v>
      </c>
      <c r="RGO1" s="9" t="s">
        <v>12426</v>
      </c>
      <c r="RGP1" s="9" t="s">
        <v>12427</v>
      </c>
      <c r="RGQ1" s="9" t="s">
        <v>12428</v>
      </c>
      <c r="RGR1" s="9" t="s">
        <v>12429</v>
      </c>
      <c r="RGS1" s="9" t="s">
        <v>12430</v>
      </c>
      <c r="RGT1" s="9" t="s">
        <v>12431</v>
      </c>
      <c r="RGU1" s="9" t="s">
        <v>12432</v>
      </c>
      <c r="RGV1" s="9" t="s">
        <v>12433</v>
      </c>
      <c r="RGW1" s="9" t="s">
        <v>12434</v>
      </c>
      <c r="RGX1" s="9" t="s">
        <v>12435</v>
      </c>
      <c r="RGY1" s="9" t="s">
        <v>12436</v>
      </c>
      <c r="RGZ1" s="9" t="s">
        <v>12437</v>
      </c>
      <c r="RHA1" s="9" t="s">
        <v>12438</v>
      </c>
      <c r="RHB1" s="9" t="s">
        <v>12439</v>
      </c>
      <c r="RHC1" s="9" t="s">
        <v>12440</v>
      </c>
      <c r="RHD1" s="9" t="s">
        <v>12441</v>
      </c>
      <c r="RHE1" s="9" t="s">
        <v>12442</v>
      </c>
      <c r="RHF1" s="9" t="s">
        <v>12443</v>
      </c>
      <c r="RHG1" s="9" t="s">
        <v>12444</v>
      </c>
      <c r="RHH1" s="9" t="s">
        <v>12445</v>
      </c>
      <c r="RHI1" s="9" t="s">
        <v>12446</v>
      </c>
      <c r="RHJ1" s="9" t="s">
        <v>12447</v>
      </c>
      <c r="RHK1" s="9" t="s">
        <v>12448</v>
      </c>
      <c r="RHL1" s="9" t="s">
        <v>12449</v>
      </c>
      <c r="RHM1" s="9" t="s">
        <v>12450</v>
      </c>
      <c r="RHN1" s="9" t="s">
        <v>12451</v>
      </c>
      <c r="RHO1" s="9" t="s">
        <v>12452</v>
      </c>
      <c r="RHP1" s="9" t="s">
        <v>12453</v>
      </c>
      <c r="RHQ1" s="9" t="s">
        <v>12454</v>
      </c>
      <c r="RHR1" s="9" t="s">
        <v>12455</v>
      </c>
      <c r="RHS1" s="9" t="s">
        <v>12456</v>
      </c>
      <c r="RHT1" s="9" t="s">
        <v>12457</v>
      </c>
      <c r="RHU1" s="9" t="s">
        <v>12458</v>
      </c>
      <c r="RHV1" s="9" t="s">
        <v>12459</v>
      </c>
      <c r="RHW1" s="9" t="s">
        <v>12460</v>
      </c>
      <c r="RHX1" s="9" t="s">
        <v>12461</v>
      </c>
      <c r="RHY1" s="9" t="s">
        <v>12462</v>
      </c>
      <c r="RHZ1" s="9" t="s">
        <v>12463</v>
      </c>
      <c r="RIA1" s="9" t="s">
        <v>12464</v>
      </c>
      <c r="RIB1" s="9" t="s">
        <v>12465</v>
      </c>
      <c r="RIC1" s="9" t="s">
        <v>12466</v>
      </c>
      <c r="RID1" s="9" t="s">
        <v>12467</v>
      </c>
      <c r="RIE1" s="9" t="s">
        <v>12468</v>
      </c>
      <c r="RIF1" s="9" t="s">
        <v>12469</v>
      </c>
      <c r="RIG1" s="9" t="s">
        <v>12470</v>
      </c>
      <c r="RIH1" s="9" t="s">
        <v>12471</v>
      </c>
      <c r="RII1" s="9" t="s">
        <v>12472</v>
      </c>
      <c r="RIJ1" s="9" t="s">
        <v>12473</v>
      </c>
      <c r="RIK1" s="9" t="s">
        <v>12474</v>
      </c>
      <c r="RIL1" s="9" t="s">
        <v>12475</v>
      </c>
      <c r="RIM1" s="9" t="s">
        <v>12476</v>
      </c>
      <c r="RIN1" s="9" t="s">
        <v>12477</v>
      </c>
      <c r="RIO1" s="9" t="s">
        <v>12478</v>
      </c>
      <c r="RIP1" s="9" t="s">
        <v>12479</v>
      </c>
      <c r="RIQ1" s="9" t="s">
        <v>12480</v>
      </c>
      <c r="RIR1" s="9" t="s">
        <v>12481</v>
      </c>
      <c r="RIS1" s="9" t="s">
        <v>12482</v>
      </c>
      <c r="RIT1" s="9" t="s">
        <v>12483</v>
      </c>
      <c r="RIU1" s="9" t="s">
        <v>12484</v>
      </c>
      <c r="RIV1" s="9" t="s">
        <v>12485</v>
      </c>
      <c r="RIW1" s="9" t="s">
        <v>12486</v>
      </c>
      <c r="RIX1" s="9" t="s">
        <v>12487</v>
      </c>
      <c r="RIY1" s="9" t="s">
        <v>12488</v>
      </c>
      <c r="RIZ1" s="9" t="s">
        <v>12489</v>
      </c>
      <c r="RJA1" s="9" t="s">
        <v>12490</v>
      </c>
      <c r="RJB1" s="9" t="s">
        <v>12491</v>
      </c>
      <c r="RJC1" s="9" t="s">
        <v>12492</v>
      </c>
      <c r="RJD1" s="9" t="s">
        <v>12493</v>
      </c>
      <c r="RJE1" s="9" t="s">
        <v>12494</v>
      </c>
      <c r="RJF1" s="9" t="s">
        <v>12495</v>
      </c>
      <c r="RJG1" s="9" t="s">
        <v>12496</v>
      </c>
      <c r="RJH1" s="9" t="s">
        <v>12497</v>
      </c>
      <c r="RJI1" s="9" t="s">
        <v>12498</v>
      </c>
      <c r="RJJ1" s="9" t="s">
        <v>12499</v>
      </c>
      <c r="RJK1" s="9" t="s">
        <v>12500</v>
      </c>
      <c r="RJL1" s="9" t="s">
        <v>12501</v>
      </c>
      <c r="RJM1" s="9" t="s">
        <v>12502</v>
      </c>
      <c r="RJN1" s="9" t="s">
        <v>12503</v>
      </c>
      <c r="RJO1" s="9" t="s">
        <v>12504</v>
      </c>
      <c r="RJP1" s="9" t="s">
        <v>12505</v>
      </c>
      <c r="RJQ1" s="9" t="s">
        <v>12506</v>
      </c>
      <c r="RJR1" s="9" t="s">
        <v>12507</v>
      </c>
      <c r="RJS1" s="9" t="s">
        <v>12508</v>
      </c>
      <c r="RJT1" s="9" t="s">
        <v>12509</v>
      </c>
      <c r="RJU1" s="9" t="s">
        <v>12510</v>
      </c>
      <c r="RJV1" s="9" t="s">
        <v>12511</v>
      </c>
      <c r="RJW1" s="9" t="s">
        <v>12512</v>
      </c>
      <c r="RJX1" s="9" t="s">
        <v>12513</v>
      </c>
      <c r="RJY1" s="9" t="s">
        <v>12514</v>
      </c>
      <c r="RJZ1" s="9" t="s">
        <v>12515</v>
      </c>
      <c r="RKA1" s="9" t="s">
        <v>12516</v>
      </c>
      <c r="RKB1" s="9" t="s">
        <v>12517</v>
      </c>
      <c r="RKC1" s="9" t="s">
        <v>12518</v>
      </c>
      <c r="RKD1" s="9" t="s">
        <v>12519</v>
      </c>
      <c r="RKE1" s="9" t="s">
        <v>12520</v>
      </c>
      <c r="RKF1" s="9" t="s">
        <v>12521</v>
      </c>
      <c r="RKG1" s="9" t="s">
        <v>12522</v>
      </c>
      <c r="RKH1" s="9" t="s">
        <v>12523</v>
      </c>
      <c r="RKI1" s="9" t="s">
        <v>12524</v>
      </c>
      <c r="RKJ1" s="9" t="s">
        <v>12525</v>
      </c>
      <c r="RKK1" s="9" t="s">
        <v>12526</v>
      </c>
      <c r="RKL1" s="9" t="s">
        <v>12527</v>
      </c>
      <c r="RKM1" s="9" t="s">
        <v>12528</v>
      </c>
      <c r="RKN1" s="9" t="s">
        <v>12529</v>
      </c>
      <c r="RKO1" s="9" t="s">
        <v>12530</v>
      </c>
      <c r="RKP1" s="9" t="s">
        <v>12531</v>
      </c>
      <c r="RKQ1" s="9" t="s">
        <v>12532</v>
      </c>
      <c r="RKR1" s="9" t="s">
        <v>12533</v>
      </c>
      <c r="RKS1" s="9" t="s">
        <v>12534</v>
      </c>
      <c r="RKT1" s="9" t="s">
        <v>12535</v>
      </c>
      <c r="RKU1" s="9" t="s">
        <v>12536</v>
      </c>
      <c r="RKV1" s="9" t="s">
        <v>12537</v>
      </c>
      <c r="RKW1" s="9" t="s">
        <v>12538</v>
      </c>
      <c r="RKX1" s="9" t="s">
        <v>12539</v>
      </c>
      <c r="RKY1" s="9" t="s">
        <v>12540</v>
      </c>
      <c r="RKZ1" s="9" t="s">
        <v>12541</v>
      </c>
      <c r="RLA1" s="9" t="s">
        <v>12542</v>
      </c>
      <c r="RLB1" s="9" t="s">
        <v>12543</v>
      </c>
      <c r="RLC1" s="9" t="s">
        <v>12544</v>
      </c>
      <c r="RLD1" s="9" t="s">
        <v>12545</v>
      </c>
      <c r="RLE1" s="9" t="s">
        <v>12546</v>
      </c>
      <c r="RLF1" s="9" t="s">
        <v>12547</v>
      </c>
      <c r="RLG1" s="9" t="s">
        <v>12548</v>
      </c>
      <c r="RLH1" s="9" t="s">
        <v>12549</v>
      </c>
      <c r="RLI1" s="9" t="s">
        <v>12550</v>
      </c>
      <c r="RLJ1" s="9" t="s">
        <v>12551</v>
      </c>
      <c r="RLK1" s="9" t="s">
        <v>12552</v>
      </c>
      <c r="RLL1" s="9" t="s">
        <v>12553</v>
      </c>
      <c r="RLM1" s="9" t="s">
        <v>12554</v>
      </c>
      <c r="RLN1" s="9" t="s">
        <v>12555</v>
      </c>
      <c r="RLO1" s="9" t="s">
        <v>12556</v>
      </c>
      <c r="RLP1" s="9" t="s">
        <v>12557</v>
      </c>
      <c r="RLQ1" s="9" t="s">
        <v>12558</v>
      </c>
      <c r="RLR1" s="9" t="s">
        <v>12559</v>
      </c>
      <c r="RLS1" s="9" t="s">
        <v>12560</v>
      </c>
      <c r="RLT1" s="9" t="s">
        <v>12561</v>
      </c>
      <c r="RLU1" s="9" t="s">
        <v>12562</v>
      </c>
      <c r="RLV1" s="9" t="s">
        <v>12563</v>
      </c>
      <c r="RLW1" s="9" t="s">
        <v>12564</v>
      </c>
      <c r="RLX1" s="9" t="s">
        <v>12565</v>
      </c>
      <c r="RLY1" s="9" t="s">
        <v>12566</v>
      </c>
      <c r="RLZ1" s="9" t="s">
        <v>12567</v>
      </c>
      <c r="RMA1" s="9" t="s">
        <v>12568</v>
      </c>
      <c r="RMB1" s="9" t="s">
        <v>12569</v>
      </c>
      <c r="RMC1" s="9" t="s">
        <v>12570</v>
      </c>
      <c r="RMD1" s="9" t="s">
        <v>12571</v>
      </c>
      <c r="RME1" s="9" t="s">
        <v>12572</v>
      </c>
      <c r="RMF1" s="9" t="s">
        <v>12573</v>
      </c>
      <c r="RMG1" s="9" t="s">
        <v>12574</v>
      </c>
      <c r="RMH1" s="9" t="s">
        <v>12575</v>
      </c>
      <c r="RMI1" s="9" t="s">
        <v>12576</v>
      </c>
      <c r="RMJ1" s="9" t="s">
        <v>12577</v>
      </c>
      <c r="RMK1" s="9" t="s">
        <v>12578</v>
      </c>
      <c r="RML1" s="9" t="s">
        <v>12579</v>
      </c>
      <c r="RMM1" s="9" t="s">
        <v>12580</v>
      </c>
      <c r="RMN1" s="9" t="s">
        <v>12581</v>
      </c>
      <c r="RMO1" s="9" t="s">
        <v>12582</v>
      </c>
      <c r="RMP1" s="9" t="s">
        <v>12583</v>
      </c>
      <c r="RMQ1" s="9" t="s">
        <v>12584</v>
      </c>
      <c r="RMR1" s="9" t="s">
        <v>12585</v>
      </c>
      <c r="RMS1" s="9" t="s">
        <v>12586</v>
      </c>
      <c r="RMT1" s="9" t="s">
        <v>12587</v>
      </c>
      <c r="RMU1" s="9" t="s">
        <v>12588</v>
      </c>
      <c r="RMV1" s="9" t="s">
        <v>12589</v>
      </c>
      <c r="RMW1" s="9" t="s">
        <v>12590</v>
      </c>
      <c r="RMX1" s="9" t="s">
        <v>12591</v>
      </c>
      <c r="RMY1" s="9" t="s">
        <v>12592</v>
      </c>
      <c r="RMZ1" s="9" t="s">
        <v>12593</v>
      </c>
      <c r="RNA1" s="9" t="s">
        <v>12594</v>
      </c>
      <c r="RNB1" s="9" t="s">
        <v>12595</v>
      </c>
      <c r="RNC1" s="9" t="s">
        <v>12596</v>
      </c>
      <c r="RND1" s="9" t="s">
        <v>12597</v>
      </c>
      <c r="RNE1" s="9" t="s">
        <v>12598</v>
      </c>
      <c r="RNF1" s="9" t="s">
        <v>12599</v>
      </c>
      <c r="RNG1" s="9" t="s">
        <v>12600</v>
      </c>
      <c r="RNH1" s="9" t="s">
        <v>12601</v>
      </c>
      <c r="RNI1" s="9" t="s">
        <v>12602</v>
      </c>
      <c r="RNJ1" s="9" t="s">
        <v>12603</v>
      </c>
      <c r="RNK1" s="9" t="s">
        <v>12604</v>
      </c>
      <c r="RNL1" s="9" t="s">
        <v>12605</v>
      </c>
      <c r="RNM1" s="9" t="s">
        <v>12606</v>
      </c>
      <c r="RNN1" s="9" t="s">
        <v>12607</v>
      </c>
      <c r="RNO1" s="9" t="s">
        <v>12608</v>
      </c>
      <c r="RNP1" s="9" t="s">
        <v>12609</v>
      </c>
      <c r="RNQ1" s="9" t="s">
        <v>12610</v>
      </c>
      <c r="RNR1" s="9" t="s">
        <v>12611</v>
      </c>
      <c r="RNS1" s="9" t="s">
        <v>12612</v>
      </c>
      <c r="RNT1" s="9" t="s">
        <v>12613</v>
      </c>
      <c r="RNU1" s="9" t="s">
        <v>12614</v>
      </c>
      <c r="RNV1" s="9" t="s">
        <v>12615</v>
      </c>
      <c r="RNW1" s="9" t="s">
        <v>12616</v>
      </c>
      <c r="RNX1" s="9" t="s">
        <v>12617</v>
      </c>
      <c r="RNY1" s="9" t="s">
        <v>12618</v>
      </c>
      <c r="RNZ1" s="9" t="s">
        <v>12619</v>
      </c>
      <c r="ROA1" s="9" t="s">
        <v>12620</v>
      </c>
      <c r="ROB1" s="9" t="s">
        <v>12621</v>
      </c>
      <c r="ROC1" s="9" t="s">
        <v>12622</v>
      </c>
      <c r="ROD1" s="9" t="s">
        <v>12623</v>
      </c>
      <c r="ROE1" s="9" t="s">
        <v>12624</v>
      </c>
      <c r="ROF1" s="9" t="s">
        <v>12625</v>
      </c>
      <c r="ROG1" s="9" t="s">
        <v>12626</v>
      </c>
      <c r="ROH1" s="9" t="s">
        <v>12627</v>
      </c>
      <c r="ROI1" s="9" t="s">
        <v>12628</v>
      </c>
      <c r="ROJ1" s="9" t="s">
        <v>12629</v>
      </c>
      <c r="ROK1" s="9" t="s">
        <v>12630</v>
      </c>
      <c r="ROL1" s="9" t="s">
        <v>12631</v>
      </c>
      <c r="ROM1" s="9" t="s">
        <v>12632</v>
      </c>
      <c r="RON1" s="9" t="s">
        <v>12633</v>
      </c>
      <c r="ROO1" s="9" t="s">
        <v>12634</v>
      </c>
      <c r="ROP1" s="9" t="s">
        <v>12635</v>
      </c>
      <c r="ROQ1" s="9" t="s">
        <v>12636</v>
      </c>
      <c r="ROR1" s="9" t="s">
        <v>12637</v>
      </c>
      <c r="ROS1" s="9" t="s">
        <v>12638</v>
      </c>
      <c r="ROT1" s="9" t="s">
        <v>12639</v>
      </c>
      <c r="ROU1" s="9" t="s">
        <v>12640</v>
      </c>
      <c r="ROV1" s="9" t="s">
        <v>12641</v>
      </c>
      <c r="ROW1" s="9" t="s">
        <v>12642</v>
      </c>
      <c r="ROX1" s="9" t="s">
        <v>12643</v>
      </c>
      <c r="ROY1" s="9" t="s">
        <v>12644</v>
      </c>
      <c r="ROZ1" s="9" t="s">
        <v>12645</v>
      </c>
      <c r="RPA1" s="9" t="s">
        <v>12646</v>
      </c>
      <c r="RPB1" s="9" t="s">
        <v>12647</v>
      </c>
      <c r="RPC1" s="9" t="s">
        <v>12648</v>
      </c>
      <c r="RPD1" s="9" t="s">
        <v>12649</v>
      </c>
      <c r="RPE1" s="9" t="s">
        <v>12650</v>
      </c>
      <c r="RPF1" s="9" t="s">
        <v>12651</v>
      </c>
      <c r="RPG1" s="9" t="s">
        <v>12652</v>
      </c>
      <c r="RPH1" s="9" t="s">
        <v>12653</v>
      </c>
      <c r="RPI1" s="9" t="s">
        <v>12654</v>
      </c>
      <c r="RPJ1" s="9" t="s">
        <v>12655</v>
      </c>
      <c r="RPK1" s="9" t="s">
        <v>12656</v>
      </c>
      <c r="RPL1" s="9" t="s">
        <v>12657</v>
      </c>
      <c r="RPM1" s="9" t="s">
        <v>12658</v>
      </c>
      <c r="RPN1" s="9" t="s">
        <v>12659</v>
      </c>
      <c r="RPO1" s="9" t="s">
        <v>12660</v>
      </c>
      <c r="RPP1" s="9" t="s">
        <v>12661</v>
      </c>
      <c r="RPQ1" s="9" t="s">
        <v>12662</v>
      </c>
      <c r="RPR1" s="9" t="s">
        <v>12663</v>
      </c>
      <c r="RPS1" s="9" t="s">
        <v>12664</v>
      </c>
      <c r="RPT1" s="9" t="s">
        <v>12665</v>
      </c>
      <c r="RPU1" s="9" t="s">
        <v>12666</v>
      </c>
      <c r="RPV1" s="9" t="s">
        <v>12667</v>
      </c>
      <c r="RPW1" s="9" t="s">
        <v>12668</v>
      </c>
      <c r="RPX1" s="9" t="s">
        <v>12669</v>
      </c>
      <c r="RPY1" s="9" t="s">
        <v>12670</v>
      </c>
      <c r="RPZ1" s="9" t="s">
        <v>12671</v>
      </c>
      <c r="RQA1" s="9" t="s">
        <v>12672</v>
      </c>
      <c r="RQB1" s="9" t="s">
        <v>12673</v>
      </c>
      <c r="RQC1" s="9" t="s">
        <v>12674</v>
      </c>
      <c r="RQD1" s="9" t="s">
        <v>12675</v>
      </c>
      <c r="RQE1" s="9" t="s">
        <v>12676</v>
      </c>
      <c r="RQF1" s="9" t="s">
        <v>12677</v>
      </c>
      <c r="RQG1" s="9" t="s">
        <v>12678</v>
      </c>
      <c r="RQH1" s="9" t="s">
        <v>12679</v>
      </c>
      <c r="RQI1" s="9" t="s">
        <v>12680</v>
      </c>
      <c r="RQJ1" s="9" t="s">
        <v>12681</v>
      </c>
      <c r="RQK1" s="9" t="s">
        <v>12682</v>
      </c>
      <c r="RQL1" s="9" t="s">
        <v>12683</v>
      </c>
      <c r="RQM1" s="9" t="s">
        <v>12684</v>
      </c>
      <c r="RQN1" s="9" t="s">
        <v>12685</v>
      </c>
      <c r="RQO1" s="9" t="s">
        <v>12686</v>
      </c>
      <c r="RQP1" s="9" t="s">
        <v>12687</v>
      </c>
      <c r="RQQ1" s="9" t="s">
        <v>12688</v>
      </c>
      <c r="RQR1" s="9" t="s">
        <v>12689</v>
      </c>
      <c r="RQS1" s="9" t="s">
        <v>12690</v>
      </c>
      <c r="RQT1" s="9" t="s">
        <v>12691</v>
      </c>
      <c r="RQU1" s="9" t="s">
        <v>12692</v>
      </c>
      <c r="RQV1" s="9" t="s">
        <v>12693</v>
      </c>
      <c r="RQW1" s="9" t="s">
        <v>12694</v>
      </c>
      <c r="RQX1" s="9" t="s">
        <v>12695</v>
      </c>
      <c r="RQY1" s="9" t="s">
        <v>12696</v>
      </c>
      <c r="RQZ1" s="9" t="s">
        <v>12697</v>
      </c>
      <c r="RRA1" s="9" t="s">
        <v>12698</v>
      </c>
      <c r="RRB1" s="9" t="s">
        <v>12699</v>
      </c>
      <c r="RRC1" s="9" t="s">
        <v>12700</v>
      </c>
      <c r="RRD1" s="9" t="s">
        <v>12701</v>
      </c>
      <c r="RRE1" s="9" t="s">
        <v>12702</v>
      </c>
      <c r="RRF1" s="9" t="s">
        <v>12703</v>
      </c>
      <c r="RRG1" s="9" t="s">
        <v>12704</v>
      </c>
      <c r="RRH1" s="9" t="s">
        <v>12705</v>
      </c>
      <c r="RRI1" s="9" t="s">
        <v>12706</v>
      </c>
      <c r="RRJ1" s="9" t="s">
        <v>12707</v>
      </c>
      <c r="RRK1" s="9" t="s">
        <v>12708</v>
      </c>
      <c r="RRL1" s="9" t="s">
        <v>12709</v>
      </c>
      <c r="RRM1" s="9" t="s">
        <v>12710</v>
      </c>
      <c r="RRN1" s="9" t="s">
        <v>12711</v>
      </c>
      <c r="RRO1" s="9" t="s">
        <v>12712</v>
      </c>
      <c r="RRP1" s="9" t="s">
        <v>12713</v>
      </c>
      <c r="RRQ1" s="9" t="s">
        <v>12714</v>
      </c>
      <c r="RRR1" s="9" t="s">
        <v>12715</v>
      </c>
      <c r="RRS1" s="9" t="s">
        <v>12716</v>
      </c>
      <c r="RRT1" s="9" t="s">
        <v>12717</v>
      </c>
      <c r="RRU1" s="9" t="s">
        <v>12718</v>
      </c>
      <c r="RRV1" s="9" t="s">
        <v>12719</v>
      </c>
      <c r="RRW1" s="9" t="s">
        <v>12720</v>
      </c>
      <c r="RRX1" s="9" t="s">
        <v>12721</v>
      </c>
      <c r="RRY1" s="9" t="s">
        <v>12722</v>
      </c>
      <c r="RRZ1" s="9" t="s">
        <v>12723</v>
      </c>
      <c r="RSA1" s="9" t="s">
        <v>12724</v>
      </c>
      <c r="RSB1" s="9" t="s">
        <v>12725</v>
      </c>
      <c r="RSC1" s="9" t="s">
        <v>12726</v>
      </c>
      <c r="RSD1" s="9" t="s">
        <v>12727</v>
      </c>
      <c r="RSE1" s="9" t="s">
        <v>12728</v>
      </c>
      <c r="RSF1" s="9" t="s">
        <v>12729</v>
      </c>
      <c r="RSG1" s="9" t="s">
        <v>12730</v>
      </c>
      <c r="RSH1" s="9" t="s">
        <v>12731</v>
      </c>
      <c r="RSI1" s="9" t="s">
        <v>12732</v>
      </c>
      <c r="RSJ1" s="9" t="s">
        <v>12733</v>
      </c>
      <c r="RSK1" s="9" t="s">
        <v>12734</v>
      </c>
      <c r="RSL1" s="9" t="s">
        <v>12735</v>
      </c>
      <c r="RSM1" s="9" t="s">
        <v>12736</v>
      </c>
      <c r="RSN1" s="9" t="s">
        <v>12737</v>
      </c>
      <c r="RSO1" s="9" t="s">
        <v>12738</v>
      </c>
      <c r="RSP1" s="9" t="s">
        <v>12739</v>
      </c>
      <c r="RSQ1" s="9" t="s">
        <v>12740</v>
      </c>
      <c r="RSR1" s="9" t="s">
        <v>12741</v>
      </c>
      <c r="RSS1" s="9" t="s">
        <v>12742</v>
      </c>
      <c r="RST1" s="9" t="s">
        <v>12743</v>
      </c>
      <c r="RSU1" s="9" t="s">
        <v>12744</v>
      </c>
      <c r="RSV1" s="9" t="s">
        <v>12745</v>
      </c>
      <c r="RSW1" s="9" t="s">
        <v>12746</v>
      </c>
      <c r="RSX1" s="9" t="s">
        <v>12747</v>
      </c>
      <c r="RSY1" s="9" t="s">
        <v>12748</v>
      </c>
      <c r="RSZ1" s="9" t="s">
        <v>12749</v>
      </c>
      <c r="RTA1" s="9" t="s">
        <v>12750</v>
      </c>
      <c r="RTB1" s="9" t="s">
        <v>12751</v>
      </c>
      <c r="RTC1" s="9" t="s">
        <v>12752</v>
      </c>
      <c r="RTD1" s="9" t="s">
        <v>12753</v>
      </c>
      <c r="RTE1" s="9" t="s">
        <v>12754</v>
      </c>
      <c r="RTF1" s="9" t="s">
        <v>12755</v>
      </c>
      <c r="RTG1" s="9" t="s">
        <v>12756</v>
      </c>
      <c r="RTH1" s="9" t="s">
        <v>12757</v>
      </c>
      <c r="RTI1" s="9" t="s">
        <v>12758</v>
      </c>
      <c r="RTJ1" s="9" t="s">
        <v>12759</v>
      </c>
      <c r="RTK1" s="9" t="s">
        <v>12760</v>
      </c>
      <c r="RTL1" s="9" t="s">
        <v>12761</v>
      </c>
      <c r="RTM1" s="9" t="s">
        <v>12762</v>
      </c>
      <c r="RTN1" s="9" t="s">
        <v>12763</v>
      </c>
      <c r="RTO1" s="9" t="s">
        <v>12764</v>
      </c>
      <c r="RTP1" s="9" t="s">
        <v>12765</v>
      </c>
      <c r="RTQ1" s="9" t="s">
        <v>12766</v>
      </c>
      <c r="RTR1" s="9" t="s">
        <v>12767</v>
      </c>
      <c r="RTS1" s="9" t="s">
        <v>12768</v>
      </c>
      <c r="RTT1" s="9" t="s">
        <v>12769</v>
      </c>
      <c r="RTU1" s="9" t="s">
        <v>12770</v>
      </c>
      <c r="RTV1" s="9" t="s">
        <v>12771</v>
      </c>
      <c r="RTW1" s="9" t="s">
        <v>12772</v>
      </c>
      <c r="RTX1" s="9" t="s">
        <v>12773</v>
      </c>
      <c r="RTY1" s="9" t="s">
        <v>12774</v>
      </c>
      <c r="RTZ1" s="9" t="s">
        <v>12775</v>
      </c>
      <c r="RUA1" s="9" t="s">
        <v>12776</v>
      </c>
      <c r="RUB1" s="9" t="s">
        <v>12777</v>
      </c>
      <c r="RUC1" s="9" t="s">
        <v>12778</v>
      </c>
      <c r="RUD1" s="9" t="s">
        <v>12779</v>
      </c>
      <c r="RUE1" s="9" t="s">
        <v>12780</v>
      </c>
      <c r="RUF1" s="9" t="s">
        <v>12781</v>
      </c>
      <c r="RUG1" s="9" t="s">
        <v>12782</v>
      </c>
      <c r="RUH1" s="9" t="s">
        <v>12783</v>
      </c>
      <c r="RUI1" s="9" t="s">
        <v>12784</v>
      </c>
      <c r="RUJ1" s="9" t="s">
        <v>12785</v>
      </c>
      <c r="RUK1" s="9" t="s">
        <v>12786</v>
      </c>
      <c r="RUL1" s="9" t="s">
        <v>12787</v>
      </c>
      <c r="RUM1" s="9" t="s">
        <v>12788</v>
      </c>
      <c r="RUN1" s="9" t="s">
        <v>12789</v>
      </c>
      <c r="RUO1" s="9" t="s">
        <v>12790</v>
      </c>
      <c r="RUP1" s="9" t="s">
        <v>12791</v>
      </c>
      <c r="RUQ1" s="9" t="s">
        <v>12792</v>
      </c>
      <c r="RUR1" s="9" t="s">
        <v>12793</v>
      </c>
      <c r="RUS1" s="9" t="s">
        <v>12794</v>
      </c>
      <c r="RUT1" s="9" t="s">
        <v>12795</v>
      </c>
      <c r="RUU1" s="9" t="s">
        <v>12796</v>
      </c>
      <c r="RUV1" s="9" t="s">
        <v>12797</v>
      </c>
      <c r="RUW1" s="9" t="s">
        <v>12798</v>
      </c>
      <c r="RUX1" s="9" t="s">
        <v>12799</v>
      </c>
      <c r="RUY1" s="9" t="s">
        <v>12800</v>
      </c>
      <c r="RUZ1" s="9" t="s">
        <v>12801</v>
      </c>
      <c r="RVA1" s="9" t="s">
        <v>12802</v>
      </c>
      <c r="RVB1" s="9" t="s">
        <v>12803</v>
      </c>
      <c r="RVC1" s="9" t="s">
        <v>12804</v>
      </c>
      <c r="RVD1" s="9" t="s">
        <v>12805</v>
      </c>
      <c r="RVE1" s="9" t="s">
        <v>12806</v>
      </c>
      <c r="RVF1" s="9" t="s">
        <v>12807</v>
      </c>
      <c r="RVG1" s="9" t="s">
        <v>12808</v>
      </c>
      <c r="RVH1" s="9" t="s">
        <v>12809</v>
      </c>
      <c r="RVI1" s="9" t="s">
        <v>12810</v>
      </c>
      <c r="RVJ1" s="9" t="s">
        <v>12811</v>
      </c>
      <c r="RVK1" s="9" t="s">
        <v>12812</v>
      </c>
      <c r="RVL1" s="9" t="s">
        <v>12813</v>
      </c>
      <c r="RVM1" s="9" t="s">
        <v>12814</v>
      </c>
      <c r="RVN1" s="9" t="s">
        <v>12815</v>
      </c>
      <c r="RVO1" s="9" t="s">
        <v>12816</v>
      </c>
      <c r="RVP1" s="9" t="s">
        <v>12817</v>
      </c>
      <c r="RVQ1" s="9" t="s">
        <v>12818</v>
      </c>
      <c r="RVR1" s="9" t="s">
        <v>12819</v>
      </c>
      <c r="RVS1" s="9" t="s">
        <v>12820</v>
      </c>
      <c r="RVT1" s="9" t="s">
        <v>12821</v>
      </c>
      <c r="RVU1" s="9" t="s">
        <v>12822</v>
      </c>
      <c r="RVV1" s="9" t="s">
        <v>12823</v>
      </c>
      <c r="RVW1" s="9" t="s">
        <v>12824</v>
      </c>
      <c r="RVX1" s="9" t="s">
        <v>12825</v>
      </c>
      <c r="RVY1" s="9" t="s">
        <v>12826</v>
      </c>
      <c r="RVZ1" s="9" t="s">
        <v>12827</v>
      </c>
      <c r="RWA1" s="9" t="s">
        <v>12828</v>
      </c>
      <c r="RWB1" s="9" t="s">
        <v>12829</v>
      </c>
      <c r="RWC1" s="9" t="s">
        <v>12830</v>
      </c>
      <c r="RWD1" s="9" t="s">
        <v>12831</v>
      </c>
      <c r="RWE1" s="9" t="s">
        <v>12832</v>
      </c>
      <c r="RWF1" s="9" t="s">
        <v>12833</v>
      </c>
      <c r="RWG1" s="9" t="s">
        <v>12834</v>
      </c>
      <c r="RWH1" s="9" t="s">
        <v>12835</v>
      </c>
      <c r="RWI1" s="9" t="s">
        <v>12836</v>
      </c>
      <c r="RWJ1" s="9" t="s">
        <v>12837</v>
      </c>
      <c r="RWK1" s="9" t="s">
        <v>12838</v>
      </c>
      <c r="RWL1" s="9" t="s">
        <v>12839</v>
      </c>
      <c r="RWM1" s="9" t="s">
        <v>12840</v>
      </c>
      <c r="RWN1" s="9" t="s">
        <v>12841</v>
      </c>
      <c r="RWO1" s="9" t="s">
        <v>12842</v>
      </c>
      <c r="RWP1" s="9" t="s">
        <v>12843</v>
      </c>
      <c r="RWQ1" s="9" t="s">
        <v>12844</v>
      </c>
      <c r="RWR1" s="9" t="s">
        <v>12845</v>
      </c>
      <c r="RWS1" s="9" t="s">
        <v>12846</v>
      </c>
      <c r="RWT1" s="9" t="s">
        <v>12847</v>
      </c>
      <c r="RWU1" s="9" t="s">
        <v>12848</v>
      </c>
      <c r="RWV1" s="9" t="s">
        <v>12849</v>
      </c>
      <c r="RWW1" s="9" t="s">
        <v>12850</v>
      </c>
      <c r="RWX1" s="9" t="s">
        <v>12851</v>
      </c>
      <c r="RWY1" s="9" t="s">
        <v>12852</v>
      </c>
      <c r="RWZ1" s="9" t="s">
        <v>12853</v>
      </c>
      <c r="RXA1" s="9" t="s">
        <v>12854</v>
      </c>
      <c r="RXB1" s="9" t="s">
        <v>12855</v>
      </c>
      <c r="RXC1" s="9" t="s">
        <v>12856</v>
      </c>
      <c r="RXD1" s="9" t="s">
        <v>12857</v>
      </c>
      <c r="RXE1" s="9" t="s">
        <v>12858</v>
      </c>
      <c r="RXF1" s="9" t="s">
        <v>12859</v>
      </c>
      <c r="RXG1" s="9" t="s">
        <v>12860</v>
      </c>
      <c r="RXH1" s="9" t="s">
        <v>12861</v>
      </c>
      <c r="RXI1" s="9" t="s">
        <v>12862</v>
      </c>
      <c r="RXJ1" s="9" t="s">
        <v>12863</v>
      </c>
      <c r="RXK1" s="9" t="s">
        <v>12864</v>
      </c>
      <c r="RXL1" s="9" t="s">
        <v>12865</v>
      </c>
      <c r="RXM1" s="9" t="s">
        <v>12866</v>
      </c>
      <c r="RXN1" s="9" t="s">
        <v>12867</v>
      </c>
      <c r="RXO1" s="9" t="s">
        <v>12868</v>
      </c>
      <c r="RXP1" s="9" t="s">
        <v>12869</v>
      </c>
      <c r="RXQ1" s="9" t="s">
        <v>12870</v>
      </c>
      <c r="RXR1" s="9" t="s">
        <v>12871</v>
      </c>
      <c r="RXS1" s="9" t="s">
        <v>12872</v>
      </c>
      <c r="RXT1" s="9" t="s">
        <v>12873</v>
      </c>
      <c r="RXU1" s="9" t="s">
        <v>12874</v>
      </c>
      <c r="RXV1" s="9" t="s">
        <v>12875</v>
      </c>
      <c r="RXW1" s="9" t="s">
        <v>12876</v>
      </c>
      <c r="RXX1" s="9" t="s">
        <v>12877</v>
      </c>
      <c r="RXY1" s="9" t="s">
        <v>12878</v>
      </c>
      <c r="RXZ1" s="9" t="s">
        <v>12879</v>
      </c>
      <c r="RYA1" s="9" t="s">
        <v>12880</v>
      </c>
      <c r="RYB1" s="9" t="s">
        <v>12881</v>
      </c>
      <c r="RYC1" s="9" t="s">
        <v>12882</v>
      </c>
      <c r="RYD1" s="9" t="s">
        <v>12883</v>
      </c>
      <c r="RYE1" s="9" t="s">
        <v>12884</v>
      </c>
      <c r="RYF1" s="9" t="s">
        <v>12885</v>
      </c>
      <c r="RYG1" s="9" t="s">
        <v>12886</v>
      </c>
      <c r="RYH1" s="9" t="s">
        <v>12887</v>
      </c>
      <c r="RYI1" s="9" t="s">
        <v>12888</v>
      </c>
      <c r="RYJ1" s="9" t="s">
        <v>12889</v>
      </c>
      <c r="RYK1" s="9" t="s">
        <v>12890</v>
      </c>
      <c r="RYL1" s="9" t="s">
        <v>12891</v>
      </c>
      <c r="RYM1" s="9" t="s">
        <v>12892</v>
      </c>
      <c r="RYN1" s="9" t="s">
        <v>12893</v>
      </c>
      <c r="RYO1" s="9" t="s">
        <v>12894</v>
      </c>
      <c r="RYP1" s="9" t="s">
        <v>12895</v>
      </c>
      <c r="RYQ1" s="9" t="s">
        <v>12896</v>
      </c>
      <c r="RYR1" s="9" t="s">
        <v>12897</v>
      </c>
      <c r="RYS1" s="9" t="s">
        <v>12898</v>
      </c>
      <c r="RYT1" s="9" t="s">
        <v>12899</v>
      </c>
      <c r="RYU1" s="9" t="s">
        <v>12900</v>
      </c>
      <c r="RYV1" s="9" t="s">
        <v>12901</v>
      </c>
      <c r="RYW1" s="9" t="s">
        <v>12902</v>
      </c>
      <c r="RYX1" s="9" t="s">
        <v>12903</v>
      </c>
      <c r="RYY1" s="9" t="s">
        <v>12904</v>
      </c>
      <c r="RYZ1" s="9" t="s">
        <v>12905</v>
      </c>
      <c r="RZA1" s="9" t="s">
        <v>12906</v>
      </c>
      <c r="RZB1" s="9" t="s">
        <v>12907</v>
      </c>
      <c r="RZC1" s="9" t="s">
        <v>12908</v>
      </c>
      <c r="RZD1" s="9" t="s">
        <v>12909</v>
      </c>
      <c r="RZE1" s="9" t="s">
        <v>12910</v>
      </c>
      <c r="RZF1" s="9" t="s">
        <v>12911</v>
      </c>
      <c r="RZG1" s="9" t="s">
        <v>12912</v>
      </c>
      <c r="RZH1" s="9" t="s">
        <v>12913</v>
      </c>
      <c r="RZI1" s="9" t="s">
        <v>12914</v>
      </c>
      <c r="RZJ1" s="9" t="s">
        <v>12915</v>
      </c>
      <c r="RZK1" s="9" t="s">
        <v>12916</v>
      </c>
      <c r="RZL1" s="9" t="s">
        <v>12917</v>
      </c>
      <c r="RZM1" s="9" t="s">
        <v>12918</v>
      </c>
      <c r="RZN1" s="9" t="s">
        <v>12919</v>
      </c>
      <c r="RZO1" s="9" t="s">
        <v>12920</v>
      </c>
      <c r="RZP1" s="9" t="s">
        <v>12921</v>
      </c>
      <c r="RZQ1" s="9" t="s">
        <v>12922</v>
      </c>
      <c r="RZR1" s="9" t="s">
        <v>12923</v>
      </c>
      <c r="RZS1" s="9" t="s">
        <v>12924</v>
      </c>
      <c r="RZT1" s="9" t="s">
        <v>12925</v>
      </c>
      <c r="RZU1" s="9" t="s">
        <v>12926</v>
      </c>
      <c r="RZV1" s="9" t="s">
        <v>12927</v>
      </c>
      <c r="RZW1" s="9" t="s">
        <v>12928</v>
      </c>
      <c r="RZX1" s="9" t="s">
        <v>12929</v>
      </c>
      <c r="RZY1" s="9" t="s">
        <v>12930</v>
      </c>
      <c r="RZZ1" s="9" t="s">
        <v>12931</v>
      </c>
      <c r="SAA1" s="9" t="s">
        <v>12932</v>
      </c>
      <c r="SAB1" s="9" t="s">
        <v>12933</v>
      </c>
      <c r="SAC1" s="9" t="s">
        <v>12934</v>
      </c>
      <c r="SAD1" s="9" t="s">
        <v>12935</v>
      </c>
      <c r="SAE1" s="9" t="s">
        <v>12936</v>
      </c>
      <c r="SAF1" s="9" t="s">
        <v>12937</v>
      </c>
      <c r="SAG1" s="9" t="s">
        <v>12938</v>
      </c>
      <c r="SAH1" s="9" t="s">
        <v>12939</v>
      </c>
      <c r="SAI1" s="9" t="s">
        <v>12940</v>
      </c>
      <c r="SAJ1" s="9" t="s">
        <v>12941</v>
      </c>
      <c r="SAK1" s="9" t="s">
        <v>12942</v>
      </c>
      <c r="SAL1" s="9" t="s">
        <v>12943</v>
      </c>
      <c r="SAM1" s="9" t="s">
        <v>12944</v>
      </c>
      <c r="SAN1" s="9" t="s">
        <v>12945</v>
      </c>
      <c r="SAO1" s="9" t="s">
        <v>12946</v>
      </c>
      <c r="SAP1" s="9" t="s">
        <v>12947</v>
      </c>
      <c r="SAQ1" s="9" t="s">
        <v>12948</v>
      </c>
      <c r="SAR1" s="9" t="s">
        <v>12949</v>
      </c>
      <c r="SAS1" s="9" t="s">
        <v>12950</v>
      </c>
      <c r="SAT1" s="9" t="s">
        <v>12951</v>
      </c>
      <c r="SAU1" s="9" t="s">
        <v>12952</v>
      </c>
      <c r="SAV1" s="9" t="s">
        <v>12953</v>
      </c>
      <c r="SAW1" s="9" t="s">
        <v>12954</v>
      </c>
      <c r="SAX1" s="9" t="s">
        <v>12955</v>
      </c>
      <c r="SAY1" s="9" t="s">
        <v>12956</v>
      </c>
      <c r="SAZ1" s="9" t="s">
        <v>12957</v>
      </c>
      <c r="SBA1" s="9" t="s">
        <v>12958</v>
      </c>
      <c r="SBB1" s="9" t="s">
        <v>12959</v>
      </c>
      <c r="SBC1" s="9" t="s">
        <v>12960</v>
      </c>
      <c r="SBD1" s="9" t="s">
        <v>12961</v>
      </c>
      <c r="SBE1" s="9" t="s">
        <v>12962</v>
      </c>
      <c r="SBF1" s="9" t="s">
        <v>12963</v>
      </c>
      <c r="SBG1" s="9" t="s">
        <v>12964</v>
      </c>
      <c r="SBH1" s="9" t="s">
        <v>12965</v>
      </c>
      <c r="SBI1" s="9" t="s">
        <v>12966</v>
      </c>
      <c r="SBJ1" s="9" t="s">
        <v>12967</v>
      </c>
      <c r="SBK1" s="9" t="s">
        <v>12968</v>
      </c>
      <c r="SBL1" s="9" t="s">
        <v>12969</v>
      </c>
      <c r="SBM1" s="9" t="s">
        <v>12970</v>
      </c>
      <c r="SBN1" s="9" t="s">
        <v>12971</v>
      </c>
      <c r="SBO1" s="9" t="s">
        <v>12972</v>
      </c>
      <c r="SBP1" s="9" t="s">
        <v>12973</v>
      </c>
      <c r="SBQ1" s="9" t="s">
        <v>12974</v>
      </c>
      <c r="SBR1" s="9" t="s">
        <v>12975</v>
      </c>
      <c r="SBS1" s="9" t="s">
        <v>12976</v>
      </c>
      <c r="SBT1" s="9" t="s">
        <v>12977</v>
      </c>
      <c r="SBU1" s="9" t="s">
        <v>12978</v>
      </c>
      <c r="SBV1" s="9" t="s">
        <v>12979</v>
      </c>
      <c r="SBW1" s="9" t="s">
        <v>12980</v>
      </c>
      <c r="SBX1" s="9" t="s">
        <v>12981</v>
      </c>
      <c r="SBY1" s="9" t="s">
        <v>12982</v>
      </c>
      <c r="SBZ1" s="9" t="s">
        <v>12983</v>
      </c>
      <c r="SCA1" s="9" t="s">
        <v>12984</v>
      </c>
      <c r="SCB1" s="9" t="s">
        <v>12985</v>
      </c>
      <c r="SCC1" s="9" t="s">
        <v>12986</v>
      </c>
      <c r="SCD1" s="9" t="s">
        <v>12987</v>
      </c>
      <c r="SCE1" s="9" t="s">
        <v>12988</v>
      </c>
      <c r="SCF1" s="9" t="s">
        <v>12989</v>
      </c>
      <c r="SCG1" s="9" t="s">
        <v>12990</v>
      </c>
      <c r="SCH1" s="9" t="s">
        <v>12991</v>
      </c>
      <c r="SCI1" s="9" t="s">
        <v>12992</v>
      </c>
      <c r="SCJ1" s="9" t="s">
        <v>12993</v>
      </c>
      <c r="SCK1" s="9" t="s">
        <v>12994</v>
      </c>
      <c r="SCL1" s="9" t="s">
        <v>12995</v>
      </c>
      <c r="SCM1" s="9" t="s">
        <v>12996</v>
      </c>
      <c r="SCN1" s="9" t="s">
        <v>12997</v>
      </c>
      <c r="SCO1" s="9" t="s">
        <v>12998</v>
      </c>
      <c r="SCP1" s="9" t="s">
        <v>12999</v>
      </c>
      <c r="SCQ1" s="9" t="s">
        <v>13000</v>
      </c>
      <c r="SCR1" s="9" t="s">
        <v>13001</v>
      </c>
      <c r="SCS1" s="9" t="s">
        <v>13002</v>
      </c>
      <c r="SCT1" s="9" t="s">
        <v>13003</v>
      </c>
      <c r="SCU1" s="9" t="s">
        <v>13004</v>
      </c>
      <c r="SCV1" s="9" t="s">
        <v>13005</v>
      </c>
      <c r="SCW1" s="9" t="s">
        <v>13006</v>
      </c>
      <c r="SCX1" s="9" t="s">
        <v>13007</v>
      </c>
      <c r="SCY1" s="9" t="s">
        <v>13008</v>
      </c>
      <c r="SCZ1" s="9" t="s">
        <v>13009</v>
      </c>
      <c r="SDA1" s="9" t="s">
        <v>13010</v>
      </c>
      <c r="SDB1" s="9" t="s">
        <v>13011</v>
      </c>
      <c r="SDC1" s="9" t="s">
        <v>13012</v>
      </c>
      <c r="SDD1" s="9" t="s">
        <v>13013</v>
      </c>
      <c r="SDE1" s="9" t="s">
        <v>13014</v>
      </c>
      <c r="SDF1" s="9" t="s">
        <v>13015</v>
      </c>
      <c r="SDG1" s="9" t="s">
        <v>13016</v>
      </c>
      <c r="SDH1" s="9" t="s">
        <v>13017</v>
      </c>
      <c r="SDI1" s="9" t="s">
        <v>13018</v>
      </c>
      <c r="SDJ1" s="9" t="s">
        <v>13019</v>
      </c>
      <c r="SDK1" s="9" t="s">
        <v>13020</v>
      </c>
      <c r="SDL1" s="9" t="s">
        <v>13021</v>
      </c>
      <c r="SDM1" s="9" t="s">
        <v>13022</v>
      </c>
      <c r="SDN1" s="9" t="s">
        <v>13023</v>
      </c>
      <c r="SDO1" s="9" t="s">
        <v>13024</v>
      </c>
      <c r="SDP1" s="9" t="s">
        <v>13025</v>
      </c>
      <c r="SDQ1" s="9" t="s">
        <v>13026</v>
      </c>
      <c r="SDR1" s="9" t="s">
        <v>13027</v>
      </c>
      <c r="SDS1" s="9" t="s">
        <v>13028</v>
      </c>
      <c r="SDT1" s="9" t="s">
        <v>13029</v>
      </c>
      <c r="SDU1" s="9" t="s">
        <v>13030</v>
      </c>
      <c r="SDV1" s="9" t="s">
        <v>13031</v>
      </c>
      <c r="SDW1" s="9" t="s">
        <v>13032</v>
      </c>
      <c r="SDX1" s="9" t="s">
        <v>13033</v>
      </c>
      <c r="SDY1" s="9" t="s">
        <v>13034</v>
      </c>
      <c r="SDZ1" s="9" t="s">
        <v>13035</v>
      </c>
      <c r="SEA1" s="9" t="s">
        <v>13036</v>
      </c>
      <c r="SEB1" s="9" t="s">
        <v>13037</v>
      </c>
      <c r="SEC1" s="9" t="s">
        <v>13038</v>
      </c>
      <c r="SED1" s="9" t="s">
        <v>13039</v>
      </c>
      <c r="SEE1" s="9" t="s">
        <v>13040</v>
      </c>
      <c r="SEF1" s="9" t="s">
        <v>13041</v>
      </c>
      <c r="SEG1" s="9" t="s">
        <v>13042</v>
      </c>
      <c r="SEH1" s="9" t="s">
        <v>13043</v>
      </c>
      <c r="SEI1" s="9" t="s">
        <v>13044</v>
      </c>
      <c r="SEJ1" s="9" t="s">
        <v>13045</v>
      </c>
      <c r="SEK1" s="9" t="s">
        <v>13046</v>
      </c>
      <c r="SEL1" s="9" t="s">
        <v>13047</v>
      </c>
      <c r="SEM1" s="9" t="s">
        <v>13048</v>
      </c>
      <c r="SEN1" s="9" t="s">
        <v>13049</v>
      </c>
      <c r="SEO1" s="9" t="s">
        <v>13050</v>
      </c>
      <c r="SEP1" s="9" t="s">
        <v>13051</v>
      </c>
      <c r="SEQ1" s="9" t="s">
        <v>13052</v>
      </c>
      <c r="SER1" s="9" t="s">
        <v>13053</v>
      </c>
      <c r="SES1" s="9" t="s">
        <v>13054</v>
      </c>
      <c r="SET1" s="9" t="s">
        <v>13055</v>
      </c>
      <c r="SEU1" s="9" t="s">
        <v>13056</v>
      </c>
      <c r="SEV1" s="9" t="s">
        <v>13057</v>
      </c>
      <c r="SEW1" s="9" t="s">
        <v>13058</v>
      </c>
      <c r="SEX1" s="9" t="s">
        <v>13059</v>
      </c>
      <c r="SEY1" s="9" t="s">
        <v>13060</v>
      </c>
      <c r="SEZ1" s="9" t="s">
        <v>13061</v>
      </c>
      <c r="SFA1" s="9" t="s">
        <v>13062</v>
      </c>
      <c r="SFB1" s="9" t="s">
        <v>13063</v>
      </c>
      <c r="SFC1" s="9" t="s">
        <v>13064</v>
      </c>
      <c r="SFD1" s="9" t="s">
        <v>13065</v>
      </c>
      <c r="SFE1" s="9" t="s">
        <v>13066</v>
      </c>
      <c r="SFF1" s="9" t="s">
        <v>13067</v>
      </c>
      <c r="SFG1" s="9" t="s">
        <v>13068</v>
      </c>
      <c r="SFH1" s="9" t="s">
        <v>13069</v>
      </c>
      <c r="SFI1" s="9" t="s">
        <v>13070</v>
      </c>
      <c r="SFJ1" s="9" t="s">
        <v>13071</v>
      </c>
      <c r="SFK1" s="9" t="s">
        <v>13072</v>
      </c>
      <c r="SFL1" s="9" t="s">
        <v>13073</v>
      </c>
      <c r="SFM1" s="9" t="s">
        <v>13074</v>
      </c>
      <c r="SFN1" s="9" t="s">
        <v>13075</v>
      </c>
      <c r="SFO1" s="9" t="s">
        <v>13076</v>
      </c>
      <c r="SFP1" s="9" t="s">
        <v>13077</v>
      </c>
      <c r="SFQ1" s="9" t="s">
        <v>13078</v>
      </c>
      <c r="SFR1" s="9" t="s">
        <v>13079</v>
      </c>
      <c r="SFS1" s="9" t="s">
        <v>13080</v>
      </c>
      <c r="SFT1" s="9" t="s">
        <v>13081</v>
      </c>
      <c r="SFU1" s="9" t="s">
        <v>13082</v>
      </c>
      <c r="SFV1" s="9" t="s">
        <v>13083</v>
      </c>
      <c r="SFW1" s="9" t="s">
        <v>13084</v>
      </c>
      <c r="SFX1" s="9" t="s">
        <v>13085</v>
      </c>
      <c r="SFY1" s="9" t="s">
        <v>13086</v>
      </c>
      <c r="SFZ1" s="9" t="s">
        <v>13087</v>
      </c>
      <c r="SGA1" s="9" t="s">
        <v>13088</v>
      </c>
      <c r="SGB1" s="9" t="s">
        <v>13089</v>
      </c>
      <c r="SGC1" s="9" t="s">
        <v>13090</v>
      </c>
      <c r="SGD1" s="9" t="s">
        <v>13091</v>
      </c>
      <c r="SGE1" s="9" t="s">
        <v>13092</v>
      </c>
      <c r="SGF1" s="9" t="s">
        <v>13093</v>
      </c>
      <c r="SGG1" s="9" t="s">
        <v>13094</v>
      </c>
      <c r="SGH1" s="9" t="s">
        <v>13095</v>
      </c>
      <c r="SGI1" s="9" t="s">
        <v>13096</v>
      </c>
      <c r="SGJ1" s="9" t="s">
        <v>13097</v>
      </c>
      <c r="SGK1" s="9" t="s">
        <v>13098</v>
      </c>
      <c r="SGL1" s="9" t="s">
        <v>13099</v>
      </c>
      <c r="SGM1" s="9" t="s">
        <v>13100</v>
      </c>
      <c r="SGN1" s="9" t="s">
        <v>13101</v>
      </c>
      <c r="SGO1" s="9" t="s">
        <v>13102</v>
      </c>
      <c r="SGP1" s="9" t="s">
        <v>13103</v>
      </c>
      <c r="SGQ1" s="9" t="s">
        <v>13104</v>
      </c>
      <c r="SGR1" s="9" t="s">
        <v>13105</v>
      </c>
      <c r="SGS1" s="9" t="s">
        <v>13106</v>
      </c>
      <c r="SGT1" s="9" t="s">
        <v>13107</v>
      </c>
      <c r="SGU1" s="9" t="s">
        <v>13108</v>
      </c>
      <c r="SGV1" s="9" t="s">
        <v>13109</v>
      </c>
      <c r="SGW1" s="9" t="s">
        <v>13110</v>
      </c>
      <c r="SGX1" s="9" t="s">
        <v>13111</v>
      </c>
      <c r="SGY1" s="9" t="s">
        <v>13112</v>
      </c>
      <c r="SGZ1" s="9" t="s">
        <v>13113</v>
      </c>
      <c r="SHA1" s="9" t="s">
        <v>13114</v>
      </c>
      <c r="SHB1" s="9" t="s">
        <v>13115</v>
      </c>
      <c r="SHC1" s="9" t="s">
        <v>13116</v>
      </c>
      <c r="SHD1" s="9" t="s">
        <v>13117</v>
      </c>
      <c r="SHE1" s="9" t="s">
        <v>13118</v>
      </c>
      <c r="SHF1" s="9" t="s">
        <v>13119</v>
      </c>
      <c r="SHG1" s="9" t="s">
        <v>13120</v>
      </c>
      <c r="SHH1" s="9" t="s">
        <v>13121</v>
      </c>
      <c r="SHI1" s="9" t="s">
        <v>13122</v>
      </c>
      <c r="SHJ1" s="9" t="s">
        <v>13123</v>
      </c>
      <c r="SHK1" s="9" t="s">
        <v>13124</v>
      </c>
      <c r="SHL1" s="9" t="s">
        <v>13125</v>
      </c>
      <c r="SHM1" s="9" t="s">
        <v>13126</v>
      </c>
      <c r="SHN1" s="9" t="s">
        <v>13127</v>
      </c>
      <c r="SHO1" s="9" t="s">
        <v>13128</v>
      </c>
      <c r="SHP1" s="9" t="s">
        <v>13129</v>
      </c>
      <c r="SHQ1" s="9" t="s">
        <v>13130</v>
      </c>
      <c r="SHR1" s="9" t="s">
        <v>13131</v>
      </c>
      <c r="SHS1" s="9" t="s">
        <v>13132</v>
      </c>
      <c r="SHT1" s="9" t="s">
        <v>13133</v>
      </c>
      <c r="SHU1" s="9" t="s">
        <v>13134</v>
      </c>
      <c r="SHV1" s="9" t="s">
        <v>13135</v>
      </c>
      <c r="SHW1" s="9" t="s">
        <v>13136</v>
      </c>
      <c r="SHX1" s="9" t="s">
        <v>13137</v>
      </c>
      <c r="SHY1" s="9" t="s">
        <v>13138</v>
      </c>
      <c r="SHZ1" s="9" t="s">
        <v>13139</v>
      </c>
      <c r="SIA1" s="9" t="s">
        <v>13140</v>
      </c>
      <c r="SIB1" s="9" t="s">
        <v>13141</v>
      </c>
      <c r="SIC1" s="9" t="s">
        <v>13142</v>
      </c>
      <c r="SID1" s="9" t="s">
        <v>13143</v>
      </c>
      <c r="SIE1" s="9" t="s">
        <v>13144</v>
      </c>
      <c r="SIF1" s="9" t="s">
        <v>13145</v>
      </c>
      <c r="SIG1" s="9" t="s">
        <v>13146</v>
      </c>
      <c r="SIH1" s="9" t="s">
        <v>13147</v>
      </c>
      <c r="SII1" s="9" t="s">
        <v>13148</v>
      </c>
      <c r="SIJ1" s="9" t="s">
        <v>13149</v>
      </c>
      <c r="SIK1" s="9" t="s">
        <v>13150</v>
      </c>
      <c r="SIL1" s="9" t="s">
        <v>13151</v>
      </c>
      <c r="SIM1" s="9" t="s">
        <v>13152</v>
      </c>
      <c r="SIN1" s="9" t="s">
        <v>13153</v>
      </c>
      <c r="SIO1" s="9" t="s">
        <v>13154</v>
      </c>
      <c r="SIP1" s="9" t="s">
        <v>13155</v>
      </c>
      <c r="SIQ1" s="9" t="s">
        <v>13156</v>
      </c>
      <c r="SIR1" s="9" t="s">
        <v>13157</v>
      </c>
      <c r="SIS1" s="9" t="s">
        <v>13158</v>
      </c>
      <c r="SIT1" s="9" t="s">
        <v>13159</v>
      </c>
      <c r="SIU1" s="9" t="s">
        <v>13160</v>
      </c>
      <c r="SIV1" s="9" t="s">
        <v>13161</v>
      </c>
      <c r="SIW1" s="9" t="s">
        <v>13162</v>
      </c>
      <c r="SIX1" s="9" t="s">
        <v>13163</v>
      </c>
      <c r="SIY1" s="9" t="s">
        <v>13164</v>
      </c>
      <c r="SIZ1" s="9" t="s">
        <v>13165</v>
      </c>
      <c r="SJA1" s="9" t="s">
        <v>13166</v>
      </c>
      <c r="SJB1" s="9" t="s">
        <v>13167</v>
      </c>
      <c r="SJC1" s="9" t="s">
        <v>13168</v>
      </c>
      <c r="SJD1" s="9" t="s">
        <v>13169</v>
      </c>
      <c r="SJE1" s="9" t="s">
        <v>13170</v>
      </c>
      <c r="SJF1" s="9" t="s">
        <v>13171</v>
      </c>
      <c r="SJG1" s="9" t="s">
        <v>13172</v>
      </c>
      <c r="SJH1" s="9" t="s">
        <v>13173</v>
      </c>
      <c r="SJI1" s="9" t="s">
        <v>13174</v>
      </c>
      <c r="SJJ1" s="9" t="s">
        <v>13175</v>
      </c>
      <c r="SJK1" s="9" t="s">
        <v>13176</v>
      </c>
      <c r="SJL1" s="9" t="s">
        <v>13177</v>
      </c>
      <c r="SJM1" s="9" t="s">
        <v>13178</v>
      </c>
      <c r="SJN1" s="9" t="s">
        <v>13179</v>
      </c>
      <c r="SJO1" s="9" t="s">
        <v>13180</v>
      </c>
      <c r="SJP1" s="9" t="s">
        <v>13181</v>
      </c>
      <c r="SJQ1" s="9" t="s">
        <v>13182</v>
      </c>
      <c r="SJR1" s="9" t="s">
        <v>13183</v>
      </c>
      <c r="SJS1" s="9" t="s">
        <v>13184</v>
      </c>
      <c r="SJT1" s="9" t="s">
        <v>13185</v>
      </c>
      <c r="SJU1" s="9" t="s">
        <v>13186</v>
      </c>
      <c r="SJV1" s="9" t="s">
        <v>13187</v>
      </c>
      <c r="SJW1" s="9" t="s">
        <v>13188</v>
      </c>
      <c r="SJX1" s="9" t="s">
        <v>13189</v>
      </c>
      <c r="SJY1" s="9" t="s">
        <v>13190</v>
      </c>
      <c r="SJZ1" s="9" t="s">
        <v>13191</v>
      </c>
      <c r="SKA1" s="9" t="s">
        <v>13192</v>
      </c>
      <c r="SKB1" s="9" t="s">
        <v>13193</v>
      </c>
      <c r="SKC1" s="9" t="s">
        <v>13194</v>
      </c>
      <c r="SKD1" s="9" t="s">
        <v>13195</v>
      </c>
      <c r="SKE1" s="9" t="s">
        <v>13196</v>
      </c>
      <c r="SKF1" s="9" t="s">
        <v>13197</v>
      </c>
      <c r="SKG1" s="9" t="s">
        <v>13198</v>
      </c>
      <c r="SKH1" s="9" t="s">
        <v>13199</v>
      </c>
      <c r="SKI1" s="9" t="s">
        <v>13200</v>
      </c>
      <c r="SKJ1" s="9" t="s">
        <v>13201</v>
      </c>
      <c r="SKK1" s="9" t="s">
        <v>13202</v>
      </c>
      <c r="SKL1" s="9" t="s">
        <v>13203</v>
      </c>
      <c r="SKM1" s="9" t="s">
        <v>13204</v>
      </c>
      <c r="SKN1" s="9" t="s">
        <v>13205</v>
      </c>
      <c r="SKO1" s="9" t="s">
        <v>13206</v>
      </c>
      <c r="SKP1" s="9" t="s">
        <v>13207</v>
      </c>
      <c r="SKQ1" s="9" t="s">
        <v>13208</v>
      </c>
      <c r="SKR1" s="9" t="s">
        <v>13209</v>
      </c>
      <c r="SKS1" s="9" t="s">
        <v>13210</v>
      </c>
      <c r="SKT1" s="9" t="s">
        <v>13211</v>
      </c>
      <c r="SKU1" s="9" t="s">
        <v>13212</v>
      </c>
      <c r="SKV1" s="9" t="s">
        <v>13213</v>
      </c>
      <c r="SKW1" s="9" t="s">
        <v>13214</v>
      </c>
      <c r="SKX1" s="9" t="s">
        <v>13215</v>
      </c>
      <c r="SKY1" s="9" t="s">
        <v>13216</v>
      </c>
      <c r="SKZ1" s="9" t="s">
        <v>13217</v>
      </c>
      <c r="SLA1" s="9" t="s">
        <v>13218</v>
      </c>
      <c r="SLB1" s="9" t="s">
        <v>13219</v>
      </c>
      <c r="SLC1" s="9" t="s">
        <v>13220</v>
      </c>
      <c r="SLD1" s="9" t="s">
        <v>13221</v>
      </c>
      <c r="SLE1" s="9" t="s">
        <v>13222</v>
      </c>
      <c r="SLF1" s="9" t="s">
        <v>13223</v>
      </c>
      <c r="SLG1" s="9" t="s">
        <v>13224</v>
      </c>
      <c r="SLH1" s="9" t="s">
        <v>13225</v>
      </c>
      <c r="SLI1" s="9" t="s">
        <v>13226</v>
      </c>
      <c r="SLJ1" s="9" t="s">
        <v>13227</v>
      </c>
      <c r="SLK1" s="9" t="s">
        <v>13228</v>
      </c>
      <c r="SLL1" s="9" t="s">
        <v>13229</v>
      </c>
      <c r="SLM1" s="9" t="s">
        <v>13230</v>
      </c>
      <c r="SLN1" s="9" t="s">
        <v>13231</v>
      </c>
      <c r="SLO1" s="9" t="s">
        <v>13232</v>
      </c>
      <c r="SLP1" s="9" t="s">
        <v>13233</v>
      </c>
      <c r="SLQ1" s="9" t="s">
        <v>13234</v>
      </c>
      <c r="SLR1" s="9" t="s">
        <v>13235</v>
      </c>
      <c r="SLS1" s="9" t="s">
        <v>13236</v>
      </c>
      <c r="SLT1" s="9" t="s">
        <v>13237</v>
      </c>
      <c r="SLU1" s="9" t="s">
        <v>13238</v>
      </c>
      <c r="SLV1" s="9" t="s">
        <v>13239</v>
      </c>
      <c r="SLW1" s="9" t="s">
        <v>13240</v>
      </c>
      <c r="SLX1" s="9" t="s">
        <v>13241</v>
      </c>
      <c r="SLY1" s="9" t="s">
        <v>13242</v>
      </c>
      <c r="SLZ1" s="9" t="s">
        <v>13243</v>
      </c>
      <c r="SMA1" s="9" t="s">
        <v>13244</v>
      </c>
      <c r="SMB1" s="9" t="s">
        <v>13245</v>
      </c>
      <c r="SMC1" s="9" t="s">
        <v>13246</v>
      </c>
      <c r="SMD1" s="9" t="s">
        <v>13247</v>
      </c>
      <c r="SME1" s="9" t="s">
        <v>13248</v>
      </c>
      <c r="SMF1" s="9" t="s">
        <v>13249</v>
      </c>
      <c r="SMG1" s="9" t="s">
        <v>13250</v>
      </c>
      <c r="SMH1" s="9" t="s">
        <v>13251</v>
      </c>
      <c r="SMI1" s="9" t="s">
        <v>13252</v>
      </c>
      <c r="SMJ1" s="9" t="s">
        <v>13253</v>
      </c>
      <c r="SMK1" s="9" t="s">
        <v>13254</v>
      </c>
      <c r="SML1" s="9" t="s">
        <v>13255</v>
      </c>
      <c r="SMM1" s="9" t="s">
        <v>13256</v>
      </c>
      <c r="SMN1" s="9" t="s">
        <v>13257</v>
      </c>
      <c r="SMO1" s="9" t="s">
        <v>13258</v>
      </c>
      <c r="SMP1" s="9" t="s">
        <v>13259</v>
      </c>
      <c r="SMQ1" s="9" t="s">
        <v>13260</v>
      </c>
      <c r="SMR1" s="9" t="s">
        <v>13261</v>
      </c>
      <c r="SMS1" s="9" t="s">
        <v>13262</v>
      </c>
      <c r="SMT1" s="9" t="s">
        <v>13263</v>
      </c>
      <c r="SMU1" s="9" t="s">
        <v>13264</v>
      </c>
      <c r="SMV1" s="9" t="s">
        <v>13265</v>
      </c>
      <c r="SMW1" s="9" t="s">
        <v>13266</v>
      </c>
      <c r="SMX1" s="9" t="s">
        <v>13267</v>
      </c>
      <c r="SMY1" s="9" t="s">
        <v>13268</v>
      </c>
      <c r="SMZ1" s="9" t="s">
        <v>13269</v>
      </c>
      <c r="SNA1" s="9" t="s">
        <v>13270</v>
      </c>
      <c r="SNB1" s="9" t="s">
        <v>13271</v>
      </c>
      <c r="SNC1" s="9" t="s">
        <v>13272</v>
      </c>
      <c r="SND1" s="9" t="s">
        <v>13273</v>
      </c>
      <c r="SNE1" s="9" t="s">
        <v>13274</v>
      </c>
      <c r="SNF1" s="9" t="s">
        <v>13275</v>
      </c>
      <c r="SNG1" s="9" t="s">
        <v>13276</v>
      </c>
      <c r="SNH1" s="9" t="s">
        <v>13277</v>
      </c>
      <c r="SNI1" s="9" t="s">
        <v>13278</v>
      </c>
      <c r="SNJ1" s="9" t="s">
        <v>13279</v>
      </c>
      <c r="SNK1" s="9" t="s">
        <v>13280</v>
      </c>
      <c r="SNL1" s="9" t="s">
        <v>13281</v>
      </c>
      <c r="SNM1" s="9" t="s">
        <v>13282</v>
      </c>
      <c r="SNN1" s="9" t="s">
        <v>13283</v>
      </c>
      <c r="SNO1" s="9" t="s">
        <v>13284</v>
      </c>
      <c r="SNP1" s="9" t="s">
        <v>13285</v>
      </c>
      <c r="SNQ1" s="9" t="s">
        <v>13286</v>
      </c>
      <c r="SNR1" s="9" t="s">
        <v>13287</v>
      </c>
      <c r="SNS1" s="9" t="s">
        <v>13288</v>
      </c>
      <c r="SNT1" s="9" t="s">
        <v>13289</v>
      </c>
      <c r="SNU1" s="9" t="s">
        <v>13290</v>
      </c>
      <c r="SNV1" s="9" t="s">
        <v>13291</v>
      </c>
      <c r="SNW1" s="9" t="s">
        <v>13292</v>
      </c>
      <c r="SNX1" s="9" t="s">
        <v>13293</v>
      </c>
      <c r="SNY1" s="9" t="s">
        <v>13294</v>
      </c>
      <c r="SNZ1" s="9" t="s">
        <v>13295</v>
      </c>
      <c r="SOA1" s="9" t="s">
        <v>13296</v>
      </c>
      <c r="SOB1" s="9" t="s">
        <v>13297</v>
      </c>
      <c r="SOC1" s="9" t="s">
        <v>13298</v>
      </c>
      <c r="SOD1" s="9" t="s">
        <v>13299</v>
      </c>
      <c r="SOE1" s="9" t="s">
        <v>13300</v>
      </c>
      <c r="SOF1" s="9" t="s">
        <v>13301</v>
      </c>
      <c r="SOG1" s="9" t="s">
        <v>13302</v>
      </c>
      <c r="SOH1" s="9" t="s">
        <v>13303</v>
      </c>
      <c r="SOI1" s="9" t="s">
        <v>13304</v>
      </c>
      <c r="SOJ1" s="9" t="s">
        <v>13305</v>
      </c>
      <c r="SOK1" s="9" t="s">
        <v>13306</v>
      </c>
      <c r="SOL1" s="9" t="s">
        <v>13307</v>
      </c>
      <c r="SOM1" s="9" t="s">
        <v>13308</v>
      </c>
      <c r="SON1" s="9" t="s">
        <v>13309</v>
      </c>
      <c r="SOO1" s="9" t="s">
        <v>13310</v>
      </c>
      <c r="SOP1" s="9" t="s">
        <v>13311</v>
      </c>
      <c r="SOQ1" s="9" t="s">
        <v>13312</v>
      </c>
      <c r="SOR1" s="9" t="s">
        <v>13313</v>
      </c>
      <c r="SOS1" s="9" t="s">
        <v>13314</v>
      </c>
      <c r="SOT1" s="9" t="s">
        <v>13315</v>
      </c>
      <c r="SOU1" s="9" t="s">
        <v>13316</v>
      </c>
      <c r="SOV1" s="9" t="s">
        <v>13317</v>
      </c>
      <c r="SOW1" s="9" t="s">
        <v>13318</v>
      </c>
      <c r="SOX1" s="9" t="s">
        <v>13319</v>
      </c>
      <c r="SOY1" s="9" t="s">
        <v>13320</v>
      </c>
      <c r="SOZ1" s="9" t="s">
        <v>13321</v>
      </c>
      <c r="SPA1" s="9" t="s">
        <v>13322</v>
      </c>
      <c r="SPB1" s="9" t="s">
        <v>13323</v>
      </c>
      <c r="SPC1" s="9" t="s">
        <v>13324</v>
      </c>
      <c r="SPD1" s="9" t="s">
        <v>13325</v>
      </c>
      <c r="SPE1" s="9" t="s">
        <v>13326</v>
      </c>
      <c r="SPF1" s="9" t="s">
        <v>13327</v>
      </c>
      <c r="SPG1" s="9" t="s">
        <v>13328</v>
      </c>
      <c r="SPH1" s="9" t="s">
        <v>13329</v>
      </c>
      <c r="SPI1" s="9" t="s">
        <v>13330</v>
      </c>
      <c r="SPJ1" s="9" t="s">
        <v>13331</v>
      </c>
      <c r="SPK1" s="9" t="s">
        <v>13332</v>
      </c>
      <c r="SPL1" s="9" t="s">
        <v>13333</v>
      </c>
      <c r="SPM1" s="9" t="s">
        <v>13334</v>
      </c>
      <c r="SPN1" s="9" t="s">
        <v>13335</v>
      </c>
      <c r="SPO1" s="9" t="s">
        <v>13336</v>
      </c>
      <c r="SPP1" s="9" t="s">
        <v>13337</v>
      </c>
      <c r="SPQ1" s="9" t="s">
        <v>13338</v>
      </c>
      <c r="SPR1" s="9" t="s">
        <v>13339</v>
      </c>
      <c r="SPS1" s="9" t="s">
        <v>13340</v>
      </c>
      <c r="SPT1" s="9" t="s">
        <v>13341</v>
      </c>
      <c r="SPU1" s="9" t="s">
        <v>13342</v>
      </c>
      <c r="SPV1" s="9" t="s">
        <v>13343</v>
      </c>
      <c r="SPW1" s="9" t="s">
        <v>13344</v>
      </c>
      <c r="SPX1" s="9" t="s">
        <v>13345</v>
      </c>
      <c r="SPY1" s="9" t="s">
        <v>13346</v>
      </c>
      <c r="SPZ1" s="9" t="s">
        <v>13347</v>
      </c>
      <c r="SQA1" s="9" t="s">
        <v>13348</v>
      </c>
      <c r="SQB1" s="9" t="s">
        <v>13349</v>
      </c>
      <c r="SQC1" s="9" t="s">
        <v>13350</v>
      </c>
      <c r="SQD1" s="9" t="s">
        <v>13351</v>
      </c>
      <c r="SQE1" s="9" t="s">
        <v>13352</v>
      </c>
      <c r="SQF1" s="9" t="s">
        <v>13353</v>
      </c>
      <c r="SQG1" s="9" t="s">
        <v>13354</v>
      </c>
      <c r="SQH1" s="9" t="s">
        <v>13355</v>
      </c>
      <c r="SQI1" s="9" t="s">
        <v>13356</v>
      </c>
      <c r="SQJ1" s="9" t="s">
        <v>13357</v>
      </c>
      <c r="SQK1" s="9" t="s">
        <v>13358</v>
      </c>
      <c r="SQL1" s="9" t="s">
        <v>13359</v>
      </c>
      <c r="SQM1" s="9" t="s">
        <v>13360</v>
      </c>
      <c r="SQN1" s="9" t="s">
        <v>13361</v>
      </c>
      <c r="SQO1" s="9" t="s">
        <v>13362</v>
      </c>
      <c r="SQP1" s="9" t="s">
        <v>13363</v>
      </c>
      <c r="SQQ1" s="9" t="s">
        <v>13364</v>
      </c>
      <c r="SQR1" s="9" t="s">
        <v>13365</v>
      </c>
      <c r="SQS1" s="9" t="s">
        <v>13366</v>
      </c>
      <c r="SQT1" s="9" t="s">
        <v>13367</v>
      </c>
      <c r="SQU1" s="9" t="s">
        <v>13368</v>
      </c>
      <c r="SQV1" s="9" t="s">
        <v>13369</v>
      </c>
      <c r="SQW1" s="9" t="s">
        <v>13370</v>
      </c>
      <c r="SQX1" s="9" t="s">
        <v>13371</v>
      </c>
      <c r="SQY1" s="9" t="s">
        <v>13372</v>
      </c>
      <c r="SQZ1" s="9" t="s">
        <v>13373</v>
      </c>
      <c r="SRA1" s="9" t="s">
        <v>13374</v>
      </c>
      <c r="SRB1" s="9" t="s">
        <v>13375</v>
      </c>
      <c r="SRC1" s="9" t="s">
        <v>13376</v>
      </c>
      <c r="SRD1" s="9" t="s">
        <v>13377</v>
      </c>
      <c r="SRE1" s="9" t="s">
        <v>13378</v>
      </c>
      <c r="SRF1" s="9" t="s">
        <v>13379</v>
      </c>
      <c r="SRG1" s="9" t="s">
        <v>13380</v>
      </c>
      <c r="SRH1" s="9" t="s">
        <v>13381</v>
      </c>
      <c r="SRI1" s="9" t="s">
        <v>13382</v>
      </c>
      <c r="SRJ1" s="9" t="s">
        <v>13383</v>
      </c>
      <c r="SRK1" s="9" t="s">
        <v>13384</v>
      </c>
      <c r="SRL1" s="9" t="s">
        <v>13385</v>
      </c>
      <c r="SRM1" s="9" t="s">
        <v>13386</v>
      </c>
      <c r="SRN1" s="9" t="s">
        <v>13387</v>
      </c>
      <c r="SRO1" s="9" t="s">
        <v>13388</v>
      </c>
      <c r="SRP1" s="9" t="s">
        <v>13389</v>
      </c>
      <c r="SRQ1" s="9" t="s">
        <v>13390</v>
      </c>
      <c r="SRR1" s="9" t="s">
        <v>13391</v>
      </c>
      <c r="SRS1" s="9" t="s">
        <v>13392</v>
      </c>
      <c r="SRT1" s="9" t="s">
        <v>13393</v>
      </c>
      <c r="SRU1" s="9" t="s">
        <v>13394</v>
      </c>
      <c r="SRV1" s="9" t="s">
        <v>13395</v>
      </c>
      <c r="SRW1" s="9" t="s">
        <v>13396</v>
      </c>
      <c r="SRX1" s="9" t="s">
        <v>13397</v>
      </c>
      <c r="SRY1" s="9" t="s">
        <v>13398</v>
      </c>
      <c r="SRZ1" s="9" t="s">
        <v>13399</v>
      </c>
      <c r="SSA1" s="9" t="s">
        <v>13400</v>
      </c>
      <c r="SSB1" s="9" t="s">
        <v>13401</v>
      </c>
      <c r="SSC1" s="9" t="s">
        <v>13402</v>
      </c>
      <c r="SSD1" s="9" t="s">
        <v>13403</v>
      </c>
      <c r="SSE1" s="9" t="s">
        <v>13404</v>
      </c>
      <c r="SSF1" s="9" t="s">
        <v>13405</v>
      </c>
      <c r="SSG1" s="9" t="s">
        <v>13406</v>
      </c>
      <c r="SSH1" s="9" t="s">
        <v>13407</v>
      </c>
      <c r="SSI1" s="9" t="s">
        <v>13408</v>
      </c>
      <c r="SSJ1" s="9" t="s">
        <v>13409</v>
      </c>
      <c r="SSK1" s="9" t="s">
        <v>13410</v>
      </c>
      <c r="SSL1" s="9" t="s">
        <v>13411</v>
      </c>
      <c r="SSM1" s="9" t="s">
        <v>13412</v>
      </c>
      <c r="SSN1" s="9" t="s">
        <v>13413</v>
      </c>
      <c r="SSO1" s="9" t="s">
        <v>13414</v>
      </c>
      <c r="SSP1" s="9" t="s">
        <v>13415</v>
      </c>
      <c r="SSQ1" s="9" t="s">
        <v>13416</v>
      </c>
      <c r="SSR1" s="9" t="s">
        <v>13417</v>
      </c>
      <c r="SSS1" s="9" t="s">
        <v>13418</v>
      </c>
      <c r="SST1" s="9" t="s">
        <v>13419</v>
      </c>
      <c r="SSU1" s="9" t="s">
        <v>13420</v>
      </c>
      <c r="SSV1" s="9" t="s">
        <v>13421</v>
      </c>
      <c r="SSW1" s="9" t="s">
        <v>13422</v>
      </c>
      <c r="SSX1" s="9" t="s">
        <v>13423</v>
      </c>
      <c r="SSY1" s="9" t="s">
        <v>13424</v>
      </c>
      <c r="SSZ1" s="9" t="s">
        <v>13425</v>
      </c>
      <c r="STA1" s="9" t="s">
        <v>13426</v>
      </c>
      <c r="STB1" s="9" t="s">
        <v>13427</v>
      </c>
      <c r="STC1" s="9" t="s">
        <v>13428</v>
      </c>
      <c r="STD1" s="9" t="s">
        <v>13429</v>
      </c>
      <c r="STE1" s="9" t="s">
        <v>13430</v>
      </c>
      <c r="STF1" s="9" t="s">
        <v>13431</v>
      </c>
      <c r="STG1" s="9" t="s">
        <v>13432</v>
      </c>
      <c r="STH1" s="9" t="s">
        <v>13433</v>
      </c>
      <c r="STI1" s="9" t="s">
        <v>13434</v>
      </c>
      <c r="STJ1" s="9" t="s">
        <v>13435</v>
      </c>
      <c r="STK1" s="9" t="s">
        <v>13436</v>
      </c>
      <c r="STL1" s="9" t="s">
        <v>13437</v>
      </c>
      <c r="STM1" s="9" t="s">
        <v>13438</v>
      </c>
      <c r="STN1" s="9" t="s">
        <v>13439</v>
      </c>
      <c r="STO1" s="9" t="s">
        <v>13440</v>
      </c>
      <c r="STP1" s="9" t="s">
        <v>13441</v>
      </c>
      <c r="STQ1" s="9" t="s">
        <v>13442</v>
      </c>
      <c r="STR1" s="9" t="s">
        <v>13443</v>
      </c>
      <c r="STS1" s="9" t="s">
        <v>13444</v>
      </c>
      <c r="STT1" s="9" t="s">
        <v>13445</v>
      </c>
      <c r="STU1" s="9" t="s">
        <v>13446</v>
      </c>
      <c r="STV1" s="9" t="s">
        <v>13447</v>
      </c>
      <c r="STW1" s="9" t="s">
        <v>13448</v>
      </c>
      <c r="STX1" s="9" t="s">
        <v>13449</v>
      </c>
      <c r="STY1" s="9" t="s">
        <v>13450</v>
      </c>
      <c r="STZ1" s="9" t="s">
        <v>13451</v>
      </c>
      <c r="SUA1" s="9" t="s">
        <v>13452</v>
      </c>
      <c r="SUB1" s="9" t="s">
        <v>13453</v>
      </c>
      <c r="SUC1" s="9" t="s">
        <v>13454</v>
      </c>
      <c r="SUD1" s="9" t="s">
        <v>13455</v>
      </c>
      <c r="SUE1" s="9" t="s">
        <v>13456</v>
      </c>
      <c r="SUF1" s="9" t="s">
        <v>13457</v>
      </c>
      <c r="SUG1" s="9" t="s">
        <v>13458</v>
      </c>
      <c r="SUH1" s="9" t="s">
        <v>13459</v>
      </c>
      <c r="SUI1" s="9" t="s">
        <v>13460</v>
      </c>
      <c r="SUJ1" s="9" t="s">
        <v>13461</v>
      </c>
      <c r="SUK1" s="9" t="s">
        <v>13462</v>
      </c>
      <c r="SUL1" s="9" t="s">
        <v>13463</v>
      </c>
      <c r="SUM1" s="9" t="s">
        <v>13464</v>
      </c>
      <c r="SUN1" s="9" t="s">
        <v>13465</v>
      </c>
      <c r="SUO1" s="9" t="s">
        <v>13466</v>
      </c>
      <c r="SUP1" s="9" t="s">
        <v>13467</v>
      </c>
      <c r="SUQ1" s="9" t="s">
        <v>13468</v>
      </c>
      <c r="SUR1" s="9" t="s">
        <v>13469</v>
      </c>
      <c r="SUS1" s="9" t="s">
        <v>13470</v>
      </c>
      <c r="SUT1" s="9" t="s">
        <v>13471</v>
      </c>
      <c r="SUU1" s="9" t="s">
        <v>13472</v>
      </c>
      <c r="SUV1" s="9" t="s">
        <v>13473</v>
      </c>
      <c r="SUW1" s="9" t="s">
        <v>13474</v>
      </c>
      <c r="SUX1" s="9" t="s">
        <v>13475</v>
      </c>
      <c r="SUY1" s="9" t="s">
        <v>13476</v>
      </c>
      <c r="SUZ1" s="9" t="s">
        <v>13477</v>
      </c>
      <c r="SVA1" s="9" t="s">
        <v>13478</v>
      </c>
      <c r="SVB1" s="9" t="s">
        <v>13479</v>
      </c>
      <c r="SVC1" s="9" t="s">
        <v>13480</v>
      </c>
      <c r="SVD1" s="9" t="s">
        <v>13481</v>
      </c>
      <c r="SVE1" s="9" t="s">
        <v>13482</v>
      </c>
      <c r="SVF1" s="9" t="s">
        <v>13483</v>
      </c>
      <c r="SVG1" s="9" t="s">
        <v>13484</v>
      </c>
      <c r="SVH1" s="9" t="s">
        <v>13485</v>
      </c>
      <c r="SVI1" s="9" t="s">
        <v>13486</v>
      </c>
      <c r="SVJ1" s="9" t="s">
        <v>13487</v>
      </c>
      <c r="SVK1" s="9" t="s">
        <v>13488</v>
      </c>
      <c r="SVL1" s="9" t="s">
        <v>13489</v>
      </c>
      <c r="SVM1" s="9" t="s">
        <v>13490</v>
      </c>
      <c r="SVN1" s="9" t="s">
        <v>13491</v>
      </c>
      <c r="SVO1" s="9" t="s">
        <v>13492</v>
      </c>
      <c r="SVP1" s="9" t="s">
        <v>13493</v>
      </c>
      <c r="SVQ1" s="9" t="s">
        <v>13494</v>
      </c>
      <c r="SVR1" s="9" t="s">
        <v>13495</v>
      </c>
      <c r="SVS1" s="9" t="s">
        <v>13496</v>
      </c>
      <c r="SVT1" s="9" t="s">
        <v>13497</v>
      </c>
      <c r="SVU1" s="9" t="s">
        <v>13498</v>
      </c>
      <c r="SVV1" s="9" t="s">
        <v>13499</v>
      </c>
      <c r="SVW1" s="9" t="s">
        <v>13500</v>
      </c>
      <c r="SVX1" s="9" t="s">
        <v>13501</v>
      </c>
      <c r="SVY1" s="9" t="s">
        <v>13502</v>
      </c>
      <c r="SVZ1" s="9" t="s">
        <v>13503</v>
      </c>
      <c r="SWA1" s="9" t="s">
        <v>13504</v>
      </c>
      <c r="SWB1" s="9" t="s">
        <v>13505</v>
      </c>
      <c r="SWC1" s="9" t="s">
        <v>13506</v>
      </c>
      <c r="SWD1" s="9" t="s">
        <v>13507</v>
      </c>
      <c r="SWE1" s="9" t="s">
        <v>13508</v>
      </c>
      <c r="SWF1" s="9" t="s">
        <v>13509</v>
      </c>
      <c r="SWG1" s="9" t="s">
        <v>13510</v>
      </c>
      <c r="SWH1" s="9" t="s">
        <v>13511</v>
      </c>
      <c r="SWI1" s="9" t="s">
        <v>13512</v>
      </c>
      <c r="SWJ1" s="9" t="s">
        <v>13513</v>
      </c>
      <c r="SWK1" s="9" t="s">
        <v>13514</v>
      </c>
      <c r="SWL1" s="9" t="s">
        <v>13515</v>
      </c>
      <c r="SWM1" s="9" t="s">
        <v>13516</v>
      </c>
      <c r="SWN1" s="9" t="s">
        <v>13517</v>
      </c>
      <c r="SWO1" s="9" t="s">
        <v>13518</v>
      </c>
      <c r="SWP1" s="9" t="s">
        <v>13519</v>
      </c>
      <c r="SWQ1" s="9" t="s">
        <v>13520</v>
      </c>
      <c r="SWR1" s="9" t="s">
        <v>13521</v>
      </c>
      <c r="SWS1" s="9" t="s">
        <v>13522</v>
      </c>
      <c r="SWT1" s="9" t="s">
        <v>13523</v>
      </c>
      <c r="SWU1" s="9" t="s">
        <v>13524</v>
      </c>
      <c r="SWV1" s="9" t="s">
        <v>13525</v>
      </c>
      <c r="SWW1" s="9" t="s">
        <v>13526</v>
      </c>
      <c r="SWX1" s="9" t="s">
        <v>13527</v>
      </c>
      <c r="SWY1" s="9" t="s">
        <v>13528</v>
      </c>
      <c r="SWZ1" s="9" t="s">
        <v>13529</v>
      </c>
      <c r="SXA1" s="9" t="s">
        <v>13530</v>
      </c>
      <c r="SXB1" s="9" t="s">
        <v>13531</v>
      </c>
      <c r="SXC1" s="9" t="s">
        <v>13532</v>
      </c>
      <c r="SXD1" s="9" t="s">
        <v>13533</v>
      </c>
      <c r="SXE1" s="9" t="s">
        <v>13534</v>
      </c>
      <c r="SXF1" s="9" t="s">
        <v>13535</v>
      </c>
      <c r="SXG1" s="9" t="s">
        <v>13536</v>
      </c>
      <c r="SXH1" s="9" t="s">
        <v>13537</v>
      </c>
      <c r="SXI1" s="9" t="s">
        <v>13538</v>
      </c>
      <c r="SXJ1" s="9" t="s">
        <v>13539</v>
      </c>
      <c r="SXK1" s="9" t="s">
        <v>13540</v>
      </c>
      <c r="SXL1" s="9" t="s">
        <v>13541</v>
      </c>
      <c r="SXM1" s="9" t="s">
        <v>13542</v>
      </c>
      <c r="SXN1" s="9" t="s">
        <v>13543</v>
      </c>
      <c r="SXO1" s="9" t="s">
        <v>13544</v>
      </c>
      <c r="SXP1" s="9" t="s">
        <v>13545</v>
      </c>
      <c r="SXQ1" s="9" t="s">
        <v>13546</v>
      </c>
      <c r="SXR1" s="9" t="s">
        <v>13547</v>
      </c>
      <c r="SXS1" s="9" t="s">
        <v>13548</v>
      </c>
      <c r="SXT1" s="9" t="s">
        <v>13549</v>
      </c>
      <c r="SXU1" s="9" t="s">
        <v>13550</v>
      </c>
      <c r="SXV1" s="9" t="s">
        <v>13551</v>
      </c>
      <c r="SXW1" s="9" t="s">
        <v>13552</v>
      </c>
      <c r="SXX1" s="9" t="s">
        <v>13553</v>
      </c>
      <c r="SXY1" s="9" t="s">
        <v>13554</v>
      </c>
      <c r="SXZ1" s="9" t="s">
        <v>13555</v>
      </c>
      <c r="SYA1" s="9" t="s">
        <v>13556</v>
      </c>
      <c r="SYB1" s="9" t="s">
        <v>13557</v>
      </c>
      <c r="SYC1" s="9" t="s">
        <v>13558</v>
      </c>
      <c r="SYD1" s="9" t="s">
        <v>13559</v>
      </c>
      <c r="SYE1" s="9" t="s">
        <v>13560</v>
      </c>
      <c r="SYF1" s="9" t="s">
        <v>13561</v>
      </c>
      <c r="SYG1" s="9" t="s">
        <v>13562</v>
      </c>
      <c r="SYH1" s="9" t="s">
        <v>13563</v>
      </c>
      <c r="SYI1" s="9" t="s">
        <v>13564</v>
      </c>
      <c r="SYJ1" s="9" t="s">
        <v>13565</v>
      </c>
      <c r="SYK1" s="9" t="s">
        <v>13566</v>
      </c>
      <c r="SYL1" s="9" t="s">
        <v>13567</v>
      </c>
      <c r="SYM1" s="9" t="s">
        <v>13568</v>
      </c>
      <c r="SYN1" s="9" t="s">
        <v>13569</v>
      </c>
      <c r="SYO1" s="9" t="s">
        <v>13570</v>
      </c>
      <c r="SYP1" s="9" t="s">
        <v>13571</v>
      </c>
      <c r="SYQ1" s="9" t="s">
        <v>13572</v>
      </c>
      <c r="SYR1" s="9" t="s">
        <v>13573</v>
      </c>
      <c r="SYS1" s="9" t="s">
        <v>13574</v>
      </c>
      <c r="SYT1" s="9" t="s">
        <v>13575</v>
      </c>
      <c r="SYU1" s="9" t="s">
        <v>13576</v>
      </c>
      <c r="SYV1" s="9" t="s">
        <v>13577</v>
      </c>
      <c r="SYW1" s="9" t="s">
        <v>13578</v>
      </c>
      <c r="SYX1" s="9" t="s">
        <v>13579</v>
      </c>
      <c r="SYY1" s="9" t="s">
        <v>13580</v>
      </c>
      <c r="SYZ1" s="9" t="s">
        <v>13581</v>
      </c>
      <c r="SZA1" s="9" t="s">
        <v>13582</v>
      </c>
      <c r="SZB1" s="9" t="s">
        <v>13583</v>
      </c>
      <c r="SZC1" s="9" t="s">
        <v>13584</v>
      </c>
      <c r="SZD1" s="9" t="s">
        <v>13585</v>
      </c>
      <c r="SZE1" s="9" t="s">
        <v>13586</v>
      </c>
      <c r="SZF1" s="9" t="s">
        <v>13587</v>
      </c>
      <c r="SZG1" s="9" t="s">
        <v>13588</v>
      </c>
      <c r="SZH1" s="9" t="s">
        <v>13589</v>
      </c>
      <c r="SZI1" s="9" t="s">
        <v>13590</v>
      </c>
      <c r="SZJ1" s="9" t="s">
        <v>13591</v>
      </c>
      <c r="SZK1" s="9" t="s">
        <v>13592</v>
      </c>
      <c r="SZL1" s="9" t="s">
        <v>13593</v>
      </c>
      <c r="SZM1" s="9" t="s">
        <v>13594</v>
      </c>
      <c r="SZN1" s="9" t="s">
        <v>13595</v>
      </c>
      <c r="SZO1" s="9" t="s">
        <v>13596</v>
      </c>
      <c r="SZP1" s="9" t="s">
        <v>13597</v>
      </c>
      <c r="SZQ1" s="9" t="s">
        <v>13598</v>
      </c>
      <c r="SZR1" s="9" t="s">
        <v>13599</v>
      </c>
      <c r="SZS1" s="9" t="s">
        <v>13600</v>
      </c>
      <c r="SZT1" s="9" t="s">
        <v>13601</v>
      </c>
      <c r="SZU1" s="9" t="s">
        <v>13602</v>
      </c>
      <c r="SZV1" s="9" t="s">
        <v>13603</v>
      </c>
      <c r="SZW1" s="9" t="s">
        <v>13604</v>
      </c>
      <c r="SZX1" s="9" t="s">
        <v>13605</v>
      </c>
      <c r="SZY1" s="9" t="s">
        <v>13606</v>
      </c>
      <c r="SZZ1" s="9" t="s">
        <v>13607</v>
      </c>
      <c r="TAA1" s="9" t="s">
        <v>13608</v>
      </c>
      <c r="TAB1" s="9" t="s">
        <v>13609</v>
      </c>
      <c r="TAC1" s="9" t="s">
        <v>13610</v>
      </c>
      <c r="TAD1" s="9" t="s">
        <v>13611</v>
      </c>
      <c r="TAE1" s="9" t="s">
        <v>13612</v>
      </c>
      <c r="TAF1" s="9" t="s">
        <v>13613</v>
      </c>
      <c r="TAG1" s="9" t="s">
        <v>13614</v>
      </c>
      <c r="TAH1" s="9" t="s">
        <v>13615</v>
      </c>
      <c r="TAI1" s="9" t="s">
        <v>13616</v>
      </c>
      <c r="TAJ1" s="9" t="s">
        <v>13617</v>
      </c>
      <c r="TAK1" s="9" t="s">
        <v>13618</v>
      </c>
      <c r="TAL1" s="9" t="s">
        <v>13619</v>
      </c>
      <c r="TAM1" s="9" t="s">
        <v>13620</v>
      </c>
      <c r="TAN1" s="9" t="s">
        <v>13621</v>
      </c>
      <c r="TAO1" s="9" t="s">
        <v>13622</v>
      </c>
      <c r="TAP1" s="9" t="s">
        <v>13623</v>
      </c>
      <c r="TAQ1" s="9" t="s">
        <v>13624</v>
      </c>
      <c r="TAR1" s="9" t="s">
        <v>13625</v>
      </c>
      <c r="TAS1" s="9" t="s">
        <v>13626</v>
      </c>
      <c r="TAT1" s="9" t="s">
        <v>13627</v>
      </c>
      <c r="TAU1" s="9" t="s">
        <v>13628</v>
      </c>
      <c r="TAV1" s="9" t="s">
        <v>13629</v>
      </c>
      <c r="TAW1" s="9" t="s">
        <v>13630</v>
      </c>
      <c r="TAX1" s="9" t="s">
        <v>13631</v>
      </c>
      <c r="TAY1" s="9" t="s">
        <v>13632</v>
      </c>
      <c r="TAZ1" s="9" t="s">
        <v>13633</v>
      </c>
      <c r="TBA1" s="9" t="s">
        <v>13634</v>
      </c>
      <c r="TBB1" s="9" t="s">
        <v>13635</v>
      </c>
      <c r="TBC1" s="9" t="s">
        <v>13636</v>
      </c>
      <c r="TBD1" s="9" t="s">
        <v>13637</v>
      </c>
      <c r="TBE1" s="9" t="s">
        <v>13638</v>
      </c>
      <c r="TBF1" s="9" t="s">
        <v>13639</v>
      </c>
      <c r="TBG1" s="9" t="s">
        <v>13640</v>
      </c>
      <c r="TBH1" s="9" t="s">
        <v>13641</v>
      </c>
      <c r="TBI1" s="9" t="s">
        <v>13642</v>
      </c>
      <c r="TBJ1" s="9" t="s">
        <v>13643</v>
      </c>
      <c r="TBK1" s="9" t="s">
        <v>13644</v>
      </c>
      <c r="TBL1" s="9" t="s">
        <v>13645</v>
      </c>
      <c r="TBM1" s="9" t="s">
        <v>13646</v>
      </c>
      <c r="TBN1" s="9" t="s">
        <v>13647</v>
      </c>
      <c r="TBO1" s="9" t="s">
        <v>13648</v>
      </c>
      <c r="TBP1" s="9" t="s">
        <v>13649</v>
      </c>
      <c r="TBQ1" s="9" t="s">
        <v>13650</v>
      </c>
      <c r="TBR1" s="9" t="s">
        <v>13651</v>
      </c>
      <c r="TBS1" s="9" t="s">
        <v>13652</v>
      </c>
      <c r="TBT1" s="9" t="s">
        <v>13653</v>
      </c>
      <c r="TBU1" s="9" t="s">
        <v>13654</v>
      </c>
      <c r="TBV1" s="9" t="s">
        <v>13655</v>
      </c>
      <c r="TBW1" s="9" t="s">
        <v>13656</v>
      </c>
      <c r="TBX1" s="9" t="s">
        <v>13657</v>
      </c>
      <c r="TBY1" s="9" t="s">
        <v>13658</v>
      </c>
      <c r="TBZ1" s="9" t="s">
        <v>13659</v>
      </c>
      <c r="TCA1" s="9" t="s">
        <v>13660</v>
      </c>
      <c r="TCB1" s="9" t="s">
        <v>13661</v>
      </c>
      <c r="TCC1" s="9" t="s">
        <v>13662</v>
      </c>
      <c r="TCD1" s="9" t="s">
        <v>13663</v>
      </c>
      <c r="TCE1" s="9" t="s">
        <v>13664</v>
      </c>
      <c r="TCF1" s="9" t="s">
        <v>13665</v>
      </c>
      <c r="TCG1" s="9" t="s">
        <v>13666</v>
      </c>
      <c r="TCH1" s="9" t="s">
        <v>13667</v>
      </c>
      <c r="TCI1" s="9" t="s">
        <v>13668</v>
      </c>
      <c r="TCJ1" s="9" t="s">
        <v>13669</v>
      </c>
      <c r="TCK1" s="9" t="s">
        <v>13670</v>
      </c>
      <c r="TCL1" s="9" t="s">
        <v>13671</v>
      </c>
      <c r="TCM1" s="9" t="s">
        <v>13672</v>
      </c>
      <c r="TCN1" s="9" t="s">
        <v>13673</v>
      </c>
      <c r="TCO1" s="9" t="s">
        <v>13674</v>
      </c>
      <c r="TCP1" s="9" t="s">
        <v>13675</v>
      </c>
      <c r="TCQ1" s="9" t="s">
        <v>13676</v>
      </c>
      <c r="TCR1" s="9" t="s">
        <v>13677</v>
      </c>
      <c r="TCS1" s="9" t="s">
        <v>13678</v>
      </c>
      <c r="TCT1" s="9" t="s">
        <v>13679</v>
      </c>
      <c r="TCU1" s="9" t="s">
        <v>13680</v>
      </c>
      <c r="TCV1" s="9" t="s">
        <v>13681</v>
      </c>
      <c r="TCW1" s="9" t="s">
        <v>13682</v>
      </c>
      <c r="TCX1" s="9" t="s">
        <v>13683</v>
      </c>
      <c r="TCY1" s="9" t="s">
        <v>13684</v>
      </c>
      <c r="TCZ1" s="9" t="s">
        <v>13685</v>
      </c>
      <c r="TDA1" s="9" t="s">
        <v>13686</v>
      </c>
      <c r="TDB1" s="9" t="s">
        <v>13687</v>
      </c>
      <c r="TDC1" s="9" t="s">
        <v>13688</v>
      </c>
      <c r="TDD1" s="9" t="s">
        <v>13689</v>
      </c>
      <c r="TDE1" s="9" t="s">
        <v>13690</v>
      </c>
      <c r="TDF1" s="9" t="s">
        <v>13691</v>
      </c>
      <c r="TDG1" s="9" t="s">
        <v>13692</v>
      </c>
      <c r="TDH1" s="9" t="s">
        <v>13693</v>
      </c>
      <c r="TDI1" s="9" t="s">
        <v>13694</v>
      </c>
      <c r="TDJ1" s="9" t="s">
        <v>13695</v>
      </c>
      <c r="TDK1" s="9" t="s">
        <v>13696</v>
      </c>
      <c r="TDL1" s="9" t="s">
        <v>13697</v>
      </c>
      <c r="TDM1" s="9" t="s">
        <v>13698</v>
      </c>
      <c r="TDN1" s="9" t="s">
        <v>13699</v>
      </c>
      <c r="TDO1" s="9" t="s">
        <v>13700</v>
      </c>
      <c r="TDP1" s="9" t="s">
        <v>13701</v>
      </c>
      <c r="TDQ1" s="9" t="s">
        <v>13702</v>
      </c>
      <c r="TDR1" s="9" t="s">
        <v>13703</v>
      </c>
      <c r="TDS1" s="9" t="s">
        <v>13704</v>
      </c>
      <c r="TDT1" s="9" t="s">
        <v>13705</v>
      </c>
      <c r="TDU1" s="9" t="s">
        <v>13706</v>
      </c>
      <c r="TDV1" s="9" t="s">
        <v>13707</v>
      </c>
      <c r="TDW1" s="9" t="s">
        <v>13708</v>
      </c>
      <c r="TDX1" s="9" t="s">
        <v>13709</v>
      </c>
      <c r="TDY1" s="9" t="s">
        <v>13710</v>
      </c>
      <c r="TDZ1" s="9" t="s">
        <v>13711</v>
      </c>
      <c r="TEA1" s="9" t="s">
        <v>13712</v>
      </c>
      <c r="TEB1" s="9" t="s">
        <v>13713</v>
      </c>
      <c r="TEC1" s="9" t="s">
        <v>13714</v>
      </c>
      <c r="TED1" s="9" t="s">
        <v>13715</v>
      </c>
      <c r="TEE1" s="9" t="s">
        <v>13716</v>
      </c>
      <c r="TEF1" s="9" t="s">
        <v>13717</v>
      </c>
      <c r="TEG1" s="9" t="s">
        <v>13718</v>
      </c>
      <c r="TEH1" s="9" t="s">
        <v>13719</v>
      </c>
      <c r="TEI1" s="9" t="s">
        <v>13720</v>
      </c>
      <c r="TEJ1" s="9" t="s">
        <v>13721</v>
      </c>
      <c r="TEK1" s="9" t="s">
        <v>13722</v>
      </c>
      <c r="TEL1" s="9" t="s">
        <v>13723</v>
      </c>
      <c r="TEM1" s="9" t="s">
        <v>13724</v>
      </c>
      <c r="TEN1" s="9" t="s">
        <v>13725</v>
      </c>
      <c r="TEO1" s="9" t="s">
        <v>13726</v>
      </c>
      <c r="TEP1" s="9" t="s">
        <v>13727</v>
      </c>
      <c r="TEQ1" s="9" t="s">
        <v>13728</v>
      </c>
      <c r="TER1" s="9" t="s">
        <v>13729</v>
      </c>
      <c r="TES1" s="9" t="s">
        <v>13730</v>
      </c>
      <c r="TET1" s="9" t="s">
        <v>13731</v>
      </c>
      <c r="TEU1" s="9" t="s">
        <v>13732</v>
      </c>
      <c r="TEV1" s="9" t="s">
        <v>13733</v>
      </c>
      <c r="TEW1" s="9" t="s">
        <v>13734</v>
      </c>
      <c r="TEX1" s="9" t="s">
        <v>13735</v>
      </c>
      <c r="TEY1" s="9" t="s">
        <v>13736</v>
      </c>
      <c r="TEZ1" s="9" t="s">
        <v>13737</v>
      </c>
      <c r="TFA1" s="9" t="s">
        <v>13738</v>
      </c>
      <c r="TFB1" s="9" t="s">
        <v>13739</v>
      </c>
      <c r="TFC1" s="9" t="s">
        <v>13740</v>
      </c>
      <c r="TFD1" s="9" t="s">
        <v>13741</v>
      </c>
      <c r="TFE1" s="9" t="s">
        <v>13742</v>
      </c>
      <c r="TFF1" s="9" t="s">
        <v>13743</v>
      </c>
      <c r="TFG1" s="9" t="s">
        <v>13744</v>
      </c>
      <c r="TFH1" s="9" t="s">
        <v>13745</v>
      </c>
      <c r="TFI1" s="9" t="s">
        <v>13746</v>
      </c>
      <c r="TFJ1" s="9" t="s">
        <v>13747</v>
      </c>
      <c r="TFK1" s="9" t="s">
        <v>13748</v>
      </c>
      <c r="TFL1" s="9" t="s">
        <v>13749</v>
      </c>
      <c r="TFM1" s="9" t="s">
        <v>13750</v>
      </c>
      <c r="TFN1" s="9" t="s">
        <v>13751</v>
      </c>
      <c r="TFO1" s="9" t="s">
        <v>13752</v>
      </c>
      <c r="TFP1" s="9" t="s">
        <v>13753</v>
      </c>
      <c r="TFQ1" s="9" t="s">
        <v>13754</v>
      </c>
      <c r="TFR1" s="9" t="s">
        <v>13755</v>
      </c>
      <c r="TFS1" s="9" t="s">
        <v>13756</v>
      </c>
      <c r="TFT1" s="9" t="s">
        <v>13757</v>
      </c>
      <c r="TFU1" s="9" t="s">
        <v>13758</v>
      </c>
      <c r="TFV1" s="9" t="s">
        <v>13759</v>
      </c>
      <c r="TFW1" s="9" t="s">
        <v>13760</v>
      </c>
      <c r="TFX1" s="9" t="s">
        <v>13761</v>
      </c>
      <c r="TFY1" s="9" t="s">
        <v>13762</v>
      </c>
      <c r="TFZ1" s="9" t="s">
        <v>13763</v>
      </c>
      <c r="TGA1" s="9" t="s">
        <v>13764</v>
      </c>
      <c r="TGB1" s="9" t="s">
        <v>13765</v>
      </c>
      <c r="TGC1" s="9" t="s">
        <v>13766</v>
      </c>
      <c r="TGD1" s="9" t="s">
        <v>13767</v>
      </c>
      <c r="TGE1" s="9" t="s">
        <v>13768</v>
      </c>
      <c r="TGF1" s="9" t="s">
        <v>13769</v>
      </c>
      <c r="TGG1" s="9" t="s">
        <v>13770</v>
      </c>
      <c r="TGH1" s="9" t="s">
        <v>13771</v>
      </c>
      <c r="TGI1" s="9" t="s">
        <v>13772</v>
      </c>
      <c r="TGJ1" s="9" t="s">
        <v>13773</v>
      </c>
      <c r="TGK1" s="9" t="s">
        <v>13774</v>
      </c>
      <c r="TGL1" s="9" t="s">
        <v>13775</v>
      </c>
      <c r="TGM1" s="9" t="s">
        <v>13776</v>
      </c>
      <c r="TGN1" s="9" t="s">
        <v>13777</v>
      </c>
      <c r="TGO1" s="9" t="s">
        <v>13778</v>
      </c>
      <c r="TGP1" s="9" t="s">
        <v>13779</v>
      </c>
      <c r="TGQ1" s="9" t="s">
        <v>13780</v>
      </c>
      <c r="TGR1" s="9" t="s">
        <v>13781</v>
      </c>
      <c r="TGS1" s="9" t="s">
        <v>13782</v>
      </c>
      <c r="TGT1" s="9" t="s">
        <v>13783</v>
      </c>
      <c r="TGU1" s="9" t="s">
        <v>13784</v>
      </c>
      <c r="TGV1" s="9" t="s">
        <v>13785</v>
      </c>
      <c r="TGW1" s="9" t="s">
        <v>13786</v>
      </c>
      <c r="TGX1" s="9" t="s">
        <v>13787</v>
      </c>
      <c r="TGY1" s="9" t="s">
        <v>13788</v>
      </c>
      <c r="TGZ1" s="9" t="s">
        <v>13789</v>
      </c>
      <c r="THA1" s="9" t="s">
        <v>13790</v>
      </c>
      <c r="THB1" s="9" t="s">
        <v>13791</v>
      </c>
      <c r="THC1" s="9" t="s">
        <v>13792</v>
      </c>
      <c r="THD1" s="9" t="s">
        <v>13793</v>
      </c>
      <c r="THE1" s="9" t="s">
        <v>13794</v>
      </c>
      <c r="THF1" s="9" t="s">
        <v>13795</v>
      </c>
      <c r="THG1" s="9" t="s">
        <v>13796</v>
      </c>
      <c r="THH1" s="9" t="s">
        <v>13797</v>
      </c>
      <c r="THI1" s="9" t="s">
        <v>13798</v>
      </c>
      <c r="THJ1" s="9" t="s">
        <v>13799</v>
      </c>
      <c r="THK1" s="9" t="s">
        <v>13800</v>
      </c>
      <c r="THL1" s="9" t="s">
        <v>13801</v>
      </c>
      <c r="THM1" s="9" t="s">
        <v>13802</v>
      </c>
      <c r="THN1" s="9" t="s">
        <v>13803</v>
      </c>
      <c r="THO1" s="9" t="s">
        <v>13804</v>
      </c>
      <c r="THP1" s="9" t="s">
        <v>13805</v>
      </c>
      <c r="THQ1" s="9" t="s">
        <v>13806</v>
      </c>
      <c r="THR1" s="9" t="s">
        <v>13807</v>
      </c>
      <c r="THS1" s="9" t="s">
        <v>13808</v>
      </c>
      <c r="THT1" s="9" t="s">
        <v>13809</v>
      </c>
      <c r="THU1" s="9" t="s">
        <v>13810</v>
      </c>
      <c r="THV1" s="9" t="s">
        <v>13811</v>
      </c>
      <c r="THW1" s="9" t="s">
        <v>13812</v>
      </c>
      <c r="THX1" s="9" t="s">
        <v>13813</v>
      </c>
      <c r="THY1" s="9" t="s">
        <v>13814</v>
      </c>
      <c r="THZ1" s="9" t="s">
        <v>13815</v>
      </c>
      <c r="TIA1" s="9" t="s">
        <v>13816</v>
      </c>
      <c r="TIB1" s="9" t="s">
        <v>13817</v>
      </c>
      <c r="TIC1" s="9" t="s">
        <v>13818</v>
      </c>
      <c r="TID1" s="9" t="s">
        <v>13819</v>
      </c>
      <c r="TIE1" s="9" t="s">
        <v>13820</v>
      </c>
      <c r="TIF1" s="9" t="s">
        <v>13821</v>
      </c>
      <c r="TIG1" s="9" t="s">
        <v>13822</v>
      </c>
      <c r="TIH1" s="9" t="s">
        <v>13823</v>
      </c>
      <c r="TII1" s="9" t="s">
        <v>13824</v>
      </c>
      <c r="TIJ1" s="9" t="s">
        <v>13825</v>
      </c>
      <c r="TIK1" s="9" t="s">
        <v>13826</v>
      </c>
      <c r="TIL1" s="9" t="s">
        <v>13827</v>
      </c>
      <c r="TIM1" s="9" t="s">
        <v>13828</v>
      </c>
      <c r="TIN1" s="9" t="s">
        <v>13829</v>
      </c>
      <c r="TIO1" s="9" t="s">
        <v>13830</v>
      </c>
      <c r="TIP1" s="9" t="s">
        <v>13831</v>
      </c>
      <c r="TIQ1" s="9" t="s">
        <v>13832</v>
      </c>
      <c r="TIR1" s="9" t="s">
        <v>13833</v>
      </c>
      <c r="TIS1" s="9" t="s">
        <v>13834</v>
      </c>
      <c r="TIT1" s="9" t="s">
        <v>13835</v>
      </c>
      <c r="TIU1" s="9" t="s">
        <v>13836</v>
      </c>
      <c r="TIV1" s="9" t="s">
        <v>13837</v>
      </c>
      <c r="TIW1" s="9" t="s">
        <v>13838</v>
      </c>
      <c r="TIX1" s="9" t="s">
        <v>13839</v>
      </c>
      <c r="TIY1" s="9" t="s">
        <v>13840</v>
      </c>
      <c r="TIZ1" s="9" t="s">
        <v>13841</v>
      </c>
      <c r="TJA1" s="9" t="s">
        <v>13842</v>
      </c>
      <c r="TJB1" s="9" t="s">
        <v>13843</v>
      </c>
      <c r="TJC1" s="9" t="s">
        <v>13844</v>
      </c>
      <c r="TJD1" s="9" t="s">
        <v>13845</v>
      </c>
      <c r="TJE1" s="9" t="s">
        <v>13846</v>
      </c>
      <c r="TJF1" s="9" t="s">
        <v>13847</v>
      </c>
      <c r="TJG1" s="9" t="s">
        <v>13848</v>
      </c>
      <c r="TJH1" s="9" t="s">
        <v>13849</v>
      </c>
      <c r="TJI1" s="9" t="s">
        <v>13850</v>
      </c>
      <c r="TJJ1" s="9" t="s">
        <v>13851</v>
      </c>
      <c r="TJK1" s="9" t="s">
        <v>13852</v>
      </c>
      <c r="TJL1" s="9" t="s">
        <v>13853</v>
      </c>
      <c r="TJM1" s="9" t="s">
        <v>13854</v>
      </c>
      <c r="TJN1" s="9" t="s">
        <v>13855</v>
      </c>
      <c r="TJO1" s="9" t="s">
        <v>13856</v>
      </c>
      <c r="TJP1" s="9" t="s">
        <v>13857</v>
      </c>
      <c r="TJQ1" s="9" t="s">
        <v>13858</v>
      </c>
      <c r="TJR1" s="9" t="s">
        <v>13859</v>
      </c>
      <c r="TJS1" s="9" t="s">
        <v>13860</v>
      </c>
      <c r="TJT1" s="9" t="s">
        <v>13861</v>
      </c>
      <c r="TJU1" s="9" t="s">
        <v>13862</v>
      </c>
      <c r="TJV1" s="9" t="s">
        <v>13863</v>
      </c>
      <c r="TJW1" s="9" t="s">
        <v>13864</v>
      </c>
      <c r="TJX1" s="9" t="s">
        <v>13865</v>
      </c>
      <c r="TJY1" s="9" t="s">
        <v>13866</v>
      </c>
      <c r="TJZ1" s="9" t="s">
        <v>13867</v>
      </c>
      <c r="TKA1" s="9" t="s">
        <v>13868</v>
      </c>
      <c r="TKB1" s="9" t="s">
        <v>13869</v>
      </c>
      <c r="TKC1" s="9" t="s">
        <v>13870</v>
      </c>
      <c r="TKD1" s="9" t="s">
        <v>13871</v>
      </c>
      <c r="TKE1" s="9" t="s">
        <v>13872</v>
      </c>
      <c r="TKF1" s="9" t="s">
        <v>13873</v>
      </c>
      <c r="TKG1" s="9" t="s">
        <v>13874</v>
      </c>
      <c r="TKH1" s="9" t="s">
        <v>13875</v>
      </c>
      <c r="TKI1" s="9" t="s">
        <v>13876</v>
      </c>
      <c r="TKJ1" s="9" t="s">
        <v>13877</v>
      </c>
      <c r="TKK1" s="9" t="s">
        <v>13878</v>
      </c>
      <c r="TKL1" s="9" t="s">
        <v>13879</v>
      </c>
      <c r="TKM1" s="9" t="s">
        <v>13880</v>
      </c>
      <c r="TKN1" s="9" t="s">
        <v>13881</v>
      </c>
      <c r="TKO1" s="9" t="s">
        <v>13882</v>
      </c>
      <c r="TKP1" s="9" t="s">
        <v>13883</v>
      </c>
      <c r="TKQ1" s="9" t="s">
        <v>13884</v>
      </c>
      <c r="TKR1" s="9" t="s">
        <v>13885</v>
      </c>
      <c r="TKS1" s="9" t="s">
        <v>13886</v>
      </c>
      <c r="TKT1" s="9" t="s">
        <v>13887</v>
      </c>
      <c r="TKU1" s="9" t="s">
        <v>13888</v>
      </c>
      <c r="TKV1" s="9" t="s">
        <v>13889</v>
      </c>
      <c r="TKW1" s="9" t="s">
        <v>13890</v>
      </c>
      <c r="TKX1" s="9" t="s">
        <v>13891</v>
      </c>
      <c r="TKY1" s="9" t="s">
        <v>13892</v>
      </c>
      <c r="TKZ1" s="9" t="s">
        <v>13893</v>
      </c>
      <c r="TLA1" s="9" t="s">
        <v>13894</v>
      </c>
      <c r="TLB1" s="9" t="s">
        <v>13895</v>
      </c>
      <c r="TLC1" s="9" t="s">
        <v>13896</v>
      </c>
      <c r="TLD1" s="9" t="s">
        <v>13897</v>
      </c>
      <c r="TLE1" s="9" t="s">
        <v>13898</v>
      </c>
      <c r="TLF1" s="9" t="s">
        <v>13899</v>
      </c>
      <c r="TLG1" s="9" t="s">
        <v>13900</v>
      </c>
      <c r="TLH1" s="9" t="s">
        <v>13901</v>
      </c>
      <c r="TLI1" s="9" t="s">
        <v>13902</v>
      </c>
      <c r="TLJ1" s="9" t="s">
        <v>13903</v>
      </c>
      <c r="TLK1" s="9" t="s">
        <v>13904</v>
      </c>
      <c r="TLL1" s="9" t="s">
        <v>13905</v>
      </c>
      <c r="TLM1" s="9" t="s">
        <v>13906</v>
      </c>
      <c r="TLN1" s="9" t="s">
        <v>13907</v>
      </c>
      <c r="TLO1" s="9" t="s">
        <v>13908</v>
      </c>
      <c r="TLP1" s="9" t="s">
        <v>13909</v>
      </c>
      <c r="TLQ1" s="9" t="s">
        <v>13910</v>
      </c>
      <c r="TLR1" s="9" t="s">
        <v>13911</v>
      </c>
      <c r="TLS1" s="9" t="s">
        <v>13912</v>
      </c>
      <c r="TLT1" s="9" t="s">
        <v>13913</v>
      </c>
      <c r="TLU1" s="9" t="s">
        <v>13914</v>
      </c>
      <c r="TLV1" s="9" t="s">
        <v>13915</v>
      </c>
      <c r="TLW1" s="9" t="s">
        <v>13916</v>
      </c>
      <c r="TLX1" s="9" t="s">
        <v>13917</v>
      </c>
      <c r="TLY1" s="9" t="s">
        <v>13918</v>
      </c>
      <c r="TLZ1" s="9" t="s">
        <v>13919</v>
      </c>
      <c r="TMA1" s="9" t="s">
        <v>13920</v>
      </c>
      <c r="TMB1" s="9" t="s">
        <v>13921</v>
      </c>
      <c r="TMC1" s="9" t="s">
        <v>13922</v>
      </c>
      <c r="TMD1" s="9" t="s">
        <v>13923</v>
      </c>
      <c r="TME1" s="9" t="s">
        <v>13924</v>
      </c>
      <c r="TMF1" s="9" t="s">
        <v>13925</v>
      </c>
      <c r="TMG1" s="9" t="s">
        <v>13926</v>
      </c>
      <c r="TMH1" s="9" t="s">
        <v>13927</v>
      </c>
      <c r="TMI1" s="9" t="s">
        <v>13928</v>
      </c>
      <c r="TMJ1" s="9" t="s">
        <v>13929</v>
      </c>
      <c r="TMK1" s="9" t="s">
        <v>13930</v>
      </c>
      <c r="TML1" s="9" t="s">
        <v>13931</v>
      </c>
      <c r="TMM1" s="9" t="s">
        <v>13932</v>
      </c>
      <c r="TMN1" s="9" t="s">
        <v>13933</v>
      </c>
      <c r="TMO1" s="9" t="s">
        <v>13934</v>
      </c>
      <c r="TMP1" s="9" t="s">
        <v>13935</v>
      </c>
      <c r="TMQ1" s="9" t="s">
        <v>13936</v>
      </c>
      <c r="TMR1" s="9" t="s">
        <v>13937</v>
      </c>
      <c r="TMS1" s="9" t="s">
        <v>13938</v>
      </c>
      <c r="TMT1" s="9" t="s">
        <v>13939</v>
      </c>
      <c r="TMU1" s="9" t="s">
        <v>13940</v>
      </c>
      <c r="TMV1" s="9" t="s">
        <v>13941</v>
      </c>
      <c r="TMW1" s="9" t="s">
        <v>13942</v>
      </c>
      <c r="TMX1" s="9" t="s">
        <v>13943</v>
      </c>
      <c r="TMY1" s="9" t="s">
        <v>13944</v>
      </c>
      <c r="TMZ1" s="9" t="s">
        <v>13945</v>
      </c>
      <c r="TNA1" s="9" t="s">
        <v>13946</v>
      </c>
      <c r="TNB1" s="9" t="s">
        <v>13947</v>
      </c>
      <c r="TNC1" s="9" t="s">
        <v>13948</v>
      </c>
      <c r="TND1" s="9" t="s">
        <v>13949</v>
      </c>
      <c r="TNE1" s="9" t="s">
        <v>13950</v>
      </c>
      <c r="TNF1" s="9" t="s">
        <v>13951</v>
      </c>
      <c r="TNG1" s="9" t="s">
        <v>13952</v>
      </c>
      <c r="TNH1" s="9" t="s">
        <v>13953</v>
      </c>
      <c r="TNI1" s="9" t="s">
        <v>13954</v>
      </c>
      <c r="TNJ1" s="9" t="s">
        <v>13955</v>
      </c>
      <c r="TNK1" s="9" t="s">
        <v>13956</v>
      </c>
      <c r="TNL1" s="9" t="s">
        <v>13957</v>
      </c>
      <c r="TNM1" s="9" t="s">
        <v>13958</v>
      </c>
      <c r="TNN1" s="9" t="s">
        <v>13959</v>
      </c>
      <c r="TNO1" s="9" t="s">
        <v>13960</v>
      </c>
      <c r="TNP1" s="9" t="s">
        <v>13961</v>
      </c>
      <c r="TNQ1" s="9" t="s">
        <v>13962</v>
      </c>
      <c r="TNR1" s="9" t="s">
        <v>13963</v>
      </c>
      <c r="TNS1" s="9" t="s">
        <v>13964</v>
      </c>
      <c r="TNT1" s="9" t="s">
        <v>13965</v>
      </c>
      <c r="TNU1" s="9" t="s">
        <v>13966</v>
      </c>
      <c r="TNV1" s="9" t="s">
        <v>13967</v>
      </c>
      <c r="TNW1" s="9" t="s">
        <v>13968</v>
      </c>
      <c r="TNX1" s="9" t="s">
        <v>13969</v>
      </c>
      <c r="TNY1" s="9" t="s">
        <v>13970</v>
      </c>
      <c r="TNZ1" s="9" t="s">
        <v>13971</v>
      </c>
      <c r="TOA1" s="9" t="s">
        <v>13972</v>
      </c>
      <c r="TOB1" s="9" t="s">
        <v>13973</v>
      </c>
      <c r="TOC1" s="9" t="s">
        <v>13974</v>
      </c>
      <c r="TOD1" s="9" t="s">
        <v>13975</v>
      </c>
      <c r="TOE1" s="9" t="s">
        <v>13976</v>
      </c>
      <c r="TOF1" s="9" t="s">
        <v>13977</v>
      </c>
      <c r="TOG1" s="9" t="s">
        <v>13978</v>
      </c>
      <c r="TOH1" s="9" t="s">
        <v>13979</v>
      </c>
      <c r="TOI1" s="9" t="s">
        <v>13980</v>
      </c>
      <c r="TOJ1" s="9" t="s">
        <v>13981</v>
      </c>
      <c r="TOK1" s="9" t="s">
        <v>13982</v>
      </c>
      <c r="TOL1" s="9" t="s">
        <v>13983</v>
      </c>
      <c r="TOM1" s="9" t="s">
        <v>13984</v>
      </c>
      <c r="TON1" s="9" t="s">
        <v>13985</v>
      </c>
      <c r="TOO1" s="9" t="s">
        <v>13986</v>
      </c>
      <c r="TOP1" s="9" t="s">
        <v>13987</v>
      </c>
      <c r="TOQ1" s="9" t="s">
        <v>13988</v>
      </c>
      <c r="TOR1" s="9" t="s">
        <v>13989</v>
      </c>
      <c r="TOS1" s="9" t="s">
        <v>13990</v>
      </c>
      <c r="TOT1" s="9" t="s">
        <v>13991</v>
      </c>
      <c r="TOU1" s="9" t="s">
        <v>13992</v>
      </c>
      <c r="TOV1" s="9" t="s">
        <v>13993</v>
      </c>
      <c r="TOW1" s="9" t="s">
        <v>13994</v>
      </c>
      <c r="TOX1" s="9" t="s">
        <v>13995</v>
      </c>
      <c r="TOY1" s="9" t="s">
        <v>13996</v>
      </c>
      <c r="TOZ1" s="9" t="s">
        <v>13997</v>
      </c>
      <c r="TPA1" s="9" t="s">
        <v>13998</v>
      </c>
      <c r="TPB1" s="9" t="s">
        <v>13999</v>
      </c>
      <c r="TPC1" s="9" t="s">
        <v>14000</v>
      </c>
      <c r="TPD1" s="9" t="s">
        <v>14001</v>
      </c>
      <c r="TPE1" s="9" t="s">
        <v>14002</v>
      </c>
      <c r="TPF1" s="9" t="s">
        <v>14003</v>
      </c>
      <c r="TPG1" s="9" t="s">
        <v>14004</v>
      </c>
      <c r="TPH1" s="9" t="s">
        <v>14005</v>
      </c>
      <c r="TPI1" s="9" t="s">
        <v>14006</v>
      </c>
      <c r="TPJ1" s="9" t="s">
        <v>14007</v>
      </c>
      <c r="TPK1" s="9" t="s">
        <v>14008</v>
      </c>
      <c r="TPL1" s="9" t="s">
        <v>14009</v>
      </c>
      <c r="TPM1" s="9" t="s">
        <v>14010</v>
      </c>
      <c r="TPN1" s="9" t="s">
        <v>14011</v>
      </c>
      <c r="TPO1" s="9" t="s">
        <v>14012</v>
      </c>
      <c r="TPP1" s="9" t="s">
        <v>14013</v>
      </c>
      <c r="TPQ1" s="9" t="s">
        <v>14014</v>
      </c>
      <c r="TPR1" s="9" t="s">
        <v>14015</v>
      </c>
      <c r="TPS1" s="9" t="s">
        <v>14016</v>
      </c>
      <c r="TPT1" s="9" t="s">
        <v>14017</v>
      </c>
      <c r="TPU1" s="9" t="s">
        <v>14018</v>
      </c>
      <c r="TPV1" s="9" t="s">
        <v>14019</v>
      </c>
      <c r="TPW1" s="9" t="s">
        <v>14020</v>
      </c>
      <c r="TPX1" s="9" t="s">
        <v>14021</v>
      </c>
      <c r="TPY1" s="9" t="s">
        <v>14022</v>
      </c>
      <c r="TPZ1" s="9" t="s">
        <v>14023</v>
      </c>
      <c r="TQA1" s="9" t="s">
        <v>14024</v>
      </c>
      <c r="TQB1" s="9" t="s">
        <v>14025</v>
      </c>
      <c r="TQC1" s="9" t="s">
        <v>14026</v>
      </c>
      <c r="TQD1" s="9" t="s">
        <v>14027</v>
      </c>
      <c r="TQE1" s="9" t="s">
        <v>14028</v>
      </c>
      <c r="TQF1" s="9" t="s">
        <v>14029</v>
      </c>
      <c r="TQG1" s="9" t="s">
        <v>14030</v>
      </c>
      <c r="TQH1" s="9" t="s">
        <v>14031</v>
      </c>
      <c r="TQI1" s="9" t="s">
        <v>14032</v>
      </c>
      <c r="TQJ1" s="9" t="s">
        <v>14033</v>
      </c>
      <c r="TQK1" s="9" t="s">
        <v>14034</v>
      </c>
      <c r="TQL1" s="9" t="s">
        <v>14035</v>
      </c>
      <c r="TQM1" s="9" t="s">
        <v>14036</v>
      </c>
      <c r="TQN1" s="9" t="s">
        <v>14037</v>
      </c>
      <c r="TQO1" s="9" t="s">
        <v>14038</v>
      </c>
      <c r="TQP1" s="9" t="s">
        <v>14039</v>
      </c>
      <c r="TQQ1" s="9" t="s">
        <v>14040</v>
      </c>
      <c r="TQR1" s="9" t="s">
        <v>14041</v>
      </c>
      <c r="TQS1" s="9" t="s">
        <v>14042</v>
      </c>
      <c r="TQT1" s="9" t="s">
        <v>14043</v>
      </c>
      <c r="TQU1" s="9" t="s">
        <v>14044</v>
      </c>
      <c r="TQV1" s="9" t="s">
        <v>14045</v>
      </c>
      <c r="TQW1" s="9" t="s">
        <v>14046</v>
      </c>
      <c r="TQX1" s="9" t="s">
        <v>14047</v>
      </c>
      <c r="TQY1" s="9" t="s">
        <v>14048</v>
      </c>
      <c r="TQZ1" s="9" t="s">
        <v>14049</v>
      </c>
      <c r="TRA1" s="9" t="s">
        <v>14050</v>
      </c>
      <c r="TRB1" s="9" t="s">
        <v>14051</v>
      </c>
      <c r="TRC1" s="9" t="s">
        <v>14052</v>
      </c>
      <c r="TRD1" s="9" t="s">
        <v>14053</v>
      </c>
      <c r="TRE1" s="9" t="s">
        <v>14054</v>
      </c>
      <c r="TRF1" s="9" t="s">
        <v>14055</v>
      </c>
      <c r="TRG1" s="9" t="s">
        <v>14056</v>
      </c>
      <c r="TRH1" s="9" t="s">
        <v>14057</v>
      </c>
      <c r="TRI1" s="9" t="s">
        <v>14058</v>
      </c>
      <c r="TRJ1" s="9" t="s">
        <v>14059</v>
      </c>
      <c r="TRK1" s="9" t="s">
        <v>14060</v>
      </c>
      <c r="TRL1" s="9" t="s">
        <v>14061</v>
      </c>
      <c r="TRM1" s="9" t="s">
        <v>14062</v>
      </c>
      <c r="TRN1" s="9" t="s">
        <v>14063</v>
      </c>
      <c r="TRO1" s="9" t="s">
        <v>14064</v>
      </c>
      <c r="TRP1" s="9" t="s">
        <v>14065</v>
      </c>
      <c r="TRQ1" s="9" t="s">
        <v>14066</v>
      </c>
      <c r="TRR1" s="9" t="s">
        <v>14067</v>
      </c>
      <c r="TRS1" s="9" t="s">
        <v>14068</v>
      </c>
      <c r="TRT1" s="9" t="s">
        <v>14069</v>
      </c>
      <c r="TRU1" s="9" t="s">
        <v>14070</v>
      </c>
      <c r="TRV1" s="9" t="s">
        <v>14071</v>
      </c>
      <c r="TRW1" s="9" t="s">
        <v>14072</v>
      </c>
      <c r="TRX1" s="9" t="s">
        <v>14073</v>
      </c>
      <c r="TRY1" s="9" t="s">
        <v>14074</v>
      </c>
      <c r="TRZ1" s="9" t="s">
        <v>14075</v>
      </c>
      <c r="TSA1" s="9" t="s">
        <v>14076</v>
      </c>
      <c r="TSB1" s="9" t="s">
        <v>14077</v>
      </c>
      <c r="TSC1" s="9" t="s">
        <v>14078</v>
      </c>
      <c r="TSD1" s="9" t="s">
        <v>14079</v>
      </c>
      <c r="TSE1" s="9" t="s">
        <v>14080</v>
      </c>
      <c r="TSF1" s="9" t="s">
        <v>14081</v>
      </c>
      <c r="TSG1" s="9" t="s">
        <v>14082</v>
      </c>
      <c r="TSH1" s="9" t="s">
        <v>14083</v>
      </c>
      <c r="TSI1" s="9" t="s">
        <v>14084</v>
      </c>
      <c r="TSJ1" s="9" t="s">
        <v>14085</v>
      </c>
      <c r="TSK1" s="9" t="s">
        <v>14086</v>
      </c>
      <c r="TSL1" s="9" t="s">
        <v>14087</v>
      </c>
      <c r="TSM1" s="9" t="s">
        <v>14088</v>
      </c>
      <c r="TSN1" s="9" t="s">
        <v>14089</v>
      </c>
      <c r="TSO1" s="9" t="s">
        <v>14090</v>
      </c>
      <c r="TSP1" s="9" t="s">
        <v>14091</v>
      </c>
      <c r="TSQ1" s="9" t="s">
        <v>14092</v>
      </c>
      <c r="TSR1" s="9" t="s">
        <v>14093</v>
      </c>
      <c r="TSS1" s="9" t="s">
        <v>14094</v>
      </c>
      <c r="TST1" s="9" t="s">
        <v>14095</v>
      </c>
      <c r="TSU1" s="9" t="s">
        <v>14096</v>
      </c>
      <c r="TSV1" s="9" t="s">
        <v>14097</v>
      </c>
      <c r="TSW1" s="9" t="s">
        <v>14098</v>
      </c>
      <c r="TSX1" s="9" t="s">
        <v>14099</v>
      </c>
      <c r="TSY1" s="9" t="s">
        <v>14100</v>
      </c>
      <c r="TSZ1" s="9" t="s">
        <v>14101</v>
      </c>
      <c r="TTA1" s="9" t="s">
        <v>14102</v>
      </c>
      <c r="TTB1" s="9" t="s">
        <v>14103</v>
      </c>
      <c r="TTC1" s="9" t="s">
        <v>14104</v>
      </c>
      <c r="TTD1" s="9" t="s">
        <v>14105</v>
      </c>
      <c r="TTE1" s="9" t="s">
        <v>14106</v>
      </c>
      <c r="TTF1" s="9" t="s">
        <v>14107</v>
      </c>
      <c r="TTG1" s="9" t="s">
        <v>14108</v>
      </c>
      <c r="TTH1" s="9" t="s">
        <v>14109</v>
      </c>
      <c r="TTI1" s="9" t="s">
        <v>14110</v>
      </c>
      <c r="TTJ1" s="9" t="s">
        <v>14111</v>
      </c>
      <c r="TTK1" s="9" t="s">
        <v>14112</v>
      </c>
      <c r="TTL1" s="9" t="s">
        <v>14113</v>
      </c>
      <c r="TTM1" s="9" t="s">
        <v>14114</v>
      </c>
      <c r="TTN1" s="9" t="s">
        <v>14115</v>
      </c>
      <c r="TTO1" s="9" t="s">
        <v>14116</v>
      </c>
      <c r="TTP1" s="9" t="s">
        <v>14117</v>
      </c>
      <c r="TTQ1" s="9" t="s">
        <v>14118</v>
      </c>
      <c r="TTR1" s="9" t="s">
        <v>14119</v>
      </c>
      <c r="TTS1" s="9" t="s">
        <v>14120</v>
      </c>
      <c r="TTT1" s="9" t="s">
        <v>14121</v>
      </c>
      <c r="TTU1" s="9" t="s">
        <v>14122</v>
      </c>
      <c r="TTV1" s="9" t="s">
        <v>14123</v>
      </c>
      <c r="TTW1" s="9" t="s">
        <v>14124</v>
      </c>
      <c r="TTX1" s="9" t="s">
        <v>14125</v>
      </c>
      <c r="TTY1" s="9" t="s">
        <v>14126</v>
      </c>
      <c r="TTZ1" s="9" t="s">
        <v>14127</v>
      </c>
      <c r="TUA1" s="9" t="s">
        <v>14128</v>
      </c>
      <c r="TUB1" s="9" t="s">
        <v>14129</v>
      </c>
      <c r="TUC1" s="9" t="s">
        <v>14130</v>
      </c>
      <c r="TUD1" s="9" t="s">
        <v>14131</v>
      </c>
      <c r="TUE1" s="9" t="s">
        <v>14132</v>
      </c>
      <c r="TUF1" s="9" t="s">
        <v>14133</v>
      </c>
      <c r="TUG1" s="9" t="s">
        <v>14134</v>
      </c>
      <c r="TUH1" s="9" t="s">
        <v>14135</v>
      </c>
      <c r="TUI1" s="9" t="s">
        <v>14136</v>
      </c>
      <c r="TUJ1" s="9" t="s">
        <v>14137</v>
      </c>
      <c r="TUK1" s="9" t="s">
        <v>14138</v>
      </c>
      <c r="TUL1" s="9" t="s">
        <v>14139</v>
      </c>
      <c r="TUM1" s="9" t="s">
        <v>14140</v>
      </c>
      <c r="TUN1" s="9" t="s">
        <v>14141</v>
      </c>
      <c r="TUO1" s="9" t="s">
        <v>14142</v>
      </c>
      <c r="TUP1" s="9" t="s">
        <v>14143</v>
      </c>
      <c r="TUQ1" s="9" t="s">
        <v>14144</v>
      </c>
      <c r="TUR1" s="9" t="s">
        <v>14145</v>
      </c>
      <c r="TUS1" s="9" t="s">
        <v>14146</v>
      </c>
      <c r="TUT1" s="9" t="s">
        <v>14147</v>
      </c>
      <c r="TUU1" s="9" t="s">
        <v>14148</v>
      </c>
      <c r="TUV1" s="9" t="s">
        <v>14149</v>
      </c>
      <c r="TUW1" s="9" t="s">
        <v>14150</v>
      </c>
      <c r="TUX1" s="9" t="s">
        <v>14151</v>
      </c>
      <c r="TUY1" s="9" t="s">
        <v>14152</v>
      </c>
      <c r="TUZ1" s="9" t="s">
        <v>14153</v>
      </c>
      <c r="TVA1" s="9" t="s">
        <v>14154</v>
      </c>
      <c r="TVB1" s="9" t="s">
        <v>14155</v>
      </c>
      <c r="TVC1" s="9" t="s">
        <v>14156</v>
      </c>
      <c r="TVD1" s="9" t="s">
        <v>14157</v>
      </c>
      <c r="TVE1" s="9" t="s">
        <v>14158</v>
      </c>
      <c r="TVF1" s="9" t="s">
        <v>14159</v>
      </c>
      <c r="TVG1" s="9" t="s">
        <v>14160</v>
      </c>
      <c r="TVH1" s="9" t="s">
        <v>14161</v>
      </c>
      <c r="TVI1" s="9" t="s">
        <v>14162</v>
      </c>
      <c r="TVJ1" s="9" t="s">
        <v>14163</v>
      </c>
      <c r="TVK1" s="9" t="s">
        <v>14164</v>
      </c>
      <c r="TVL1" s="9" t="s">
        <v>14165</v>
      </c>
      <c r="TVM1" s="9" t="s">
        <v>14166</v>
      </c>
      <c r="TVN1" s="9" t="s">
        <v>14167</v>
      </c>
      <c r="TVO1" s="9" t="s">
        <v>14168</v>
      </c>
      <c r="TVP1" s="9" t="s">
        <v>14169</v>
      </c>
      <c r="TVQ1" s="9" t="s">
        <v>14170</v>
      </c>
      <c r="TVR1" s="9" t="s">
        <v>14171</v>
      </c>
      <c r="TVS1" s="9" t="s">
        <v>14172</v>
      </c>
      <c r="TVT1" s="9" t="s">
        <v>14173</v>
      </c>
      <c r="TVU1" s="9" t="s">
        <v>14174</v>
      </c>
      <c r="TVV1" s="9" t="s">
        <v>14175</v>
      </c>
      <c r="TVW1" s="9" t="s">
        <v>14176</v>
      </c>
      <c r="TVX1" s="9" t="s">
        <v>14177</v>
      </c>
      <c r="TVY1" s="9" t="s">
        <v>14178</v>
      </c>
      <c r="TVZ1" s="9" t="s">
        <v>14179</v>
      </c>
      <c r="TWA1" s="9" t="s">
        <v>14180</v>
      </c>
      <c r="TWB1" s="9" t="s">
        <v>14181</v>
      </c>
      <c r="TWC1" s="9" t="s">
        <v>14182</v>
      </c>
      <c r="TWD1" s="9" t="s">
        <v>14183</v>
      </c>
      <c r="TWE1" s="9" t="s">
        <v>14184</v>
      </c>
      <c r="TWF1" s="9" t="s">
        <v>14185</v>
      </c>
      <c r="TWG1" s="9" t="s">
        <v>14186</v>
      </c>
      <c r="TWH1" s="9" t="s">
        <v>14187</v>
      </c>
      <c r="TWI1" s="9" t="s">
        <v>14188</v>
      </c>
      <c r="TWJ1" s="9" t="s">
        <v>14189</v>
      </c>
      <c r="TWK1" s="9" t="s">
        <v>14190</v>
      </c>
      <c r="TWL1" s="9" t="s">
        <v>14191</v>
      </c>
      <c r="TWM1" s="9" t="s">
        <v>14192</v>
      </c>
      <c r="TWN1" s="9" t="s">
        <v>14193</v>
      </c>
      <c r="TWO1" s="9" t="s">
        <v>14194</v>
      </c>
      <c r="TWP1" s="9" t="s">
        <v>14195</v>
      </c>
      <c r="TWQ1" s="9" t="s">
        <v>14196</v>
      </c>
      <c r="TWR1" s="9" t="s">
        <v>14197</v>
      </c>
      <c r="TWS1" s="9" t="s">
        <v>14198</v>
      </c>
      <c r="TWT1" s="9" t="s">
        <v>14199</v>
      </c>
      <c r="TWU1" s="9" t="s">
        <v>14200</v>
      </c>
      <c r="TWV1" s="9" t="s">
        <v>14201</v>
      </c>
      <c r="TWW1" s="9" t="s">
        <v>14202</v>
      </c>
      <c r="TWX1" s="9" t="s">
        <v>14203</v>
      </c>
      <c r="TWY1" s="9" t="s">
        <v>14204</v>
      </c>
      <c r="TWZ1" s="9" t="s">
        <v>14205</v>
      </c>
      <c r="TXA1" s="9" t="s">
        <v>14206</v>
      </c>
      <c r="TXB1" s="9" t="s">
        <v>14207</v>
      </c>
      <c r="TXC1" s="9" t="s">
        <v>14208</v>
      </c>
      <c r="TXD1" s="9" t="s">
        <v>14209</v>
      </c>
      <c r="TXE1" s="9" t="s">
        <v>14210</v>
      </c>
      <c r="TXF1" s="9" t="s">
        <v>14211</v>
      </c>
      <c r="TXG1" s="9" t="s">
        <v>14212</v>
      </c>
      <c r="TXH1" s="9" t="s">
        <v>14213</v>
      </c>
      <c r="TXI1" s="9" t="s">
        <v>14214</v>
      </c>
      <c r="TXJ1" s="9" t="s">
        <v>14215</v>
      </c>
      <c r="TXK1" s="9" t="s">
        <v>14216</v>
      </c>
      <c r="TXL1" s="9" t="s">
        <v>14217</v>
      </c>
      <c r="TXM1" s="9" t="s">
        <v>14218</v>
      </c>
      <c r="TXN1" s="9" t="s">
        <v>14219</v>
      </c>
      <c r="TXO1" s="9" t="s">
        <v>14220</v>
      </c>
      <c r="TXP1" s="9" t="s">
        <v>14221</v>
      </c>
      <c r="TXQ1" s="9" t="s">
        <v>14222</v>
      </c>
      <c r="TXR1" s="9" t="s">
        <v>14223</v>
      </c>
      <c r="TXS1" s="9" t="s">
        <v>14224</v>
      </c>
      <c r="TXT1" s="9" t="s">
        <v>14225</v>
      </c>
      <c r="TXU1" s="9" t="s">
        <v>14226</v>
      </c>
      <c r="TXV1" s="9" t="s">
        <v>14227</v>
      </c>
      <c r="TXW1" s="9" t="s">
        <v>14228</v>
      </c>
      <c r="TXX1" s="9" t="s">
        <v>14229</v>
      </c>
      <c r="TXY1" s="9" t="s">
        <v>14230</v>
      </c>
      <c r="TXZ1" s="9" t="s">
        <v>14231</v>
      </c>
      <c r="TYA1" s="9" t="s">
        <v>14232</v>
      </c>
      <c r="TYB1" s="9" t="s">
        <v>14233</v>
      </c>
      <c r="TYC1" s="9" t="s">
        <v>14234</v>
      </c>
      <c r="TYD1" s="9" t="s">
        <v>14235</v>
      </c>
      <c r="TYE1" s="9" t="s">
        <v>14236</v>
      </c>
      <c r="TYF1" s="9" t="s">
        <v>14237</v>
      </c>
      <c r="TYG1" s="9" t="s">
        <v>14238</v>
      </c>
      <c r="TYH1" s="9" t="s">
        <v>14239</v>
      </c>
      <c r="TYI1" s="9" t="s">
        <v>14240</v>
      </c>
      <c r="TYJ1" s="9" t="s">
        <v>14241</v>
      </c>
      <c r="TYK1" s="9" t="s">
        <v>14242</v>
      </c>
      <c r="TYL1" s="9" t="s">
        <v>14243</v>
      </c>
      <c r="TYM1" s="9" t="s">
        <v>14244</v>
      </c>
      <c r="TYN1" s="9" t="s">
        <v>14245</v>
      </c>
      <c r="TYO1" s="9" t="s">
        <v>14246</v>
      </c>
      <c r="TYP1" s="9" t="s">
        <v>14247</v>
      </c>
      <c r="TYQ1" s="9" t="s">
        <v>14248</v>
      </c>
      <c r="TYR1" s="9" t="s">
        <v>14249</v>
      </c>
      <c r="TYS1" s="9" t="s">
        <v>14250</v>
      </c>
      <c r="TYT1" s="9" t="s">
        <v>14251</v>
      </c>
      <c r="TYU1" s="9" t="s">
        <v>14252</v>
      </c>
      <c r="TYV1" s="9" t="s">
        <v>14253</v>
      </c>
      <c r="TYW1" s="9" t="s">
        <v>14254</v>
      </c>
      <c r="TYX1" s="9" t="s">
        <v>14255</v>
      </c>
      <c r="TYY1" s="9" t="s">
        <v>14256</v>
      </c>
      <c r="TYZ1" s="9" t="s">
        <v>14257</v>
      </c>
      <c r="TZA1" s="9" t="s">
        <v>14258</v>
      </c>
      <c r="TZB1" s="9" t="s">
        <v>14259</v>
      </c>
      <c r="TZC1" s="9" t="s">
        <v>14260</v>
      </c>
      <c r="TZD1" s="9" t="s">
        <v>14261</v>
      </c>
      <c r="TZE1" s="9" t="s">
        <v>14262</v>
      </c>
      <c r="TZF1" s="9" t="s">
        <v>14263</v>
      </c>
      <c r="TZG1" s="9" t="s">
        <v>14264</v>
      </c>
      <c r="TZH1" s="9" t="s">
        <v>14265</v>
      </c>
      <c r="TZI1" s="9" t="s">
        <v>14266</v>
      </c>
      <c r="TZJ1" s="9" t="s">
        <v>14267</v>
      </c>
      <c r="TZK1" s="9" t="s">
        <v>14268</v>
      </c>
      <c r="TZL1" s="9" t="s">
        <v>14269</v>
      </c>
      <c r="TZM1" s="9" t="s">
        <v>14270</v>
      </c>
      <c r="TZN1" s="9" t="s">
        <v>14271</v>
      </c>
      <c r="TZO1" s="9" t="s">
        <v>14272</v>
      </c>
      <c r="TZP1" s="9" t="s">
        <v>14273</v>
      </c>
      <c r="TZQ1" s="9" t="s">
        <v>14274</v>
      </c>
      <c r="TZR1" s="9" t="s">
        <v>14275</v>
      </c>
      <c r="TZS1" s="9" t="s">
        <v>14276</v>
      </c>
      <c r="TZT1" s="9" t="s">
        <v>14277</v>
      </c>
      <c r="TZU1" s="9" t="s">
        <v>14278</v>
      </c>
      <c r="TZV1" s="9" t="s">
        <v>14279</v>
      </c>
      <c r="TZW1" s="9" t="s">
        <v>14280</v>
      </c>
      <c r="TZX1" s="9" t="s">
        <v>14281</v>
      </c>
      <c r="TZY1" s="9" t="s">
        <v>14282</v>
      </c>
      <c r="TZZ1" s="9" t="s">
        <v>14283</v>
      </c>
      <c r="UAA1" s="9" t="s">
        <v>14284</v>
      </c>
      <c r="UAB1" s="9" t="s">
        <v>14285</v>
      </c>
      <c r="UAC1" s="9" t="s">
        <v>14286</v>
      </c>
      <c r="UAD1" s="9" t="s">
        <v>14287</v>
      </c>
      <c r="UAE1" s="9" t="s">
        <v>14288</v>
      </c>
      <c r="UAF1" s="9" t="s">
        <v>14289</v>
      </c>
      <c r="UAG1" s="9" t="s">
        <v>14290</v>
      </c>
      <c r="UAH1" s="9" t="s">
        <v>14291</v>
      </c>
      <c r="UAI1" s="9" t="s">
        <v>14292</v>
      </c>
      <c r="UAJ1" s="9" t="s">
        <v>14293</v>
      </c>
      <c r="UAK1" s="9" t="s">
        <v>14294</v>
      </c>
      <c r="UAL1" s="9" t="s">
        <v>14295</v>
      </c>
      <c r="UAM1" s="9" t="s">
        <v>14296</v>
      </c>
      <c r="UAN1" s="9" t="s">
        <v>14297</v>
      </c>
      <c r="UAO1" s="9" t="s">
        <v>14298</v>
      </c>
      <c r="UAP1" s="9" t="s">
        <v>14299</v>
      </c>
      <c r="UAQ1" s="9" t="s">
        <v>14300</v>
      </c>
      <c r="UAR1" s="9" t="s">
        <v>14301</v>
      </c>
      <c r="UAS1" s="9" t="s">
        <v>14302</v>
      </c>
      <c r="UAT1" s="9" t="s">
        <v>14303</v>
      </c>
      <c r="UAU1" s="9" t="s">
        <v>14304</v>
      </c>
      <c r="UAV1" s="9" t="s">
        <v>14305</v>
      </c>
      <c r="UAW1" s="9" t="s">
        <v>14306</v>
      </c>
      <c r="UAX1" s="9" t="s">
        <v>14307</v>
      </c>
      <c r="UAY1" s="9" t="s">
        <v>14308</v>
      </c>
      <c r="UAZ1" s="9" t="s">
        <v>14309</v>
      </c>
      <c r="UBA1" s="9" t="s">
        <v>14310</v>
      </c>
      <c r="UBB1" s="9" t="s">
        <v>14311</v>
      </c>
      <c r="UBC1" s="9" t="s">
        <v>14312</v>
      </c>
      <c r="UBD1" s="9" t="s">
        <v>14313</v>
      </c>
      <c r="UBE1" s="9" t="s">
        <v>14314</v>
      </c>
      <c r="UBF1" s="9" t="s">
        <v>14315</v>
      </c>
      <c r="UBG1" s="9" t="s">
        <v>14316</v>
      </c>
      <c r="UBH1" s="9" t="s">
        <v>14317</v>
      </c>
      <c r="UBI1" s="9" t="s">
        <v>14318</v>
      </c>
      <c r="UBJ1" s="9" t="s">
        <v>14319</v>
      </c>
      <c r="UBK1" s="9" t="s">
        <v>14320</v>
      </c>
      <c r="UBL1" s="9" t="s">
        <v>14321</v>
      </c>
      <c r="UBM1" s="9" t="s">
        <v>14322</v>
      </c>
      <c r="UBN1" s="9" t="s">
        <v>14323</v>
      </c>
      <c r="UBO1" s="9" t="s">
        <v>14324</v>
      </c>
      <c r="UBP1" s="9" t="s">
        <v>14325</v>
      </c>
      <c r="UBQ1" s="9" t="s">
        <v>14326</v>
      </c>
      <c r="UBR1" s="9" t="s">
        <v>14327</v>
      </c>
      <c r="UBS1" s="9" t="s">
        <v>14328</v>
      </c>
      <c r="UBT1" s="9" t="s">
        <v>14329</v>
      </c>
      <c r="UBU1" s="9" t="s">
        <v>14330</v>
      </c>
      <c r="UBV1" s="9" t="s">
        <v>14331</v>
      </c>
      <c r="UBW1" s="9" t="s">
        <v>14332</v>
      </c>
      <c r="UBX1" s="9" t="s">
        <v>14333</v>
      </c>
      <c r="UBY1" s="9" t="s">
        <v>14334</v>
      </c>
      <c r="UBZ1" s="9" t="s">
        <v>14335</v>
      </c>
      <c r="UCA1" s="9" t="s">
        <v>14336</v>
      </c>
      <c r="UCB1" s="9" t="s">
        <v>14337</v>
      </c>
      <c r="UCC1" s="9" t="s">
        <v>14338</v>
      </c>
      <c r="UCD1" s="9" t="s">
        <v>14339</v>
      </c>
      <c r="UCE1" s="9" t="s">
        <v>14340</v>
      </c>
      <c r="UCF1" s="9" t="s">
        <v>14341</v>
      </c>
      <c r="UCG1" s="9" t="s">
        <v>14342</v>
      </c>
      <c r="UCH1" s="9" t="s">
        <v>14343</v>
      </c>
      <c r="UCI1" s="9" t="s">
        <v>14344</v>
      </c>
      <c r="UCJ1" s="9" t="s">
        <v>14345</v>
      </c>
      <c r="UCK1" s="9" t="s">
        <v>14346</v>
      </c>
      <c r="UCL1" s="9" t="s">
        <v>14347</v>
      </c>
      <c r="UCM1" s="9" t="s">
        <v>14348</v>
      </c>
      <c r="UCN1" s="9" t="s">
        <v>14349</v>
      </c>
      <c r="UCO1" s="9" t="s">
        <v>14350</v>
      </c>
      <c r="UCP1" s="9" t="s">
        <v>14351</v>
      </c>
      <c r="UCQ1" s="9" t="s">
        <v>14352</v>
      </c>
      <c r="UCR1" s="9" t="s">
        <v>14353</v>
      </c>
      <c r="UCS1" s="9" t="s">
        <v>14354</v>
      </c>
      <c r="UCT1" s="9" t="s">
        <v>14355</v>
      </c>
      <c r="UCU1" s="9" t="s">
        <v>14356</v>
      </c>
      <c r="UCV1" s="9" t="s">
        <v>14357</v>
      </c>
      <c r="UCW1" s="9" t="s">
        <v>14358</v>
      </c>
      <c r="UCX1" s="9" t="s">
        <v>14359</v>
      </c>
      <c r="UCY1" s="9" t="s">
        <v>14360</v>
      </c>
      <c r="UCZ1" s="9" t="s">
        <v>14361</v>
      </c>
      <c r="UDA1" s="9" t="s">
        <v>14362</v>
      </c>
      <c r="UDB1" s="9" t="s">
        <v>14363</v>
      </c>
      <c r="UDC1" s="9" t="s">
        <v>14364</v>
      </c>
      <c r="UDD1" s="9" t="s">
        <v>14365</v>
      </c>
      <c r="UDE1" s="9" t="s">
        <v>14366</v>
      </c>
      <c r="UDF1" s="9" t="s">
        <v>14367</v>
      </c>
      <c r="UDG1" s="9" t="s">
        <v>14368</v>
      </c>
      <c r="UDH1" s="9" t="s">
        <v>14369</v>
      </c>
      <c r="UDI1" s="9" t="s">
        <v>14370</v>
      </c>
      <c r="UDJ1" s="9" t="s">
        <v>14371</v>
      </c>
      <c r="UDK1" s="9" t="s">
        <v>14372</v>
      </c>
      <c r="UDL1" s="9" t="s">
        <v>14373</v>
      </c>
      <c r="UDM1" s="9" t="s">
        <v>14374</v>
      </c>
      <c r="UDN1" s="9" t="s">
        <v>14375</v>
      </c>
      <c r="UDO1" s="9" t="s">
        <v>14376</v>
      </c>
      <c r="UDP1" s="9" t="s">
        <v>14377</v>
      </c>
      <c r="UDQ1" s="9" t="s">
        <v>14378</v>
      </c>
      <c r="UDR1" s="9" t="s">
        <v>14379</v>
      </c>
      <c r="UDS1" s="9" t="s">
        <v>14380</v>
      </c>
      <c r="UDT1" s="9" t="s">
        <v>14381</v>
      </c>
      <c r="UDU1" s="9" t="s">
        <v>14382</v>
      </c>
      <c r="UDV1" s="9" t="s">
        <v>14383</v>
      </c>
      <c r="UDW1" s="9" t="s">
        <v>14384</v>
      </c>
      <c r="UDX1" s="9" t="s">
        <v>14385</v>
      </c>
      <c r="UDY1" s="9" t="s">
        <v>14386</v>
      </c>
      <c r="UDZ1" s="9" t="s">
        <v>14387</v>
      </c>
      <c r="UEA1" s="9" t="s">
        <v>14388</v>
      </c>
      <c r="UEB1" s="9" t="s">
        <v>14389</v>
      </c>
      <c r="UEC1" s="9" t="s">
        <v>14390</v>
      </c>
      <c r="UED1" s="9" t="s">
        <v>14391</v>
      </c>
      <c r="UEE1" s="9" t="s">
        <v>14392</v>
      </c>
      <c r="UEF1" s="9" t="s">
        <v>14393</v>
      </c>
      <c r="UEG1" s="9" t="s">
        <v>14394</v>
      </c>
      <c r="UEH1" s="9" t="s">
        <v>14395</v>
      </c>
      <c r="UEI1" s="9" t="s">
        <v>14396</v>
      </c>
      <c r="UEJ1" s="9" t="s">
        <v>14397</v>
      </c>
      <c r="UEK1" s="9" t="s">
        <v>14398</v>
      </c>
      <c r="UEL1" s="9" t="s">
        <v>14399</v>
      </c>
      <c r="UEM1" s="9" t="s">
        <v>14400</v>
      </c>
      <c r="UEN1" s="9" t="s">
        <v>14401</v>
      </c>
      <c r="UEO1" s="9" t="s">
        <v>14402</v>
      </c>
      <c r="UEP1" s="9" t="s">
        <v>14403</v>
      </c>
      <c r="UEQ1" s="9" t="s">
        <v>14404</v>
      </c>
      <c r="UER1" s="9" t="s">
        <v>14405</v>
      </c>
      <c r="UES1" s="9" t="s">
        <v>14406</v>
      </c>
      <c r="UET1" s="9" t="s">
        <v>14407</v>
      </c>
      <c r="UEU1" s="9" t="s">
        <v>14408</v>
      </c>
      <c r="UEV1" s="9" t="s">
        <v>14409</v>
      </c>
      <c r="UEW1" s="9" t="s">
        <v>14410</v>
      </c>
      <c r="UEX1" s="9" t="s">
        <v>14411</v>
      </c>
      <c r="UEY1" s="9" t="s">
        <v>14412</v>
      </c>
      <c r="UEZ1" s="9" t="s">
        <v>14413</v>
      </c>
      <c r="UFA1" s="9" t="s">
        <v>14414</v>
      </c>
      <c r="UFB1" s="9" t="s">
        <v>14415</v>
      </c>
      <c r="UFC1" s="9" t="s">
        <v>14416</v>
      </c>
      <c r="UFD1" s="9" t="s">
        <v>14417</v>
      </c>
      <c r="UFE1" s="9" t="s">
        <v>14418</v>
      </c>
      <c r="UFF1" s="9" t="s">
        <v>14419</v>
      </c>
      <c r="UFG1" s="9" t="s">
        <v>14420</v>
      </c>
      <c r="UFH1" s="9" t="s">
        <v>14421</v>
      </c>
      <c r="UFI1" s="9" t="s">
        <v>14422</v>
      </c>
      <c r="UFJ1" s="9" t="s">
        <v>14423</v>
      </c>
      <c r="UFK1" s="9" t="s">
        <v>14424</v>
      </c>
      <c r="UFL1" s="9" t="s">
        <v>14425</v>
      </c>
      <c r="UFM1" s="9" t="s">
        <v>14426</v>
      </c>
      <c r="UFN1" s="9" t="s">
        <v>14427</v>
      </c>
      <c r="UFO1" s="9" t="s">
        <v>14428</v>
      </c>
      <c r="UFP1" s="9" t="s">
        <v>14429</v>
      </c>
      <c r="UFQ1" s="9" t="s">
        <v>14430</v>
      </c>
      <c r="UFR1" s="9" t="s">
        <v>14431</v>
      </c>
      <c r="UFS1" s="9" t="s">
        <v>14432</v>
      </c>
      <c r="UFT1" s="9" t="s">
        <v>14433</v>
      </c>
      <c r="UFU1" s="9" t="s">
        <v>14434</v>
      </c>
      <c r="UFV1" s="9" t="s">
        <v>14435</v>
      </c>
      <c r="UFW1" s="9" t="s">
        <v>14436</v>
      </c>
      <c r="UFX1" s="9" t="s">
        <v>14437</v>
      </c>
      <c r="UFY1" s="9" t="s">
        <v>14438</v>
      </c>
      <c r="UFZ1" s="9" t="s">
        <v>14439</v>
      </c>
      <c r="UGA1" s="9" t="s">
        <v>14440</v>
      </c>
      <c r="UGB1" s="9" t="s">
        <v>14441</v>
      </c>
      <c r="UGC1" s="9" t="s">
        <v>14442</v>
      </c>
      <c r="UGD1" s="9" t="s">
        <v>14443</v>
      </c>
      <c r="UGE1" s="9" t="s">
        <v>14444</v>
      </c>
      <c r="UGF1" s="9" t="s">
        <v>14445</v>
      </c>
      <c r="UGG1" s="9" t="s">
        <v>14446</v>
      </c>
      <c r="UGH1" s="9" t="s">
        <v>14447</v>
      </c>
      <c r="UGI1" s="9" t="s">
        <v>14448</v>
      </c>
      <c r="UGJ1" s="9" t="s">
        <v>14449</v>
      </c>
      <c r="UGK1" s="9" t="s">
        <v>14450</v>
      </c>
      <c r="UGL1" s="9" t="s">
        <v>14451</v>
      </c>
      <c r="UGM1" s="9" t="s">
        <v>14452</v>
      </c>
      <c r="UGN1" s="9" t="s">
        <v>14453</v>
      </c>
      <c r="UGO1" s="9" t="s">
        <v>14454</v>
      </c>
      <c r="UGP1" s="9" t="s">
        <v>14455</v>
      </c>
      <c r="UGQ1" s="9" t="s">
        <v>14456</v>
      </c>
      <c r="UGR1" s="9" t="s">
        <v>14457</v>
      </c>
      <c r="UGS1" s="9" t="s">
        <v>14458</v>
      </c>
      <c r="UGT1" s="9" t="s">
        <v>14459</v>
      </c>
      <c r="UGU1" s="9" t="s">
        <v>14460</v>
      </c>
      <c r="UGV1" s="9" t="s">
        <v>14461</v>
      </c>
      <c r="UGW1" s="9" t="s">
        <v>14462</v>
      </c>
      <c r="UGX1" s="9" t="s">
        <v>14463</v>
      </c>
      <c r="UGY1" s="9" t="s">
        <v>14464</v>
      </c>
      <c r="UGZ1" s="9" t="s">
        <v>14465</v>
      </c>
      <c r="UHA1" s="9" t="s">
        <v>14466</v>
      </c>
      <c r="UHB1" s="9" t="s">
        <v>14467</v>
      </c>
      <c r="UHC1" s="9" t="s">
        <v>14468</v>
      </c>
      <c r="UHD1" s="9" t="s">
        <v>14469</v>
      </c>
      <c r="UHE1" s="9" t="s">
        <v>14470</v>
      </c>
      <c r="UHF1" s="9" t="s">
        <v>14471</v>
      </c>
      <c r="UHG1" s="9" t="s">
        <v>14472</v>
      </c>
      <c r="UHH1" s="9" t="s">
        <v>14473</v>
      </c>
      <c r="UHI1" s="9" t="s">
        <v>14474</v>
      </c>
      <c r="UHJ1" s="9" t="s">
        <v>14475</v>
      </c>
      <c r="UHK1" s="9" t="s">
        <v>14476</v>
      </c>
      <c r="UHL1" s="9" t="s">
        <v>14477</v>
      </c>
      <c r="UHM1" s="9" t="s">
        <v>14478</v>
      </c>
      <c r="UHN1" s="9" t="s">
        <v>14479</v>
      </c>
      <c r="UHO1" s="9" t="s">
        <v>14480</v>
      </c>
      <c r="UHP1" s="9" t="s">
        <v>14481</v>
      </c>
      <c r="UHQ1" s="9" t="s">
        <v>14482</v>
      </c>
      <c r="UHR1" s="9" t="s">
        <v>14483</v>
      </c>
      <c r="UHS1" s="9" t="s">
        <v>14484</v>
      </c>
      <c r="UHT1" s="9" t="s">
        <v>14485</v>
      </c>
      <c r="UHU1" s="9" t="s">
        <v>14486</v>
      </c>
      <c r="UHV1" s="9" t="s">
        <v>14487</v>
      </c>
      <c r="UHW1" s="9" t="s">
        <v>14488</v>
      </c>
      <c r="UHX1" s="9" t="s">
        <v>14489</v>
      </c>
      <c r="UHY1" s="9" t="s">
        <v>14490</v>
      </c>
      <c r="UHZ1" s="9" t="s">
        <v>14491</v>
      </c>
      <c r="UIA1" s="9" t="s">
        <v>14492</v>
      </c>
      <c r="UIB1" s="9" t="s">
        <v>14493</v>
      </c>
      <c r="UIC1" s="9" t="s">
        <v>14494</v>
      </c>
      <c r="UID1" s="9" t="s">
        <v>14495</v>
      </c>
      <c r="UIE1" s="9" t="s">
        <v>14496</v>
      </c>
      <c r="UIF1" s="9" t="s">
        <v>14497</v>
      </c>
      <c r="UIG1" s="9" t="s">
        <v>14498</v>
      </c>
      <c r="UIH1" s="9" t="s">
        <v>14499</v>
      </c>
      <c r="UII1" s="9" t="s">
        <v>14500</v>
      </c>
      <c r="UIJ1" s="9" t="s">
        <v>14501</v>
      </c>
      <c r="UIK1" s="9" t="s">
        <v>14502</v>
      </c>
      <c r="UIL1" s="9" t="s">
        <v>14503</v>
      </c>
      <c r="UIM1" s="9" t="s">
        <v>14504</v>
      </c>
      <c r="UIN1" s="9" t="s">
        <v>14505</v>
      </c>
      <c r="UIO1" s="9" t="s">
        <v>14506</v>
      </c>
      <c r="UIP1" s="9" t="s">
        <v>14507</v>
      </c>
      <c r="UIQ1" s="9" t="s">
        <v>14508</v>
      </c>
      <c r="UIR1" s="9" t="s">
        <v>14509</v>
      </c>
      <c r="UIS1" s="9" t="s">
        <v>14510</v>
      </c>
      <c r="UIT1" s="9" t="s">
        <v>14511</v>
      </c>
      <c r="UIU1" s="9" t="s">
        <v>14512</v>
      </c>
      <c r="UIV1" s="9" t="s">
        <v>14513</v>
      </c>
      <c r="UIW1" s="9" t="s">
        <v>14514</v>
      </c>
      <c r="UIX1" s="9" t="s">
        <v>14515</v>
      </c>
      <c r="UIY1" s="9" t="s">
        <v>14516</v>
      </c>
      <c r="UIZ1" s="9" t="s">
        <v>14517</v>
      </c>
      <c r="UJA1" s="9" t="s">
        <v>14518</v>
      </c>
      <c r="UJB1" s="9" t="s">
        <v>14519</v>
      </c>
      <c r="UJC1" s="9" t="s">
        <v>14520</v>
      </c>
      <c r="UJD1" s="9" t="s">
        <v>14521</v>
      </c>
      <c r="UJE1" s="9" t="s">
        <v>14522</v>
      </c>
      <c r="UJF1" s="9" t="s">
        <v>14523</v>
      </c>
      <c r="UJG1" s="9" t="s">
        <v>14524</v>
      </c>
      <c r="UJH1" s="9" t="s">
        <v>14525</v>
      </c>
      <c r="UJI1" s="9" t="s">
        <v>14526</v>
      </c>
      <c r="UJJ1" s="9" t="s">
        <v>14527</v>
      </c>
      <c r="UJK1" s="9" t="s">
        <v>14528</v>
      </c>
      <c r="UJL1" s="9" t="s">
        <v>14529</v>
      </c>
      <c r="UJM1" s="9" t="s">
        <v>14530</v>
      </c>
      <c r="UJN1" s="9" t="s">
        <v>14531</v>
      </c>
      <c r="UJO1" s="9" t="s">
        <v>14532</v>
      </c>
      <c r="UJP1" s="9" t="s">
        <v>14533</v>
      </c>
      <c r="UJQ1" s="9" t="s">
        <v>14534</v>
      </c>
      <c r="UJR1" s="9" t="s">
        <v>14535</v>
      </c>
      <c r="UJS1" s="9" t="s">
        <v>14536</v>
      </c>
      <c r="UJT1" s="9" t="s">
        <v>14537</v>
      </c>
      <c r="UJU1" s="9" t="s">
        <v>14538</v>
      </c>
      <c r="UJV1" s="9" t="s">
        <v>14539</v>
      </c>
      <c r="UJW1" s="9" t="s">
        <v>14540</v>
      </c>
      <c r="UJX1" s="9" t="s">
        <v>14541</v>
      </c>
      <c r="UJY1" s="9" t="s">
        <v>14542</v>
      </c>
      <c r="UJZ1" s="9" t="s">
        <v>14543</v>
      </c>
      <c r="UKA1" s="9" t="s">
        <v>14544</v>
      </c>
      <c r="UKB1" s="9" t="s">
        <v>14545</v>
      </c>
      <c r="UKC1" s="9" t="s">
        <v>14546</v>
      </c>
      <c r="UKD1" s="9" t="s">
        <v>14547</v>
      </c>
      <c r="UKE1" s="9" t="s">
        <v>14548</v>
      </c>
      <c r="UKF1" s="9" t="s">
        <v>14549</v>
      </c>
      <c r="UKG1" s="9" t="s">
        <v>14550</v>
      </c>
      <c r="UKH1" s="9" t="s">
        <v>14551</v>
      </c>
      <c r="UKI1" s="9" t="s">
        <v>14552</v>
      </c>
      <c r="UKJ1" s="9" t="s">
        <v>14553</v>
      </c>
      <c r="UKK1" s="9" t="s">
        <v>14554</v>
      </c>
      <c r="UKL1" s="9" t="s">
        <v>14555</v>
      </c>
      <c r="UKM1" s="9" t="s">
        <v>14556</v>
      </c>
      <c r="UKN1" s="9" t="s">
        <v>14557</v>
      </c>
      <c r="UKO1" s="9" t="s">
        <v>14558</v>
      </c>
      <c r="UKP1" s="9" t="s">
        <v>14559</v>
      </c>
      <c r="UKQ1" s="9" t="s">
        <v>14560</v>
      </c>
      <c r="UKR1" s="9" t="s">
        <v>14561</v>
      </c>
      <c r="UKS1" s="9" t="s">
        <v>14562</v>
      </c>
      <c r="UKT1" s="9" t="s">
        <v>14563</v>
      </c>
      <c r="UKU1" s="9" t="s">
        <v>14564</v>
      </c>
      <c r="UKV1" s="9" t="s">
        <v>14565</v>
      </c>
      <c r="UKW1" s="9" t="s">
        <v>14566</v>
      </c>
      <c r="UKX1" s="9" t="s">
        <v>14567</v>
      </c>
      <c r="UKY1" s="9" t="s">
        <v>14568</v>
      </c>
      <c r="UKZ1" s="9" t="s">
        <v>14569</v>
      </c>
      <c r="ULA1" s="9" t="s">
        <v>14570</v>
      </c>
      <c r="ULB1" s="9" t="s">
        <v>14571</v>
      </c>
      <c r="ULC1" s="9" t="s">
        <v>14572</v>
      </c>
      <c r="ULD1" s="9" t="s">
        <v>14573</v>
      </c>
      <c r="ULE1" s="9" t="s">
        <v>14574</v>
      </c>
      <c r="ULF1" s="9" t="s">
        <v>14575</v>
      </c>
      <c r="ULG1" s="9" t="s">
        <v>14576</v>
      </c>
      <c r="ULH1" s="9" t="s">
        <v>14577</v>
      </c>
      <c r="ULI1" s="9" t="s">
        <v>14578</v>
      </c>
      <c r="ULJ1" s="9" t="s">
        <v>14579</v>
      </c>
      <c r="ULK1" s="9" t="s">
        <v>14580</v>
      </c>
      <c r="ULL1" s="9" t="s">
        <v>14581</v>
      </c>
      <c r="ULM1" s="9" t="s">
        <v>14582</v>
      </c>
      <c r="ULN1" s="9" t="s">
        <v>14583</v>
      </c>
      <c r="ULO1" s="9" t="s">
        <v>14584</v>
      </c>
      <c r="ULP1" s="9" t="s">
        <v>14585</v>
      </c>
      <c r="ULQ1" s="9" t="s">
        <v>14586</v>
      </c>
      <c r="ULR1" s="9" t="s">
        <v>14587</v>
      </c>
      <c r="ULS1" s="9" t="s">
        <v>14588</v>
      </c>
      <c r="ULT1" s="9" t="s">
        <v>14589</v>
      </c>
      <c r="ULU1" s="9" t="s">
        <v>14590</v>
      </c>
      <c r="ULV1" s="9" t="s">
        <v>14591</v>
      </c>
      <c r="ULW1" s="9" t="s">
        <v>14592</v>
      </c>
      <c r="ULX1" s="9" t="s">
        <v>14593</v>
      </c>
      <c r="ULY1" s="9" t="s">
        <v>14594</v>
      </c>
      <c r="ULZ1" s="9" t="s">
        <v>14595</v>
      </c>
      <c r="UMA1" s="9" t="s">
        <v>14596</v>
      </c>
      <c r="UMB1" s="9" t="s">
        <v>14597</v>
      </c>
      <c r="UMC1" s="9" t="s">
        <v>14598</v>
      </c>
      <c r="UMD1" s="9" t="s">
        <v>14599</v>
      </c>
      <c r="UME1" s="9" t="s">
        <v>14600</v>
      </c>
      <c r="UMF1" s="9" t="s">
        <v>14601</v>
      </c>
      <c r="UMG1" s="9" t="s">
        <v>14602</v>
      </c>
      <c r="UMH1" s="9" t="s">
        <v>14603</v>
      </c>
      <c r="UMI1" s="9" t="s">
        <v>14604</v>
      </c>
      <c r="UMJ1" s="9" t="s">
        <v>14605</v>
      </c>
      <c r="UMK1" s="9" t="s">
        <v>14606</v>
      </c>
      <c r="UML1" s="9" t="s">
        <v>14607</v>
      </c>
      <c r="UMM1" s="9" t="s">
        <v>14608</v>
      </c>
      <c r="UMN1" s="9" t="s">
        <v>14609</v>
      </c>
      <c r="UMO1" s="9" t="s">
        <v>14610</v>
      </c>
      <c r="UMP1" s="9" t="s">
        <v>14611</v>
      </c>
      <c r="UMQ1" s="9" t="s">
        <v>14612</v>
      </c>
      <c r="UMR1" s="9" t="s">
        <v>14613</v>
      </c>
      <c r="UMS1" s="9" t="s">
        <v>14614</v>
      </c>
      <c r="UMT1" s="9" t="s">
        <v>14615</v>
      </c>
      <c r="UMU1" s="9" t="s">
        <v>14616</v>
      </c>
      <c r="UMV1" s="9" t="s">
        <v>14617</v>
      </c>
      <c r="UMW1" s="9" t="s">
        <v>14618</v>
      </c>
      <c r="UMX1" s="9" t="s">
        <v>14619</v>
      </c>
      <c r="UMY1" s="9" t="s">
        <v>14620</v>
      </c>
      <c r="UMZ1" s="9" t="s">
        <v>14621</v>
      </c>
      <c r="UNA1" s="9" t="s">
        <v>14622</v>
      </c>
      <c r="UNB1" s="9" t="s">
        <v>14623</v>
      </c>
      <c r="UNC1" s="9" t="s">
        <v>14624</v>
      </c>
      <c r="UND1" s="9" t="s">
        <v>14625</v>
      </c>
      <c r="UNE1" s="9" t="s">
        <v>14626</v>
      </c>
      <c r="UNF1" s="9" t="s">
        <v>14627</v>
      </c>
      <c r="UNG1" s="9" t="s">
        <v>14628</v>
      </c>
      <c r="UNH1" s="9" t="s">
        <v>14629</v>
      </c>
      <c r="UNI1" s="9" t="s">
        <v>14630</v>
      </c>
      <c r="UNJ1" s="9" t="s">
        <v>14631</v>
      </c>
      <c r="UNK1" s="9" t="s">
        <v>14632</v>
      </c>
      <c r="UNL1" s="9" t="s">
        <v>14633</v>
      </c>
      <c r="UNM1" s="9" t="s">
        <v>14634</v>
      </c>
      <c r="UNN1" s="9" t="s">
        <v>14635</v>
      </c>
      <c r="UNO1" s="9" t="s">
        <v>14636</v>
      </c>
      <c r="UNP1" s="9" t="s">
        <v>14637</v>
      </c>
      <c r="UNQ1" s="9" t="s">
        <v>14638</v>
      </c>
      <c r="UNR1" s="9" t="s">
        <v>14639</v>
      </c>
      <c r="UNS1" s="9" t="s">
        <v>14640</v>
      </c>
      <c r="UNT1" s="9" t="s">
        <v>14641</v>
      </c>
      <c r="UNU1" s="9" t="s">
        <v>14642</v>
      </c>
      <c r="UNV1" s="9" t="s">
        <v>14643</v>
      </c>
      <c r="UNW1" s="9" t="s">
        <v>14644</v>
      </c>
      <c r="UNX1" s="9" t="s">
        <v>14645</v>
      </c>
      <c r="UNY1" s="9" t="s">
        <v>14646</v>
      </c>
      <c r="UNZ1" s="9" t="s">
        <v>14647</v>
      </c>
      <c r="UOA1" s="9" t="s">
        <v>14648</v>
      </c>
      <c r="UOB1" s="9" t="s">
        <v>14649</v>
      </c>
      <c r="UOC1" s="9" t="s">
        <v>14650</v>
      </c>
      <c r="UOD1" s="9" t="s">
        <v>14651</v>
      </c>
      <c r="UOE1" s="9" t="s">
        <v>14652</v>
      </c>
      <c r="UOF1" s="9" t="s">
        <v>14653</v>
      </c>
      <c r="UOG1" s="9" t="s">
        <v>14654</v>
      </c>
      <c r="UOH1" s="9" t="s">
        <v>14655</v>
      </c>
      <c r="UOI1" s="9" t="s">
        <v>14656</v>
      </c>
      <c r="UOJ1" s="9" t="s">
        <v>14657</v>
      </c>
      <c r="UOK1" s="9" t="s">
        <v>14658</v>
      </c>
      <c r="UOL1" s="9" t="s">
        <v>14659</v>
      </c>
      <c r="UOM1" s="9" t="s">
        <v>14660</v>
      </c>
      <c r="UON1" s="9" t="s">
        <v>14661</v>
      </c>
      <c r="UOO1" s="9" t="s">
        <v>14662</v>
      </c>
      <c r="UOP1" s="9" t="s">
        <v>14663</v>
      </c>
      <c r="UOQ1" s="9" t="s">
        <v>14664</v>
      </c>
      <c r="UOR1" s="9" t="s">
        <v>14665</v>
      </c>
      <c r="UOS1" s="9" t="s">
        <v>14666</v>
      </c>
      <c r="UOT1" s="9" t="s">
        <v>14667</v>
      </c>
      <c r="UOU1" s="9" t="s">
        <v>14668</v>
      </c>
      <c r="UOV1" s="9" t="s">
        <v>14669</v>
      </c>
      <c r="UOW1" s="9" t="s">
        <v>14670</v>
      </c>
      <c r="UOX1" s="9" t="s">
        <v>14671</v>
      </c>
      <c r="UOY1" s="9" t="s">
        <v>14672</v>
      </c>
      <c r="UOZ1" s="9" t="s">
        <v>14673</v>
      </c>
      <c r="UPA1" s="9" t="s">
        <v>14674</v>
      </c>
      <c r="UPB1" s="9" t="s">
        <v>14675</v>
      </c>
      <c r="UPC1" s="9" t="s">
        <v>14676</v>
      </c>
      <c r="UPD1" s="9" t="s">
        <v>14677</v>
      </c>
      <c r="UPE1" s="9" t="s">
        <v>14678</v>
      </c>
      <c r="UPF1" s="9" t="s">
        <v>14679</v>
      </c>
      <c r="UPG1" s="9" t="s">
        <v>14680</v>
      </c>
      <c r="UPH1" s="9" t="s">
        <v>14681</v>
      </c>
      <c r="UPI1" s="9" t="s">
        <v>14682</v>
      </c>
      <c r="UPJ1" s="9" t="s">
        <v>14683</v>
      </c>
      <c r="UPK1" s="9" t="s">
        <v>14684</v>
      </c>
      <c r="UPL1" s="9" t="s">
        <v>14685</v>
      </c>
      <c r="UPM1" s="9" t="s">
        <v>14686</v>
      </c>
      <c r="UPN1" s="9" t="s">
        <v>14687</v>
      </c>
      <c r="UPO1" s="9" t="s">
        <v>14688</v>
      </c>
      <c r="UPP1" s="9" t="s">
        <v>14689</v>
      </c>
      <c r="UPQ1" s="9" t="s">
        <v>14690</v>
      </c>
      <c r="UPR1" s="9" t="s">
        <v>14691</v>
      </c>
      <c r="UPS1" s="9" t="s">
        <v>14692</v>
      </c>
      <c r="UPT1" s="9" t="s">
        <v>14693</v>
      </c>
      <c r="UPU1" s="9" t="s">
        <v>14694</v>
      </c>
      <c r="UPV1" s="9" t="s">
        <v>14695</v>
      </c>
      <c r="UPW1" s="9" t="s">
        <v>14696</v>
      </c>
      <c r="UPX1" s="9" t="s">
        <v>14697</v>
      </c>
      <c r="UPY1" s="9" t="s">
        <v>14698</v>
      </c>
      <c r="UPZ1" s="9" t="s">
        <v>14699</v>
      </c>
      <c r="UQA1" s="9" t="s">
        <v>14700</v>
      </c>
      <c r="UQB1" s="9" t="s">
        <v>14701</v>
      </c>
      <c r="UQC1" s="9" t="s">
        <v>14702</v>
      </c>
      <c r="UQD1" s="9" t="s">
        <v>14703</v>
      </c>
      <c r="UQE1" s="9" t="s">
        <v>14704</v>
      </c>
      <c r="UQF1" s="9" t="s">
        <v>14705</v>
      </c>
      <c r="UQG1" s="9" t="s">
        <v>14706</v>
      </c>
      <c r="UQH1" s="9" t="s">
        <v>14707</v>
      </c>
      <c r="UQI1" s="9" t="s">
        <v>14708</v>
      </c>
      <c r="UQJ1" s="9" t="s">
        <v>14709</v>
      </c>
      <c r="UQK1" s="9" t="s">
        <v>14710</v>
      </c>
      <c r="UQL1" s="9" t="s">
        <v>14711</v>
      </c>
      <c r="UQM1" s="9" t="s">
        <v>14712</v>
      </c>
      <c r="UQN1" s="9" t="s">
        <v>14713</v>
      </c>
      <c r="UQO1" s="9" t="s">
        <v>14714</v>
      </c>
      <c r="UQP1" s="9" t="s">
        <v>14715</v>
      </c>
      <c r="UQQ1" s="9" t="s">
        <v>14716</v>
      </c>
      <c r="UQR1" s="9" t="s">
        <v>14717</v>
      </c>
      <c r="UQS1" s="9" t="s">
        <v>14718</v>
      </c>
      <c r="UQT1" s="9" t="s">
        <v>14719</v>
      </c>
      <c r="UQU1" s="9" t="s">
        <v>14720</v>
      </c>
      <c r="UQV1" s="9" t="s">
        <v>14721</v>
      </c>
      <c r="UQW1" s="9" t="s">
        <v>14722</v>
      </c>
      <c r="UQX1" s="9" t="s">
        <v>14723</v>
      </c>
      <c r="UQY1" s="9" t="s">
        <v>14724</v>
      </c>
      <c r="UQZ1" s="9" t="s">
        <v>14725</v>
      </c>
      <c r="URA1" s="9" t="s">
        <v>14726</v>
      </c>
      <c r="URB1" s="9" t="s">
        <v>14727</v>
      </c>
      <c r="URC1" s="9" t="s">
        <v>14728</v>
      </c>
      <c r="URD1" s="9" t="s">
        <v>14729</v>
      </c>
      <c r="URE1" s="9" t="s">
        <v>14730</v>
      </c>
      <c r="URF1" s="9" t="s">
        <v>14731</v>
      </c>
      <c r="URG1" s="9" t="s">
        <v>14732</v>
      </c>
      <c r="URH1" s="9" t="s">
        <v>14733</v>
      </c>
      <c r="URI1" s="9" t="s">
        <v>14734</v>
      </c>
      <c r="URJ1" s="9" t="s">
        <v>14735</v>
      </c>
      <c r="URK1" s="9" t="s">
        <v>14736</v>
      </c>
      <c r="URL1" s="9" t="s">
        <v>14737</v>
      </c>
      <c r="URM1" s="9" t="s">
        <v>14738</v>
      </c>
      <c r="URN1" s="9" t="s">
        <v>14739</v>
      </c>
      <c r="URO1" s="9" t="s">
        <v>14740</v>
      </c>
      <c r="URP1" s="9" t="s">
        <v>14741</v>
      </c>
      <c r="URQ1" s="9" t="s">
        <v>14742</v>
      </c>
      <c r="URR1" s="9" t="s">
        <v>14743</v>
      </c>
      <c r="URS1" s="9" t="s">
        <v>14744</v>
      </c>
      <c r="URT1" s="9" t="s">
        <v>14745</v>
      </c>
      <c r="URU1" s="9" t="s">
        <v>14746</v>
      </c>
      <c r="URV1" s="9" t="s">
        <v>14747</v>
      </c>
      <c r="URW1" s="9" t="s">
        <v>14748</v>
      </c>
      <c r="URX1" s="9" t="s">
        <v>14749</v>
      </c>
      <c r="URY1" s="9" t="s">
        <v>14750</v>
      </c>
      <c r="URZ1" s="9" t="s">
        <v>14751</v>
      </c>
      <c r="USA1" s="9" t="s">
        <v>14752</v>
      </c>
      <c r="USB1" s="9" t="s">
        <v>14753</v>
      </c>
      <c r="USC1" s="9" t="s">
        <v>14754</v>
      </c>
      <c r="USD1" s="9" t="s">
        <v>14755</v>
      </c>
      <c r="USE1" s="9" t="s">
        <v>14756</v>
      </c>
      <c r="USF1" s="9" t="s">
        <v>14757</v>
      </c>
      <c r="USG1" s="9" t="s">
        <v>14758</v>
      </c>
      <c r="USH1" s="9" t="s">
        <v>14759</v>
      </c>
      <c r="USI1" s="9" t="s">
        <v>14760</v>
      </c>
      <c r="USJ1" s="9" t="s">
        <v>14761</v>
      </c>
      <c r="USK1" s="9" t="s">
        <v>14762</v>
      </c>
      <c r="USL1" s="9" t="s">
        <v>14763</v>
      </c>
      <c r="USM1" s="9" t="s">
        <v>14764</v>
      </c>
      <c r="USN1" s="9" t="s">
        <v>14765</v>
      </c>
      <c r="USO1" s="9" t="s">
        <v>14766</v>
      </c>
      <c r="USP1" s="9" t="s">
        <v>14767</v>
      </c>
      <c r="USQ1" s="9" t="s">
        <v>14768</v>
      </c>
      <c r="USR1" s="9" t="s">
        <v>14769</v>
      </c>
      <c r="USS1" s="9" t="s">
        <v>14770</v>
      </c>
      <c r="UST1" s="9" t="s">
        <v>14771</v>
      </c>
      <c r="USU1" s="9" t="s">
        <v>14772</v>
      </c>
      <c r="USV1" s="9" t="s">
        <v>14773</v>
      </c>
      <c r="USW1" s="9" t="s">
        <v>14774</v>
      </c>
      <c r="USX1" s="9" t="s">
        <v>14775</v>
      </c>
      <c r="USY1" s="9" t="s">
        <v>14776</v>
      </c>
      <c r="USZ1" s="9" t="s">
        <v>14777</v>
      </c>
      <c r="UTA1" s="9" t="s">
        <v>14778</v>
      </c>
      <c r="UTB1" s="9" t="s">
        <v>14779</v>
      </c>
      <c r="UTC1" s="9" t="s">
        <v>14780</v>
      </c>
      <c r="UTD1" s="9" t="s">
        <v>14781</v>
      </c>
      <c r="UTE1" s="9" t="s">
        <v>14782</v>
      </c>
      <c r="UTF1" s="9" t="s">
        <v>14783</v>
      </c>
      <c r="UTG1" s="9" t="s">
        <v>14784</v>
      </c>
      <c r="UTH1" s="9" t="s">
        <v>14785</v>
      </c>
      <c r="UTI1" s="9" t="s">
        <v>14786</v>
      </c>
      <c r="UTJ1" s="9" t="s">
        <v>14787</v>
      </c>
      <c r="UTK1" s="9" t="s">
        <v>14788</v>
      </c>
      <c r="UTL1" s="9" t="s">
        <v>14789</v>
      </c>
      <c r="UTM1" s="9" t="s">
        <v>14790</v>
      </c>
      <c r="UTN1" s="9" t="s">
        <v>14791</v>
      </c>
      <c r="UTO1" s="9" t="s">
        <v>14792</v>
      </c>
      <c r="UTP1" s="9" t="s">
        <v>14793</v>
      </c>
      <c r="UTQ1" s="9" t="s">
        <v>14794</v>
      </c>
      <c r="UTR1" s="9" t="s">
        <v>14795</v>
      </c>
      <c r="UTS1" s="9" t="s">
        <v>14796</v>
      </c>
      <c r="UTT1" s="9" t="s">
        <v>14797</v>
      </c>
      <c r="UTU1" s="9" t="s">
        <v>14798</v>
      </c>
      <c r="UTV1" s="9" t="s">
        <v>14799</v>
      </c>
      <c r="UTW1" s="9" t="s">
        <v>14800</v>
      </c>
      <c r="UTX1" s="9" t="s">
        <v>14801</v>
      </c>
      <c r="UTY1" s="9" t="s">
        <v>14802</v>
      </c>
      <c r="UTZ1" s="9" t="s">
        <v>14803</v>
      </c>
      <c r="UUA1" s="9" t="s">
        <v>14804</v>
      </c>
      <c r="UUB1" s="9" t="s">
        <v>14805</v>
      </c>
      <c r="UUC1" s="9" t="s">
        <v>14806</v>
      </c>
      <c r="UUD1" s="9" t="s">
        <v>14807</v>
      </c>
      <c r="UUE1" s="9" t="s">
        <v>14808</v>
      </c>
      <c r="UUF1" s="9" t="s">
        <v>14809</v>
      </c>
      <c r="UUG1" s="9" t="s">
        <v>14810</v>
      </c>
      <c r="UUH1" s="9" t="s">
        <v>14811</v>
      </c>
      <c r="UUI1" s="9" t="s">
        <v>14812</v>
      </c>
      <c r="UUJ1" s="9" t="s">
        <v>14813</v>
      </c>
      <c r="UUK1" s="9" t="s">
        <v>14814</v>
      </c>
      <c r="UUL1" s="9" t="s">
        <v>14815</v>
      </c>
      <c r="UUM1" s="9" t="s">
        <v>14816</v>
      </c>
      <c r="UUN1" s="9" t="s">
        <v>14817</v>
      </c>
      <c r="UUO1" s="9" t="s">
        <v>14818</v>
      </c>
      <c r="UUP1" s="9" t="s">
        <v>14819</v>
      </c>
      <c r="UUQ1" s="9" t="s">
        <v>14820</v>
      </c>
      <c r="UUR1" s="9" t="s">
        <v>14821</v>
      </c>
      <c r="UUS1" s="9" t="s">
        <v>14822</v>
      </c>
      <c r="UUT1" s="9" t="s">
        <v>14823</v>
      </c>
      <c r="UUU1" s="9" t="s">
        <v>14824</v>
      </c>
      <c r="UUV1" s="9" t="s">
        <v>14825</v>
      </c>
      <c r="UUW1" s="9" t="s">
        <v>14826</v>
      </c>
      <c r="UUX1" s="9" t="s">
        <v>14827</v>
      </c>
      <c r="UUY1" s="9" t="s">
        <v>14828</v>
      </c>
      <c r="UUZ1" s="9" t="s">
        <v>14829</v>
      </c>
      <c r="UVA1" s="9" t="s">
        <v>14830</v>
      </c>
      <c r="UVB1" s="9" t="s">
        <v>14831</v>
      </c>
      <c r="UVC1" s="9" t="s">
        <v>14832</v>
      </c>
      <c r="UVD1" s="9" t="s">
        <v>14833</v>
      </c>
      <c r="UVE1" s="9" t="s">
        <v>14834</v>
      </c>
      <c r="UVF1" s="9" t="s">
        <v>14835</v>
      </c>
      <c r="UVG1" s="9" t="s">
        <v>14836</v>
      </c>
      <c r="UVH1" s="9" t="s">
        <v>14837</v>
      </c>
      <c r="UVI1" s="9" t="s">
        <v>14838</v>
      </c>
      <c r="UVJ1" s="9" t="s">
        <v>14839</v>
      </c>
      <c r="UVK1" s="9" t="s">
        <v>14840</v>
      </c>
      <c r="UVL1" s="9" t="s">
        <v>14841</v>
      </c>
      <c r="UVM1" s="9" t="s">
        <v>14842</v>
      </c>
      <c r="UVN1" s="9" t="s">
        <v>14843</v>
      </c>
      <c r="UVO1" s="9" t="s">
        <v>14844</v>
      </c>
      <c r="UVP1" s="9" t="s">
        <v>14845</v>
      </c>
      <c r="UVQ1" s="9" t="s">
        <v>14846</v>
      </c>
      <c r="UVR1" s="9" t="s">
        <v>14847</v>
      </c>
      <c r="UVS1" s="9" t="s">
        <v>14848</v>
      </c>
      <c r="UVT1" s="9" t="s">
        <v>14849</v>
      </c>
      <c r="UVU1" s="9" t="s">
        <v>14850</v>
      </c>
      <c r="UVV1" s="9" t="s">
        <v>14851</v>
      </c>
      <c r="UVW1" s="9" t="s">
        <v>14852</v>
      </c>
      <c r="UVX1" s="9" t="s">
        <v>14853</v>
      </c>
      <c r="UVY1" s="9" t="s">
        <v>14854</v>
      </c>
      <c r="UVZ1" s="9" t="s">
        <v>14855</v>
      </c>
      <c r="UWA1" s="9" t="s">
        <v>14856</v>
      </c>
      <c r="UWB1" s="9" t="s">
        <v>14857</v>
      </c>
      <c r="UWC1" s="9" t="s">
        <v>14858</v>
      </c>
      <c r="UWD1" s="9" t="s">
        <v>14859</v>
      </c>
      <c r="UWE1" s="9" t="s">
        <v>14860</v>
      </c>
      <c r="UWF1" s="9" t="s">
        <v>14861</v>
      </c>
      <c r="UWG1" s="9" t="s">
        <v>14862</v>
      </c>
      <c r="UWH1" s="9" t="s">
        <v>14863</v>
      </c>
      <c r="UWI1" s="9" t="s">
        <v>14864</v>
      </c>
      <c r="UWJ1" s="9" t="s">
        <v>14865</v>
      </c>
      <c r="UWK1" s="9" t="s">
        <v>14866</v>
      </c>
      <c r="UWL1" s="9" t="s">
        <v>14867</v>
      </c>
      <c r="UWM1" s="9" t="s">
        <v>14868</v>
      </c>
      <c r="UWN1" s="9" t="s">
        <v>14869</v>
      </c>
      <c r="UWO1" s="9" t="s">
        <v>14870</v>
      </c>
      <c r="UWP1" s="9" t="s">
        <v>14871</v>
      </c>
      <c r="UWQ1" s="9" t="s">
        <v>14872</v>
      </c>
      <c r="UWR1" s="9" t="s">
        <v>14873</v>
      </c>
      <c r="UWS1" s="9" t="s">
        <v>14874</v>
      </c>
      <c r="UWT1" s="9" t="s">
        <v>14875</v>
      </c>
      <c r="UWU1" s="9" t="s">
        <v>14876</v>
      </c>
      <c r="UWV1" s="9" t="s">
        <v>14877</v>
      </c>
      <c r="UWW1" s="9" t="s">
        <v>14878</v>
      </c>
      <c r="UWX1" s="9" t="s">
        <v>14879</v>
      </c>
      <c r="UWY1" s="9" t="s">
        <v>14880</v>
      </c>
      <c r="UWZ1" s="9" t="s">
        <v>14881</v>
      </c>
      <c r="UXA1" s="9" t="s">
        <v>14882</v>
      </c>
      <c r="UXB1" s="9" t="s">
        <v>14883</v>
      </c>
      <c r="UXC1" s="9" t="s">
        <v>14884</v>
      </c>
      <c r="UXD1" s="9" t="s">
        <v>14885</v>
      </c>
      <c r="UXE1" s="9" t="s">
        <v>14886</v>
      </c>
      <c r="UXF1" s="9" t="s">
        <v>14887</v>
      </c>
      <c r="UXG1" s="9" t="s">
        <v>14888</v>
      </c>
      <c r="UXH1" s="9" t="s">
        <v>14889</v>
      </c>
      <c r="UXI1" s="9" t="s">
        <v>14890</v>
      </c>
      <c r="UXJ1" s="9" t="s">
        <v>14891</v>
      </c>
      <c r="UXK1" s="9" t="s">
        <v>14892</v>
      </c>
      <c r="UXL1" s="9" t="s">
        <v>14893</v>
      </c>
      <c r="UXM1" s="9" t="s">
        <v>14894</v>
      </c>
      <c r="UXN1" s="9" t="s">
        <v>14895</v>
      </c>
      <c r="UXO1" s="9" t="s">
        <v>14896</v>
      </c>
      <c r="UXP1" s="9" t="s">
        <v>14897</v>
      </c>
      <c r="UXQ1" s="9" t="s">
        <v>14898</v>
      </c>
      <c r="UXR1" s="9" t="s">
        <v>14899</v>
      </c>
      <c r="UXS1" s="9" t="s">
        <v>14900</v>
      </c>
      <c r="UXT1" s="9" t="s">
        <v>14901</v>
      </c>
      <c r="UXU1" s="9" t="s">
        <v>14902</v>
      </c>
      <c r="UXV1" s="9" t="s">
        <v>14903</v>
      </c>
      <c r="UXW1" s="9" t="s">
        <v>14904</v>
      </c>
      <c r="UXX1" s="9" t="s">
        <v>14905</v>
      </c>
      <c r="UXY1" s="9" t="s">
        <v>14906</v>
      </c>
      <c r="UXZ1" s="9" t="s">
        <v>14907</v>
      </c>
      <c r="UYA1" s="9" t="s">
        <v>14908</v>
      </c>
      <c r="UYB1" s="9" t="s">
        <v>14909</v>
      </c>
      <c r="UYC1" s="9" t="s">
        <v>14910</v>
      </c>
      <c r="UYD1" s="9" t="s">
        <v>14911</v>
      </c>
      <c r="UYE1" s="9" t="s">
        <v>14912</v>
      </c>
      <c r="UYF1" s="9" t="s">
        <v>14913</v>
      </c>
      <c r="UYG1" s="9" t="s">
        <v>14914</v>
      </c>
      <c r="UYH1" s="9" t="s">
        <v>14915</v>
      </c>
      <c r="UYI1" s="9" t="s">
        <v>14916</v>
      </c>
      <c r="UYJ1" s="9" t="s">
        <v>14917</v>
      </c>
      <c r="UYK1" s="9" t="s">
        <v>14918</v>
      </c>
      <c r="UYL1" s="9" t="s">
        <v>14919</v>
      </c>
      <c r="UYM1" s="9" t="s">
        <v>14920</v>
      </c>
      <c r="UYN1" s="9" t="s">
        <v>14921</v>
      </c>
      <c r="UYO1" s="9" t="s">
        <v>14922</v>
      </c>
      <c r="UYP1" s="9" t="s">
        <v>14923</v>
      </c>
      <c r="UYQ1" s="9" t="s">
        <v>14924</v>
      </c>
      <c r="UYR1" s="9" t="s">
        <v>14925</v>
      </c>
      <c r="UYS1" s="9" t="s">
        <v>14926</v>
      </c>
      <c r="UYT1" s="9" t="s">
        <v>14927</v>
      </c>
      <c r="UYU1" s="9" t="s">
        <v>14928</v>
      </c>
      <c r="UYV1" s="9" t="s">
        <v>14929</v>
      </c>
      <c r="UYW1" s="9" t="s">
        <v>14930</v>
      </c>
      <c r="UYX1" s="9" t="s">
        <v>14931</v>
      </c>
      <c r="UYY1" s="9" t="s">
        <v>14932</v>
      </c>
      <c r="UYZ1" s="9" t="s">
        <v>14933</v>
      </c>
      <c r="UZA1" s="9" t="s">
        <v>14934</v>
      </c>
      <c r="UZB1" s="9" t="s">
        <v>14935</v>
      </c>
      <c r="UZC1" s="9" t="s">
        <v>14936</v>
      </c>
      <c r="UZD1" s="9" t="s">
        <v>14937</v>
      </c>
      <c r="UZE1" s="9" t="s">
        <v>14938</v>
      </c>
      <c r="UZF1" s="9" t="s">
        <v>14939</v>
      </c>
      <c r="UZG1" s="9" t="s">
        <v>14940</v>
      </c>
      <c r="UZH1" s="9" t="s">
        <v>14941</v>
      </c>
      <c r="UZI1" s="9" t="s">
        <v>14942</v>
      </c>
      <c r="UZJ1" s="9" t="s">
        <v>14943</v>
      </c>
      <c r="UZK1" s="9" t="s">
        <v>14944</v>
      </c>
      <c r="UZL1" s="9" t="s">
        <v>14945</v>
      </c>
      <c r="UZM1" s="9" t="s">
        <v>14946</v>
      </c>
      <c r="UZN1" s="9" t="s">
        <v>14947</v>
      </c>
      <c r="UZO1" s="9" t="s">
        <v>14948</v>
      </c>
      <c r="UZP1" s="9" t="s">
        <v>14949</v>
      </c>
      <c r="UZQ1" s="9" t="s">
        <v>14950</v>
      </c>
      <c r="UZR1" s="9" t="s">
        <v>14951</v>
      </c>
      <c r="UZS1" s="9" t="s">
        <v>14952</v>
      </c>
      <c r="UZT1" s="9" t="s">
        <v>14953</v>
      </c>
      <c r="UZU1" s="9" t="s">
        <v>14954</v>
      </c>
      <c r="UZV1" s="9" t="s">
        <v>14955</v>
      </c>
      <c r="UZW1" s="9" t="s">
        <v>14956</v>
      </c>
      <c r="UZX1" s="9" t="s">
        <v>14957</v>
      </c>
      <c r="UZY1" s="9" t="s">
        <v>14958</v>
      </c>
      <c r="UZZ1" s="9" t="s">
        <v>14959</v>
      </c>
      <c r="VAA1" s="9" t="s">
        <v>14960</v>
      </c>
      <c r="VAB1" s="9" t="s">
        <v>14961</v>
      </c>
      <c r="VAC1" s="9" t="s">
        <v>14962</v>
      </c>
      <c r="VAD1" s="9" t="s">
        <v>14963</v>
      </c>
      <c r="VAE1" s="9" t="s">
        <v>14964</v>
      </c>
      <c r="VAF1" s="9" t="s">
        <v>14965</v>
      </c>
      <c r="VAG1" s="9" t="s">
        <v>14966</v>
      </c>
      <c r="VAH1" s="9" t="s">
        <v>14967</v>
      </c>
      <c r="VAI1" s="9" t="s">
        <v>14968</v>
      </c>
      <c r="VAJ1" s="9" t="s">
        <v>14969</v>
      </c>
      <c r="VAK1" s="9" t="s">
        <v>14970</v>
      </c>
      <c r="VAL1" s="9" t="s">
        <v>14971</v>
      </c>
      <c r="VAM1" s="9" t="s">
        <v>14972</v>
      </c>
      <c r="VAN1" s="9" t="s">
        <v>14973</v>
      </c>
      <c r="VAO1" s="9" t="s">
        <v>14974</v>
      </c>
      <c r="VAP1" s="9" t="s">
        <v>14975</v>
      </c>
      <c r="VAQ1" s="9" t="s">
        <v>14976</v>
      </c>
      <c r="VAR1" s="9" t="s">
        <v>14977</v>
      </c>
      <c r="VAS1" s="9" t="s">
        <v>14978</v>
      </c>
      <c r="VAT1" s="9" t="s">
        <v>14979</v>
      </c>
      <c r="VAU1" s="9" t="s">
        <v>14980</v>
      </c>
      <c r="VAV1" s="9" t="s">
        <v>14981</v>
      </c>
      <c r="VAW1" s="9" t="s">
        <v>14982</v>
      </c>
      <c r="VAX1" s="9" t="s">
        <v>14983</v>
      </c>
      <c r="VAY1" s="9" t="s">
        <v>14984</v>
      </c>
      <c r="VAZ1" s="9" t="s">
        <v>14985</v>
      </c>
      <c r="VBA1" s="9" t="s">
        <v>14986</v>
      </c>
      <c r="VBB1" s="9" t="s">
        <v>14987</v>
      </c>
      <c r="VBC1" s="9" t="s">
        <v>14988</v>
      </c>
      <c r="VBD1" s="9" t="s">
        <v>14989</v>
      </c>
      <c r="VBE1" s="9" t="s">
        <v>14990</v>
      </c>
      <c r="VBF1" s="9" t="s">
        <v>14991</v>
      </c>
      <c r="VBG1" s="9" t="s">
        <v>14992</v>
      </c>
      <c r="VBH1" s="9" t="s">
        <v>14993</v>
      </c>
      <c r="VBI1" s="9" t="s">
        <v>14994</v>
      </c>
      <c r="VBJ1" s="9" t="s">
        <v>14995</v>
      </c>
      <c r="VBK1" s="9" t="s">
        <v>14996</v>
      </c>
      <c r="VBL1" s="9" t="s">
        <v>14997</v>
      </c>
      <c r="VBM1" s="9" t="s">
        <v>14998</v>
      </c>
      <c r="VBN1" s="9" t="s">
        <v>14999</v>
      </c>
      <c r="VBO1" s="9" t="s">
        <v>15000</v>
      </c>
      <c r="VBP1" s="9" t="s">
        <v>15001</v>
      </c>
      <c r="VBQ1" s="9" t="s">
        <v>15002</v>
      </c>
      <c r="VBR1" s="9" t="s">
        <v>15003</v>
      </c>
      <c r="VBS1" s="9" t="s">
        <v>15004</v>
      </c>
      <c r="VBT1" s="9" t="s">
        <v>15005</v>
      </c>
      <c r="VBU1" s="9" t="s">
        <v>15006</v>
      </c>
      <c r="VBV1" s="9" t="s">
        <v>15007</v>
      </c>
      <c r="VBW1" s="9" t="s">
        <v>15008</v>
      </c>
      <c r="VBX1" s="9" t="s">
        <v>15009</v>
      </c>
      <c r="VBY1" s="9" t="s">
        <v>15010</v>
      </c>
      <c r="VBZ1" s="9" t="s">
        <v>15011</v>
      </c>
      <c r="VCA1" s="9" t="s">
        <v>15012</v>
      </c>
      <c r="VCB1" s="9" t="s">
        <v>15013</v>
      </c>
      <c r="VCC1" s="9" t="s">
        <v>15014</v>
      </c>
      <c r="VCD1" s="9" t="s">
        <v>15015</v>
      </c>
      <c r="VCE1" s="9" t="s">
        <v>15016</v>
      </c>
      <c r="VCF1" s="9" t="s">
        <v>15017</v>
      </c>
      <c r="VCG1" s="9" t="s">
        <v>15018</v>
      </c>
      <c r="VCH1" s="9" t="s">
        <v>15019</v>
      </c>
      <c r="VCI1" s="9" t="s">
        <v>15020</v>
      </c>
      <c r="VCJ1" s="9" t="s">
        <v>15021</v>
      </c>
      <c r="VCK1" s="9" t="s">
        <v>15022</v>
      </c>
      <c r="VCL1" s="9" t="s">
        <v>15023</v>
      </c>
      <c r="VCM1" s="9" t="s">
        <v>15024</v>
      </c>
      <c r="VCN1" s="9" t="s">
        <v>15025</v>
      </c>
      <c r="VCO1" s="9" t="s">
        <v>15026</v>
      </c>
      <c r="VCP1" s="9" t="s">
        <v>15027</v>
      </c>
      <c r="VCQ1" s="9" t="s">
        <v>15028</v>
      </c>
      <c r="VCR1" s="9" t="s">
        <v>15029</v>
      </c>
      <c r="VCS1" s="9" t="s">
        <v>15030</v>
      </c>
      <c r="VCT1" s="9" t="s">
        <v>15031</v>
      </c>
      <c r="VCU1" s="9" t="s">
        <v>15032</v>
      </c>
      <c r="VCV1" s="9" t="s">
        <v>15033</v>
      </c>
      <c r="VCW1" s="9" t="s">
        <v>15034</v>
      </c>
      <c r="VCX1" s="9" t="s">
        <v>15035</v>
      </c>
      <c r="VCY1" s="9" t="s">
        <v>15036</v>
      </c>
      <c r="VCZ1" s="9" t="s">
        <v>15037</v>
      </c>
      <c r="VDA1" s="9" t="s">
        <v>15038</v>
      </c>
      <c r="VDB1" s="9" t="s">
        <v>15039</v>
      </c>
      <c r="VDC1" s="9" t="s">
        <v>15040</v>
      </c>
      <c r="VDD1" s="9" t="s">
        <v>15041</v>
      </c>
      <c r="VDE1" s="9" t="s">
        <v>15042</v>
      </c>
      <c r="VDF1" s="9" t="s">
        <v>15043</v>
      </c>
      <c r="VDG1" s="9" t="s">
        <v>15044</v>
      </c>
      <c r="VDH1" s="9" t="s">
        <v>15045</v>
      </c>
      <c r="VDI1" s="9" t="s">
        <v>15046</v>
      </c>
      <c r="VDJ1" s="9" t="s">
        <v>15047</v>
      </c>
      <c r="VDK1" s="9" t="s">
        <v>15048</v>
      </c>
      <c r="VDL1" s="9" t="s">
        <v>15049</v>
      </c>
      <c r="VDM1" s="9" t="s">
        <v>15050</v>
      </c>
      <c r="VDN1" s="9" t="s">
        <v>15051</v>
      </c>
      <c r="VDO1" s="9" t="s">
        <v>15052</v>
      </c>
      <c r="VDP1" s="9" t="s">
        <v>15053</v>
      </c>
      <c r="VDQ1" s="9" t="s">
        <v>15054</v>
      </c>
      <c r="VDR1" s="9" t="s">
        <v>15055</v>
      </c>
      <c r="VDS1" s="9" t="s">
        <v>15056</v>
      </c>
      <c r="VDT1" s="9" t="s">
        <v>15057</v>
      </c>
      <c r="VDU1" s="9" t="s">
        <v>15058</v>
      </c>
      <c r="VDV1" s="9" t="s">
        <v>15059</v>
      </c>
      <c r="VDW1" s="9" t="s">
        <v>15060</v>
      </c>
      <c r="VDX1" s="9" t="s">
        <v>15061</v>
      </c>
      <c r="VDY1" s="9" t="s">
        <v>15062</v>
      </c>
      <c r="VDZ1" s="9" t="s">
        <v>15063</v>
      </c>
      <c r="VEA1" s="9" t="s">
        <v>15064</v>
      </c>
      <c r="VEB1" s="9" t="s">
        <v>15065</v>
      </c>
      <c r="VEC1" s="9" t="s">
        <v>15066</v>
      </c>
      <c r="VED1" s="9" t="s">
        <v>15067</v>
      </c>
      <c r="VEE1" s="9" t="s">
        <v>15068</v>
      </c>
      <c r="VEF1" s="9" t="s">
        <v>15069</v>
      </c>
      <c r="VEG1" s="9" t="s">
        <v>15070</v>
      </c>
      <c r="VEH1" s="9" t="s">
        <v>15071</v>
      </c>
      <c r="VEI1" s="9" t="s">
        <v>15072</v>
      </c>
      <c r="VEJ1" s="9" t="s">
        <v>15073</v>
      </c>
      <c r="VEK1" s="9" t="s">
        <v>15074</v>
      </c>
      <c r="VEL1" s="9" t="s">
        <v>15075</v>
      </c>
      <c r="VEM1" s="9" t="s">
        <v>15076</v>
      </c>
      <c r="VEN1" s="9" t="s">
        <v>15077</v>
      </c>
      <c r="VEO1" s="9" t="s">
        <v>15078</v>
      </c>
      <c r="VEP1" s="9" t="s">
        <v>15079</v>
      </c>
      <c r="VEQ1" s="9" t="s">
        <v>15080</v>
      </c>
      <c r="VER1" s="9" t="s">
        <v>15081</v>
      </c>
      <c r="VES1" s="9" t="s">
        <v>15082</v>
      </c>
      <c r="VET1" s="9" t="s">
        <v>15083</v>
      </c>
      <c r="VEU1" s="9" t="s">
        <v>15084</v>
      </c>
      <c r="VEV1" s="9" t="s">
        <v>15085</v>
      </c>
      <c r="VEW1" s="9" t="s">
        <v>15086</v>
      </c>
      <c r="VEX1" s="9" t="s">
        <v>15087</v>
      </c>
      <c r="VEY1" s="9" t="s">
        <v>15088</v>
      </c>
      <c r="VEZ1" s="9" t="s">
        <v>15089</v>
      </c>
      <c r="VFA1" s="9" t="s">
        <v>15090</v>
      </c>
      <c r="VFB1" s="9" t="s">
        <v>15091</v>
      </c>
      <c r="VFC1" s="9" t="s">
        <v>15092</v>
      </c>
      <c r="VFD1" s="9" t="s">
        <v>15093</v>
      </c>
      <c r="VFE1" s="9" t="s">
        <v>15094</v>
      </c>
      <c r="VFF1" s="9" t="s">
        <v>15095</v>
      </c>
      <c r="VFG1" s="9" t="s">
        <v>15096</v>
      </c>
      <c r="VFH1" s="9" t="s">
        <v>15097</v>
      </c>
      <c r="VFI1" s="9" t="s">
        <v>15098</v>
      </c>
      <c r="VFJ1" s="9" t="s">
        <v>15099</v>
      </c>
      <c r="VFK1" s="9" t="s">
        <v>15100</v>
      </c>
      <c r="VFL1" s="9" t="s">
        <v>15101</v>
      </c>
      <c r="VFM1" s="9" t="s">
        <v>15102</v>
      </c>
      <c r="VFN1" s="9" t="s">
        <v>15103</v>
      </c>
      <c r="VFO1" s="9" t="s">
        <v>15104</v>
      </c>
      <c r="VFP1" s="9" t="s">
        <v>15105</v>
      </c>
      <c r="VFQ1" s="9" t="s">
        <v>15106</v>
      </c>
      <c r="VFR1" s="9" t="s">
        <v>15107</v>
      </c>
      <c r="VFS1" s="9" t="s">
        <v>15108</v>
      </c>
      <c r="VFT1" s="9" t="s">
        <v>15109</v>
      </c>
      <c r="VFU1" s="9" t="s">
        <v>15110</v>
      </c>
      <c r="VFV1" s="9" t="s">
        <v>15111</v>
      </c>
      <c r="VFW1" s="9" t="s">
        <v>15112</v>
      </c>
      <c r="VFX1" s="9" t="s">
        <v>15113</v>
      </c>
      <c r="VFY1" s="9" t="s">
        <v>15114</v>
      </c>
      <c r="VFZ1" s="9" t="s">
        <v>15115</v>
      </c>
      <c r="VGA1" s="9" t="s">
        <v>15116</v>
      </c>
      <c r="VGB1" s="9" t="s">
        <v>15117</v>
      </c>
      <c r="VGC1" s="9" t="s">
        <v>15118</v>
      </c>
      <c r="VGD1" s="9" t="s">
        <v>15119</v>
      </c>
      <c r="VGE1" s="9" t="s">
        <v>15120</v>
      </c>
      <c r="VGF1" s="9" t="s">
        <v>15121</v>
      </c>
      <c r="VGG1" s="9" t="s">
        <v>15122</v>
      </c>
      <c r="VGH1" s="9" t="s">
        <v>15123</v>
      </c>
      <c r="VGI1" s="9" t="s">
        <v>15124</v>
      </c>
      <c r="VGJ1" s="9" t="s">
        <v>15125</v>
      </c>
      <c r="VGK1" s="9" t="s">
        <v>15126</v>
      </c>
      <c r="VGL1" s="9" t="s">
        <v>15127</v>
      </c>
      <c r="VGM1" s="9" t="s">
        <v>15128</v>
      </c>
      <c r="VGN1" s="9" t="s">
        <v>15129</v>
      </c>
      <c r="VGO1" s="9" t="s">
        <v>15130</v>
      </c>
      <c r="VGP1" s="9" t="s">
        <v>15131</v>
      </c>
      <c r="VGQ1" s="9" t="s">
        <v>15132</v>
      </c>
      <c r="VGR1" s="9" t="s">
        <v>15133</v>
      </c>
      <c r="VGS1" s="9" t="s">
        <v>15134</v>
      </c>
      <c r="VGT1" s="9" t="s">
        <v>15135</v>
      </c>
      <c r="VGU1" s="9" t="s">
        <v>15136</v>
      </c>
      <c r="VGV1" s="9" t="s">
        <v>15137</v>
      </c>
      <c r="VGW1" s="9" t="s">
        <v>15138</v>
      </c>
      <c r="VGX1" s="9" t="s">
        <v>15139</v>
      </c>
      <c r="VGY1" s="9" t="s">
        <v>15140</v>
      </c>
      <c r="VGZ1" s="9" t="s">
        <v>15141</v>
      </c>
      <c r="VHA1" s="9" t="s">
        <v>15142</v>
      </c>
      <c r="VHB1" s="9" t="s">
        <v>15143</v>
      </c>
      <c r="VHC1" s="9" t="s">
        <v>15144</v>
      </c>
      <c r="VHD1" s="9" t="s">
        <v>15145</v>
      </c>
      <c r="VHE1" s="9" t="s">
        <v>15146</v>
      </c>
      <c r="VHF1" s="9" t="s">
        <v>15147</v>
      </c>
      <c r="VHG1" s="9" t="s">
        <v>15148</v>
      </c>
      <c r="VHH1" s="9" t="s">
        <v>15149</v>
      </c>
      <c r="VHI1" s="9" t="s">
        <v>15150</v>
      </c>
      <c r="VHJ1" s="9" t="s">
        <v>15151</v>
      </c>
      <c r="VHK1" s="9" t="s">
        <v>15152</v>
      </c>
      <c r="VHL1" s="9" t="s">
        <v>15153</v>
      </c>
      <c r="VHM1" s="9" t="s">
        <v>15154</v>
      </c>
      <c r="VHN1" s="9" t="s">
        <v>15155</v>
      </c>
      <c r="VHO1" s="9" t="s">
        <v>15156</v>
      </c>
      <c r="VHP1" s="9" t="s">
        <v>15157</v>
      </c>
      <c r="VHQ1" s="9" t="s">
        <v>15158</v>
      </c>
      <c r="VHR1" s="9" t="s">
        <v>15159</v>
      </c>
      <c r="VHS1" s="9" t="s">
        <v>15160</v>
      </c>
      <c r="VHT1" s="9" t="s">
        <v>15161</v>
      </c>
      <c r="VHU1" s="9" t="s">
        <v>15162</v>
      </c>
      <c r="VHV1" s="9" t="s">
        <v>15163</v>
      </c>
      <c r="VHW1" s="9" t="s">
        <v>15164</v>
      </c>
      <c r="VHX1" s="9" t="s">
        <v>15165</v>
      </c>
      <c r="VHY1" s="9" t="s">
        <v>15166</v>
      </c>
      <c r="VHZ1" s="9" t="s">
        <v>15167</v>
      </c>
      <c r="VIA1" s="9" t="s">
        <v>15168</v>
      </c>
      <c r="VIB1" s="9" t="s">
        <v>15169</v>
      </c>
      <c r="VIC1" s="9" t="s">
        <v>15170</v>
      </c>
      <c r="VID1" s="9" t="s">
        <v>15171</v>
      </c>
      <c r="VIE1" s="9" t="s">
        <v>15172</v>
      </c>
      <c r="VIF1" s="9" t="s">
        <v>15173</v>
      </c>
      <c r="VIG1" s="9" t="s">
        <v>15174</v>
      </c>
      <c r="VIH1" s="9" t="s">
        <v>15175</v>
      </c>
      <c r="VII1" s="9" t="s">
        <v>15176</v>
      </c>
      <c r="VIJ1" s="9" t="s">
        <v>15177</v>
      </c>
      <c r="VIK1" s="9" t="s">
        <v>15178</v>
      </c>
      <c r="VIL1" s="9" t="s">
        <v>15179</v>
      </c>
      <c r="VIM1" s="9" t="s">
        <v>15180</v>
      </c>
      <c r="VIN1" s="9" t="s">
        <v>15181</v>
      </c>
      <c r="VIO1" s="9" t="s">
        <v>15182</v>
      </c>
      <c r="VIP1" s="9" t="s">
        <v>15183</v>
      </c>
      <c r="VIQ1" s="9" t="s">
        <v>15184</v>
      </c>
      <c r="VIR1" s="9" t="s">
        <v>15185</v>
      </c>
      <c r="VIS1" s="9" t="s">
        <v>15186</v>
      </c>
      <c r="VIT1" s="9" t="s">
        <v>15187</v>
      </c>
      <c r="VIU1" s="9" t="s">
        <v>15188</v>
      </c>
      <c r="VIV1" s="9" t="s">
        <v>15189</v>
      </c>
      <c r="VIW1" s="9" t="s">
        <v>15190</v>
      </c>
      <c r="VIX1" s="9" t="s">
        <v>15191</v>
      </c>
      <c r="VIY1" s="9" t="s">
        <v>15192</v>
      </c>
      <c r="VIZ1" s="9" t="s">
        <v>15193</v>
      </c>
      <c r="VJA1" s="9" t="s">
        <v>15194</v>
      </c>
      <c r="VJB1" s="9" t="s">
        <v>15195</v>
      </c>
      <c r="VJC1" s="9" t="s">
        <v>15196</v>
      </c>
      <c r="VJD1" s="9" t="s">
        <v>15197</v>
      </c>
      <c r="VJE1" s="9" t="s">
        <v>15198</v>
      </c>
      <c r="VJF1" s="9" t="s">
        <v>15199</v>
      </c>
      <c r="VJG1" s="9" t="s">
        <v>15200</v>
      </c>
      <c r="VJH1" s="9" t="s">
        <v>15201</v>
      </c>
      <c r="VJI1" s="9" t="s">
        <v>15202</v>
      </c>
      <c r="VJJ1" s="9" t="s">
        <v>15203</v>
      </c>
      <c r="VJK1" s="9" t="s">
        <v>15204</v>
      </c>
      <c r="VJL1" s="9" t="s">
        <v>15205</v>
      </c>
      <c r="VJM1" s="9" t="s">
        <v>15206</v>
      </c>
      <c r="VJN1" s="9" t="s">
        <v>15207</v>
      </c>
      <c r="VJO1" s="9" t="s">
        <v>15208</v>
      </c>
      <c r="VJP1" s="9" t="s">
        <v>15209</v>
      </c>
      <c r="VJQ1" s="9" t="s">
        <v>15210</v>
      </c>
      <c r="VJR1" s="9" t="s">
        <v>15211</v>
      </c>
      <c r="VJS1" s="9" t="s">
        <v>15212</v>
      </c>
      <c r="VJT1" s="9" t="s">
        <v>15213</v>
      </c>
      <c r="VJU1" s="9" t="s">
        <v>15214</v>
      </c>
      <c r="VJV1" s="9" t="s">
        <v>15215</v>
      </c>
      <c r="VJW1" s="9" t="s">
        <v>15216</v>
      </c>
      <c r="VJX1" s="9" t="s">
        <v>15217</v>
      </c>
      <c r="VJY1" s="9" t="s">
        <v>15218</v>
      </c>
      <c r="VJZ1" s="9" t="s">
        <v>15219</v>
      </c>
      <c r="VKA1" s="9" t="s">
        <v>15220</v>
      </c>
      <c r="VKB1" s="9" t="s">
        <v>15221</v>
      </c>
      <c r="VKC1" s="9" t="s">
        <v>15222</v>
      </c>
      <c r="VKD1" s="9" t="s">
        <v>15223</v>
      </c>
      <c r="VKE1" s="9" t="s">
        <v>15224</v>
      </c>
      <c r="VKF1" s="9" t="s">
        <v>15225</v>
      </c>
      <c r="VKG1" s="9" t="s">
        <v>15226</v>
      </c>
      <c r="VKH1" s="9" t="s">
        <v>15227</v>
      </c>
      <c r="VKI1" s="9" t="s">
        <v>15228</v>
      </c>
      <c r="VKJ1" s="9" t="s">
        <v>15229</v>
      </c>
      <c r="VKK1" s="9" t="s">
        <v>15230</v>
      </c>
      <c r="VKL1" s="9" t="s">
        <v>15231</v>
      </c>
      <c r="VKM1" s="9" t="s">
        <v>15232</v>
      </c>
      <c r="VKN1" s="9" t="s">
        <v>15233</v>
      </c>
      <c r="VKO1" s="9" t="s">
        <v>15234</v>
      </c>
      <c r="VKP1" s="9" t="s">
        <v>15235</v>
      </c>
      <c r="VKQ1" s="9" t="s">
        <v>15236</v>
      </c>
      <c r="VKR1" s="9" t="s">
        <v>15237</v>
      </c>
      <c r="VKS1" s="9" t="s">
        <v>15238</v>
      </c>
      <c r="VKT1" s="9" t="s">
        <v>15239</v>
      </c>
      <c r="VKU1" s="9" t="s">
        <v>15240</v>
      </c>
      <c r="VKV1" s="9" t="s">
        <v>15241</v>
      </c>
      <c r="VKW1" s="9" t="s">
        <v>15242</v>
      </c>
      <c r="VKX1" s="9" t="s">
        <v>15243</v>
      </c>
      <c r="VKY1" s="9" t="s">
        <v>15244</v>
      </c>
      <c r="VKZ1" s="9" t="s">
        <v>15245</v>
      </c>
      <c r="VLA1" s="9" t="s">
        <v>15246</v>
      </c>
      <c r="VLB1" s="9" t="s">
        <v>15247</v>
      </c>
      <c r="VLC1" s="9" t="s">
        <v>15248</v>
      </c>
      <c r="VLD1" s="9" t="s">
        <v>15249</v>
      </c>
      <c r="VLE1" s="9" t="s">
        <v>15250</v>
      </c>
      <c r="VLF1" s="9" t="s">
        <v>15251</v>
      </c>
      <c r="VLG1" s="9" t="s">
        <v>15252</v>
      </c>
      <c r="VLH1" s="9" t="s">
        <v>15253</v>
      </c>
      <c r="VLI1" s="9" t="s">
        <v>15254</v>
      </c>
      <c r="VLJ1" s="9" t="s">
        <v>15255</v>
      </c>
      <c r="VLK1" s="9" t="s">
        <v>15256</v>
      </c>
      <c r="VLL1" s="9" t="s">
        <v>15257</v>
      </c>
      <c r="VLM1" s="9" t="s">
        <v>15258</v>
      </c>
      <c r="VLN1" s="9" t="s">
        <v>15259</v>
      </c>
      <c r="VLO1" s="9" t="s">
        <v>15260</v>
      </c>
      <c r="VLP1" s="9" t="s">
        <v>15261</v>
      </c>
      <c r="VLQ1" s="9" t="s">
        <v>15262</v>
      </c>
      <c r="VLR1" s="9" t="s">
        <v>15263</v>
      </c>
      <c r="VLS1" s="9" t="s">
        <v>15264</v>
      </c>
      <c r="VLT1" s="9" t="s">
        <v>15265</v>
      </c>
      <c r="VLU1" s="9" t="s">
        <v>15266</v>
      </c>
      <c r="VLV1" s="9" t="s">
        <v>15267</v>
      </c>
      <c r="VLW1" s="9" t="s">
        <v>15268</v>
      </c>
      <c r="VLX1" s="9" t="s">
        <v>15269</v>
      </c>
      <c r="VLY1" s="9" t="s">
        <v>15270</v>
      </c>
      <c r="VLZ1" s="9" t="s">
        <v>15271</v>
      </c>
      <c r="VMA1" s="9" t="s">
        <v>15272</v>
      </c>
      <c r="VMB1" s="9" t="s">
        <v>15273</v>
      </c>
      <c r="VMC1" s="9" t="s">
        <v>15274</v>
      </c>
      <c r="VMD1" s="9" t="s">
        <v>15275</v>
      </c>
      <c r="VME1" s="9" t="s">
        <v>15276</v>
      </c>
      <c r="VMF1" s="9" t="s">
        <v>15277</v>
      </c>
      <c r="VMG1" s="9" t="s">
        <v>15278</v>
      </c>
      <c r="VMH1" s="9" t="s">
        <v>15279</v>
      </c>
      <c r="VMI1" s="9" t="s">
        <v>15280</v>
      </c>
      <c r="VMJ1" s="9" t="s">
        <v>15281</v>
      </c>
      <c r="VMK1" s="9" t="s">
        <v>15282</v>
      </c>
      <c r="VML1" s="9" t="s">
        <v>15283</v>
      </c>
      <c r="VMM1" s="9" t="s">
        <v>15284</v>
      </c>
      <c r="VMN1" s="9" t="s">
        <v>15285</v>
      </c>
      <c r="VMO1" s="9" t="s">
        <v>15286</v>
      </c>
      <c r="VMP1" s="9" t="s">
        <v>15287</v>
      </c>
      <c r="VMQ1" s="9" t="s">
        <v>15288</v>
      </c>
      <c r="VMR1" s="9" t="s">
        <v>15289</v>
      </c>
      <c r="VMS1" s="9" t="s">
        <v>15290</v>
      </c>
      <c r="VMT1" s="9" t="s">
        <v>15291</v>
      </c>
      <c r="VMU1" s="9" t="s">
        <v>15292</v>
      </c>
      <c r="VMV1" s="9" t="s">
        <v>15293</v>
      </c>
      <c r="VMW1" s="9" t="s">
        <v>15294</v>
      </c>
      <c r="VMX1" s="9" t="s">
        <v>15295</v>
      </c>
      <c r="VMY1" s="9" t="s">
        <v>15296</v>
      </c>
      <c r="VMZ1" s="9" t="s">
        <v>15297</v>
      </c>
      <c r="VNA1" s="9" t="s">
        <v>15298</v>
      </c>
      <c r="VNB1" s="9" t="s">
        <v>15299</v>
      </c>
      <c r="VNC1" s="9" t="s">
        <v>15300</v>
      </c>
      <c r="VND1" s="9" t="s">
        <v>15301</v>
      </c>
      <c r="VNE1" s="9" t="s">
        <v>15302</v>
      </c>
      <c r="VNF1" s="9" t="s">
        <v>15303</v>
      </c>
      <c r="VNG1" s="9" t="s">
        <v>15304</v>
      </c>
      <c r="VNH1" s="9" t="s">
        <v>15305</v>
      </c>
      <c r="VNI1" s="9" t="s">
        <v>15306</v>
      </c>
      <c r="VNJ1" s="9" t="s">
        <v>15307</v>
      </c>
      <c r="VNK1" s="9" t="s">
        <v>15308</v>
      </c>
      <c r="VNL1" s="9" t="s">
        <v>15309</v>
      </c>
      <c r="VNM1" s="9" t="s">
        <v>15310</v>
      </c>
      <c r="VNN1" s="9" t="s">
        <v>15311</v>
      </c>
      <c r="VNO1" s="9" t="s">
        <v>15312</v>
      </c>
      <c r="VNP1" s="9" t="s">
        <v>15313</v>
      </c>
      <c r="VNQ1" s="9" t="s">
        <v>15314</v>
      </c>
      <c r="VNR1" s="9" t="s">
        <v>15315</v>
      </c>
      <c r="VNS1" s="9" t="s">
        <v>15316</v>
      </c>
      <c r="VNT1" s="9" t="s">
        <v>15317</v>
      </c>
      <c r="VNU1" s="9" t="s">
        <v>15318</v>
      </c>
      <c r="VNV1" s="9" t="s">
        <v>15319</v>
      </c>
      <c r="VNW1" s="9" t="s">
        <v>15320</v>
      </c>
      <c r="VNX1" s="9" t="s">
        <v>15321</v>
      </c>
      <c r="VNY1" s="9" t="s">
        <v>15322</v>
      </c>
      <c r="VNZ1" s="9" t="s">
        <v>15323</v>
      </c>
      <c r="VOA1" s="9" t="s">
        <v>15324</v>
      </c>
      <c r="VOB1" s="9" t="s">
        <v>15325</v>
      </c>
      <c r="VOC1" s="9" t="s">
        <v>15326</v>
      </c>
      <c r="VOD1" s="9" t="s">
        <v>15327</v>
      </c>
      <c r="VOE1" s="9" t="s">
        <v>15328</v>
      </c>
      <c r="VOF1" s="9" t="s">
        <v>15329</v>
      </c>
      <c r="VOG1" s="9" t="s">
        <v>15330</v>
      </c>
      <c r="VOH1" s="9" t="s">
        <v>15331</v>
      </c>
      <c r="VOI1" s="9" t="s">
        <v>15332</v>
      </c>
      <c r="VOJ1" s="9" t="s">
        <v>15333</v>
      </c>
      <c r="VOK1" s="9" t="s">
        <v>15334</v>
      </c>
      <c r="VOL1" s="9" t="s">
        <v>15335</v>
      </c>
      <c r="VOM1" s="9" t="s">
        <v>15336</v>
      </c>
      <c r="VON1" s="9" t="s">
        <v>15337</v>
      </c>
      <c r="VOO1" s="9" t="s">
        <v>15338</v>
      </c>
      <c r="VOP1" s="9" t="s">
        <v>15339</v>
      </c>
      <c r="VOQ1" s="9" t="s">
        <v>15340</v>
      </c>
      <c r="VOR1" s="9" t="s">
        <v>15341</v>
      </c>
      <c r="VOS1" s="9" t="s">
        <v>15342</v>
      </c>
      <c r="VOT1" s="9" t="s">
        <v>15343</v>
      </c>
      <c r="VOU1" s="9" t="s">
        <v>15344</v>
      </c>
      <c r="VOV1" s="9" t="s">
        <v>15345</v>
      </c>
      <c r="VOW1" s="9" t="s">
        <v>15346</v>
      </c>
      <c r="VOX1" s="9" t="s">
        <v>15347</v>
      </c>
      <c r="VOY1" s="9" t="s">
        <v>15348</v>
      </c>
      <c r="VOZ1" s="9" t="s">
        <v>15349</v>
      </c>
      <c r="VPA1" s="9" t="s">
        <v>15350</v>
      </c>
      <c r="VPB1" s="9" t="s">
        <v>15351</v>
      </c>
      <c r="VPC1" s="9" t="s">
        <v>15352</v>
      </c>
      <c r="VPD1" s="9" t="s">
        <v>15353</v>
      </c>
      <c r="VPE1" s="9" t="s">
        <v>15354</v>
      </c>
      <c r="VPF1" s="9" t="s">
        <v>15355</v>
      </c>
      <c r="VPG1" s="9" t="s">
        <v>15356</v>
      </c>
      <c r="VPH1" s="9" t="s">
        <v>15357</v>
      </c>
      <c r="VPI1" s="9" t="s">
        <v>15358</v>
      </c>
      <c r="VPJ1" s="9" t="s">
        <v>15359</v>
      </c>
      <c r="VPK1" s="9" t="s">
        <v>15360</v>
      </c>
      <c r="VPL1" s="9" t="s">
        <v>15361</v>
      </c>
      <c r="VPM1" s="9" t="s">
        <v>15362</v>
      </c>
      <c r="VPN1" s="9" t="s">
        <v>15363</v>
      </c>
      <c r="VPO1" s="9" t="s">
        <v>15364</v>
      </c>
      <c r="VPP1" s="9" t="s">
        <v>15365</v>
      </c>
      <c r="VPQ1" s="9" t="s">
        <v>15366</v>
      </c>
      <c r="VPR1" s="9" t="s">
        <v>15367</v>
      </c>
      <c r="VPS1" s="9" t="s">
        <v>15368</v>
      </c>
      <c r="VPT1" s="9" t="s">
        <v>15369</v>
      </c>
      <c r="VPU1" s="9" t="s">
        <v>15370</v>
      </c>
      <c r="VPV1" s="9" t="s">
        <v>15371</v>
      </c>
      <c r="VPW1" s="9" t="s">
        <v>15372</v>
      </c>
      <c r="VPX1" s="9" t="s">
        <v>15373</v>
      </c>
      <c r="VPY1" s="9" t="s">
        <v>15374</v>
      </c>
      <c r="VPZ1" s="9" t="s">
        <v>15375</v>
      </c>
      <c r="VQA1" s="9" t="s">
        <v>15376</v>
      </c>
      <c r="VQB1" s="9" t="s">
        <v>15377</v>
      </c>
      <c r="VQC1" s="9" t="s">
        <v>15378</v>
      </c>
      <c r="VQD1" s="9" t="s">
        <v>15379</v>
      </c>
      <c r="VQE1" s="9" t="s">
        <v>15380</v>
      </c>
      <c r="VQF1" s="9" t="s">
        <v>15381</v>
      </c>
      <c r="VQG1" s="9" t="s">
        <v>15382</v>
      </c>
      <c r="VQH1" s="9" t="s">
        <v>15383</v>
      </c>
      <c r="VQI1" s="9" t="s">
        <v>15384</v>
      </c>
      <c r="VQJ1" s="9" t="s">
        <v>15385</v>
      </c>
      <c r="VQK1" s="9" t="s">
        <v>15386</v>
      </c>
      <c r="VQL1" s="9" t="s">
        <v>15387</v>
      </c>
      <c r="VQM1" s="9" t="s">
        <v>15388</v>
      </c>
      <c r="VQN1" s="9" t="s">
        <v>15389</v>
      </c>
      <c r="VQO1" s="9" t="s">
        <v>15390</v>
      </c>
      <c r="VQP1" s="9" t="s">
        <v>15391</v>
      </c>
      <c r="VQQ1" s="9" t="s">
        <v>15392</v>
      </c>
      <c r="VQR1" s="9" t="s">
        <v>15393</v>
      </c>
      <c r="VQS1" s="9" t="s">
        <v>15394</v>
      </c>
      <c r="VQT1" s="9" t="s">
        <v>15395</v>
      </c>
      <c r="VQU1" s="9" t="s">
        <v>15396</v>
      </c>
      <c r="VQV1" s="9" t="s">
        <v>15397</v>
      </c>
      <c r="VQW1" s="9" t="s">
        <v>15398</v>
      </c>
      <c r="VQX1" s="9" t="s">
        <v>15399</v>
      </c>
      <c r="VQY1" s="9" t="s">
        <v>15400</v>
      </c>
      <c r="VQZ1" s="9" t="s">
        <v>15401</v>
      </c>
      <c r="VRA1" s="9" t="s">
        <v>15402</v>
      </c>
      <c r="VRB1" s="9" t="s">
        <v>15403</v>
      </c>
      <c r="VRC1" s="9" t="s">
        <v>15404</v>
      </c>
      <c r="VRD1" s="9" t="s">
        <v>15405</v>
      </c>
      <c r="VRE1" s="9" t="s">
        <v>15406</v>
      </c>
      <c r="VRF1" s="9" t="s">
        <v>15407</v>
      </c>
      <c r="VRG1" s="9" t="s">
        <v>15408</v>
      </c>
      <c r="VRH1" s="9" t="s">
        <v>15409</v>
      </c>
      <c r="VRI1" s="9" t="s">
        <v>15410</v>
      </c>
      <c r="VRJ1" s="9" t="s">
        <v>15411</v>
      </c>
      <c r="VRK1" s="9" t="s">
        <v>15412</v>
      </c>
      <c r="VRL1" s="9" t="s">
        <v>15413</v>
      </c>
      <c r="VRM1" s="9" t="s">
        <v>15414</v>
      </c>
      <c r="VRN1" s="9" t="s">
        <v>15415</v>
      </c>
      <c r="VRO1" s="9" t="s">
        <v>15416</v>
      </c>
      <c r="VRP1" s="9" t="s">
        <v>15417</v>
      </c>
      <c r="VRQ1" s="9" t="s">
        <v>15418</v>
      </c>
      <c r="VRR1" s="9" t="s">
        <v>15419</v>
      </c>
      <c r="VRS1" s="9" t="s">
        <v>15420</v>
      </c>
      <c r="VRT1" s="9" t="s">
        <v>15421</v>
      </c>
      <c r="VRU1" s="9" t="s">
        <v>15422</v>
      </c>
      <c r="VRV1" s="9" t="s">
        <v>15423</v>
      </c>
      <c r="VRW1" s="9" t="s">
        <v>15424</v>
      </c>
      <c r="VRX1" s="9" t="s">
        <v>15425</v>
      </c>
      <c r="VRY1" s="9" t="s">
        <v>15426</v>
      </c>
      <c r="VRZ1" s="9" t="s">
        <v>15427</v>
      </c>
      <c r="VSA1" s="9" t="s">
        <v>15428</v>
      </c>
      <c r="VSB1" s="9" t="s">
        <v>15429</v>
      </c>
      <c r="VSC1" s="9" t="s">
        <v>15430</v>
      </c>
      <c r="VSD1" s="9" t="s">
        <v>15431</v>
      </c>
      <c r="VSE1" s="9" t="s">
        <v>15432</v>
      </c>
      <c r="VSF1" s="9" t="s">
        <v>15433</v>
      </c>
      <c r="VSG1" s="9" t="s">
        <v>15434</v>
      </c>
      <c r="VSH1" s="9" t="s">
        <v>15435</v>
      </c>
      <c r="VSI1" s="9" t="s">
        <v>15436</v>
      </c>
      <c r="VSJ1" s="9" t="s">
        <v>15437</v>
      </c>
      <c r="VSK1" s="9" t="s">
        <v>15438</v>
      </c>
      <c r="VSL1" s="9" t="s">
        <v>15439</v>
      </c>
      <c r="VSM1" s="9" t="s">
        <v>15440</v>
      </c>
      <c r="VSN1" s="9" t="s">
        <v>15441</v>
      </c>
      <c r="VSO1" s="9" t="s">
        <v>15442</v>
      </c>
      <c r="VSP1" s="9" t="s">
        <v>15443</v>
      </c>
      <c r="VSQ1" s="9" t="s">
        <v>15444</v>
      </c>
      <c r="VSR1" s="9" t="s">
        <v>15445</v>
      </c>
      <c r="VSS1" s="9" t="s">
        <v>15446</v>
      </c>
      <c r="VST1" s="9" t="s">
        <v>15447</v>
      </c>
      <c r="VSU1" s="9" t="s">
        <v>15448</v>
      </c>
      <c r="VSV1" s="9" t="s">
        <v>15449</v>
      </c>
      <c r="VSW1" s="9" t="s">
        <v>15450</v>
      </c>
      <c r="VSX1" s="9" t="s">
        <v>15451</v>
      </c>
      <c r="VSY1" s="9" t="s">
        <v>15452</v>
      </c>
      <c r="VSZ1" s="9" t="s">
        <v>15453</v>
      </c>
      <c r="VTA1" s="9" t="s">
        <v>15454</v>
      </c>
      <c r="VTB1" s="9" t="s">
        <v>15455</v>
      </c>
      <c r="VTC1" s="9" t="s">
        <v>15456</v>
      </c>
      <c r="VTD1" s="9" t="s">
        <v>15457</v>
      </c>
      <c r="VTE1" s="9" t="s">
        <v>15458</v>
      </c>
      <c r="VTF1" s="9" t="s">
        <v>15459</v>
      </c>
      <c r="VTG1" s="9" t="s">
        <v>15460</v>
      </c>
      <c r="VTH1" s="9" t="s">
        <v>15461</v>
      </c>
      <c r="VTI1" s="9" t="s">
        <v>15462</v>
      </c>
      <c r="VTJ1" s="9" t="s">
        <v>15463</v>
      </c>
      <c r="VTK1" s="9" t="s">
        <v>15464</v>
      </c>
      <c r="VTL1" s="9" t="s">
        <v>15465</v>
      </c>
      <c r="VTM1" s="9" t="s">
        <v>15466</v>
      </c>
      <c r="VTN1" s="9" t="s">
        <v>15467</v>
      </c>
      <c r="VTO1" s="9" t="s">
        <v>15468</v>
      </c>
      <c r="VTP1" s="9" t="s">
        <v>15469</v>
      </c>
      <c r="VTQ1" s="9" t="s">
        <v>15470</v>
      </c>
      <c r="VTR1" s="9" t="s">
        <v>15471</v>
      </c>
      <c r="VTS1" s="9" t="s">
        <v>15472</v>
      </c>
      <c r="VTT1" s="9" t="s">
        <v>15473</v>
      </c>
      <c r="VTU1" s="9" t="s">
        <v>15474</v>
      </c>
      <c r="VTV1" s="9" t="s">
        <v>15475</v>
      </c>
      <c r="VTW1" s="9" t="s">
        <v>15476</v>
      </c>
      <c r="VTX1" s="9" t="s">
        <v>15477</v>
      </c>
      <c r="VTY1" s="9" t="s">
        <v>15478</v>
      </c>
      <c r="VTZ1" s="9" t="s">
        <v>15479</v>
      </c>
      <c r="VUA1" s="9" t="s">
        <v>15480</v>
      </c>
      <c r="VUB1" s="9" t="s">
        <v>15481</v>
      </c>
      <c r="VUC1" s="9" t="s">
        <v>15482</v>
      </c>
      <c r="VUD1" s="9" t="s">
        <v>15483</v>
      </c>
      <c r="VUE1" s="9" t="s">
        <v>15484</v>
      </c>
      <c r="VUF1" s="9" t="s">
        <v>15485</v>
      </c>
      <c r="VUG1" s="9" t="s">
        <v>15486</v>
      </c>
      <c r="VUH1" s="9" t="s">
        <v>15487</v>
      </c>
      <c r="VUI1" s="9" t="s">
        <v>15488</v>
      </c>
      <c r="VUJ1" s="9" t="s">
        <v>15489</v>
      </c>
      <c r="VUK1" s="9" t="s">
        <v>15490</v>
      </c>
      <c r="VUL1" s="9" t="s">
        <v>15491</v>
      </c>
      <c r="VUM1" s="9" t="s">
        <v>15492</v>
      </c>
      <c r="VUN1" s="9" t="s">
        <v>15493</v>
      </c>
      <c r="VUO1" s="9" t="s">
        <v>15494</v>
      </c>
      <c r="VUP1" s="9" t="s">
        <v>15495</v>
      </c>
      <c r="VUQ1" s="9" t="s">
        <v>15496</v>
      </c>
      <c r="VUR1" s="9" t="s">
        <v>15497</v>
      </c>
      <c r="VUS1" s="9" t="s">
        <v>15498</v>
      </c>
      <c r="VUT1" s="9" t="s">
        <v>15499</v>
      </c>
      <c r="VUU1" s="9" t="s">
        <v>15500</v>
      </c>
      <c r="VUV1" s="9" t="s">
        <v>15501</v>
      </c>
      <c r="VUW1" s="9" t="s">
        <v>15502</v>
      </c>
      <c r="VUX1" s="9" t="s">
        <v>15503</v>
      </c>
      <c r="VUY1" s="9" t="s">
        <v>15504</v>
      </c>
      <c r="VUZ1" s="9" t="s">
        <v>15505</v>
      </c>
      <c r="VVA1" s="9" t="s">
        <v>15506</v>
      </c>
      <c r="VVB1" s="9" t="s">
        <v>15507</v>
      </c>
      <c r="VVC1" s="9" t="s">
        <v>15508</v>
      </c>
      <c r="VVD1" s="9" t="s">
        <v>15509</v>
      </c>
      <c r="VVE1" s="9" t="s">
        <v>15510</v>
      </c>
      <c r="VVF1" s="9" t="s">
        <v>15511</v>
      </c>
      <c r="VVG1" s="9" t="s">
        <v>15512</v>
      </c>
      <c r="VVH1" s="9" t="s">
        <v>15513</v>
      </c>
      <c r="VVI1" s="9" t="s">
        <v>15514</v>
      </c>
      <c r="VVJ1" s="9" t="s">
        <v>15515</v>
      </c>
      <c r="VVK1" s="9" t="s">
        <v>15516</v>
      </c>
      <c r="VVL1" s="9" t="s">
        <v>15517</v>
      </c>
      <c r="VVM1" s="9" t="s">
        <v>15518</v>
      </c>
      <c r="VVN1" s="9" t="s">
        <v>15519</v>
      </c>
      <c r="VVO1" s="9" t="s">
        <v>15520</v>
      </c>
      <c r="VVP1" s="9" t="s">
        <v>15521</v>
      </c>
      <c r="VVQ1" s="9" t="s">
        <v>15522</v>
      </c>
      <c r="VVR1" s="9" t="s">
        <v>15523</v>
      </c>
      <c r="VVS1" s="9" t="s">
        <v>15524</v>
      </c>
      <c r="VVT1" s="9" t="s">
        <v>15525</v>
      </c>
      <c r="VVU1" s="9" t="s">
        <v>15526</v>
      </c>
      <c r="VVV1" s="9" t="s">
        <v>15527</v>
      </c>
      <c r="VVW1" s="9" t="s">
        <v>15528</v>
      </c>
      <c r="VVX1" s="9" t="s">
        <v>15529</v>
      </c>
      <c r="VVY1" s="9" t="s">
        <v>15530</v>
      </c>
      <c r="VVZ1" s="9" t="s">
        <v>15531</v>
      </c>
      <c r="VWA1" s="9" t="s">
        <v>15532</v>
      </c>
      <c r="VWB1" s="9" t="s">
        <v>15533</v>
      </c>
      <c r="VWC1" s="9" t="s">
        <v>15534</v>
      </c>
      <c r="VWD1" s="9" t="s">
        <v>15535</v>
      </c>
      <c r="VWE1" s="9" t="s">
        <v>15536</v>
      </c>
      <c r="VWF1" s="9" t="s">
        <v>15537</v>
      </c>
      <c r="VWG1" s="9" t="s">
        <v>15538</v>
      </c>
      <c r="VWH1" s="9" t="s">
        <v>15539</v>
      </c>
      <c r="VWI1" s="9" t="s">
        <v>15540</v>
      </c>
      <c r="VWJ1" s="9" t="s">
        <v>15541</v>
      </c>
      <c r="VWK1" s="9" t="s">
        <v>15542</v>
      </c>
      <c r="VWL1" s="9" t="s">
        <v>15543</v>
      </c>
      <c r="VWM1" s="9" t="s">
        <v>15544</v>
      </c>
      <c r="VWN1" s="9" t="s">
        <v>15545</v>
      </c>
      <c r="VWO1" s="9" t="s">
        <v>15546</v>
      </c>
      <c r="VWP1" s="9" t="s">
        <v>15547</v>
      </c>
      <c r="VWQ1" s="9" t="s">
        <v>15548</v>
      </c>
      <c r="VWR1" s="9" t="s">
        <v>15549</v>
      </c>
      <c r="VWS1" s="9" t="s">
        <v>15550</v>
      </c>
      <c r="VWT1" s="9" t="s">
        <v>15551</v>
      </c>
      <c r="VWU1" s="9" t="s">
        <v>15552</v>
      </c>
      <c r="VWV1" s="9" t="s">
        <v>15553</v>
      </c>
      <c r="VWW1" s="9" t="s">
        <v>15554</v>
      </c>
      <c r="VWX1" s="9" t="s">
        <v>15555</v>
      </c>
      <c r="VWY1" s="9" t="s">
        <v>15556</v>
      </c>
      <c r="VWZ1" s="9" t="s">
        <v>15557</v>
      </c>
      <c r="VXA1" s="9" t="s">
        <v>15558</v>
      </c>
      <c r="VXB1" s="9" t="s">
        <v>15559</v>
      </c>
      <c r="VXC1" s="9" t="s">
        <v>15560</v>
      </c>
      <c r="VXD1" s="9" t="s">
        <v>15561</v>
      </c>
      <c r="VXE1" s="9" t="s">
        <v>15562</v>
      </c>
      <c r="VXF1" s="9" t="s">
        <v>15563</v>
      </c>
      <c r="VXG1" s="9" t="s">
        <v>15564</v>
      </c>
      <c r="VXH1" s="9" t="s">
        <v>15565</v>
      </c>
      <c r="VXI1" s="9" t="s">
        <v>15566</v>
      </c>
      <c r="VXJ1" s="9" t="s">
        <v>15567</v>
      </c>
      <c r="VXK1" s="9" t="s">
        <v>15568</v>
      </c>
      <c r="VXL1" s="9" t="s">
        <v>15569</v>
      </c>
      <c r="VXM1" s="9" t="s">
        <v>15570</v>
      </c>
      <c r="VXN1" s="9" t="s">
        <v>15571</v>
      </c>
      <c r="VXO1" s="9" t="s">
        <v>15572</v>
      </c>
      <c r="VXP1" s="9" t="s">
        <v>15573</v>
      </c>
      <c r="VXQ1" s="9" t="s">
        <v>15574</v>
      </c>
      <c r="VXR1" s="9" t="s">
        <v>15575</v>
      </c>
      <c r="VXS1" s="9" t="s">
        <v>15576</v>
      </c>
      <c r="VXT1" s="9" t="s">
        <v>15577</v>
      </c>
      <c r="VXU1" s="9" t="s">
        <v>15578</v>
      </c>
      <c r="VXV1" s="9" t="s">
        <v>15579</v>
      </c>
      <c r="VXW1" s="9" t="s">
        <v>15580</v>
      </c>
      <c r="VXX1" s="9" t="s">
        <v>15581</v>
      </c>
      <c r="VXY1" s="9" t="s">
        <v>15582</v>
      </c>
      <c r="VXZ1" s="9" t="s">
        <v>15583</v>
      </c>
      <c r="VYA1" s="9" t="s">
        <v>15584</v>
      </c>
      <c r="VYB1" s="9" t="s">
        <v>15585</v>
      </c>
      <c r="VYC1" s="9" t="s">
        <v>15586</v>
      </c>
      <c r="VYD1" s="9" t="s">
        <v>15587</v>
      </c>
      <c r="VYE1" s="9" t="s">
        <v>15588</v>
      </c>
      <c r="VYF1" s="9" t="s">
        <v>15589</v>
      </c>
      <c r="VYG1" s="9" t="s">
        <v>15590</v>
      </c>
      <c r="VYH1" s="9" t="s">
        <v>15591</v>
      </c>
      <c r="VYI1" s="9" t="s">
        <v>15592</v>
      </c>
      <c r="VYJ1" s="9" t="s">
        <v>15593</v>
      </c>
      <c r="VYK1" s="9" t="s">
        <v>15594</v>
      </c>
      <c r="VYL1" s="9" t="s">
        <v>15595</v>
      </c>
      <c r="VYM1" s="9" t="s">
        <v>15596</v>
      </c>
      <c r="VYN1" s="9" t="s">
        <v>15597</v>
      </c>
      <c r="VYO1" s="9" t="s">
        <v>15598</v>
      </c>
      <c r="VYP1" s="9" t="s">
        <v>15599</v>
      </c>
      <c r="VYQ1" s="9" t="s">
        <v>15600</v>
      </c>
      <c r="VYR1" s="9" t="s">
        <v>15601</v>
      </c>
      <c r="VYS1" s="9" t="s">
        <v>15602</v>
      </c>
      <c r="VYT1" s="9" t="s">
        <v>15603</v>
      </c>
      <c r="VYU1" s="9" t="s">
        <v>15604</v>
      </c>
      <c r="VYV1" s="9" t="s">
        <v>15605</v>
      </c>
      <c r="VYW1" s="9" t="s">
        <v>15606</v>
      </c>
      <c r="VYX1" s="9" t="s">
        <v>15607</v>
      </c>
      <c r="VYY1" s="9" t="s">
        <v>15608</v>
      </c>
      <c r="VYZ1" s="9" t="s">
        <v>15609</v>
      </c>
      <c r="VZA1" s="9" t="s">
        <v>15610</v>
      </c>
      <c r="VZB1" s="9" t="s">
        <v>15611</v>
      </c>
      <c r="VZC1" s="9" t="s">
        <v>15612</v>
      </c>
      <c r="VZD1" s="9" t="s">
        <v>15613</v>
      </c>
      <c r="VZE1" s="9" t="s">
        <v>15614</v>
      </c>
      <c r="VZF1" s="9" t="s">
        <v>15615</v>
      </c>
      <c r="VZG1" s="9" t="s">
        <v>15616</v>
      </c>
      <c r="VZH1" s="9" t="s">
        <v>15617</v>
      </c>
      <c r="VZI1" s="9" t="s">
        <v>15618</v>
      </c>
      <c r="VZJ1" s="9" t="s">
        <v>15619</v>
      </c>
      <c r="VZK1" s="9" t="s">
        <v>15620</v>
      </c>
      <c r="VZL1" s="9" t="s">
        <v>15621</v>
      </c>
      <c r="VZM1" s="9" t="s">
        <v>15622</v>
      </c>
      <c r="VZN1" s="9" t="s">
        <v>15623</v>
      </c>
      <c r="VZO1" s="9" t="s">
        <v>15624</v>
      </c>
      <c r="VZP1" s="9" t="s">
        <v>15625</v>
      </c>
      <c r="VZQ1" s="9" t="s">
        <v>15626</v>
      </c>
      <c r="VZR1" s="9" t="s">
        <v>15627</v>
      </c>
      <c r="VZS1" s="9" t="s">
        <v>15628</v>
      </c>
      <c r="VZT1" s="9" t="s">
        <v>15629</v>
      </c>
      <c r="VZU1" s="9" t="s">
        <v>15630</v>
      </c>
      <c r="VZV1" s="9" t="s">
        <v>15631</v>
      </c>
      <c r="VZW1" s="9" t="s">
        <v>15632</v>
      </c>
      <c r="VZX1" s="9" t="s">
        <v>15633</v>
      </c>
      <c r="VZY1" s="9" t="s">
        <v>15634</v>
      </c>
      <c r="VZZ1" s="9" t="s">
        <v>15635</v>
      </c>
      <c r="WAA1" s="9" t="s">
        <v>15636</v>
      </c>
      <c r="WAB1" s="9" t="s">
        <v>15637</v>
      </c>
      <c r="WAC1" s="9" t="s">
        <v>15638</v>
      </c>
      <c r="WAD1" s="9" t="s">
        <v>15639</v>
      </c>
      <c r="WAE1" s="9" t="s">
        <v>15640</v>
      </c>
      <c r="WAF1" s="9" t="s">
        <v>15641</v>
      </c>
      <c r="WAG1" s="9" t="s">
        <v>15642</v>
      </c>
      <c r="WAH1" s="9" t="s">
        <v>15643</v>
      </c>
      <c r="WAI1" s="9" t="s">
        <v>15644</v>
      </c>
      <c r="WAJ1" s="9" t="s">
        <v>15645</v>
      </c>
      <c r="WAK1" s="9" t="s">
        <v>15646</v>
      </c>
      <c r="WAL1" s="9" t="s">
        <v>15647</v>
      </c>
      <c r="WAM1" s="9" t="s">
        <v>15648</v>
      </c>
      <c r="WAN1" s="9" t="s">
        <v>15649</v>
      </c>
      <c r="WAO1" s="9" t="s">
        <v>15650</v>
      </c>
      <c r="WAP1" s="9" t="s">
        <v>15651</v>
      </c>
      <c r="WAQ1" s="9" t="s">
        <v>15652</v>
      </c>
      <c r="WAR1" s="9" t="s">
        <v>15653</v>
      </c>
      <c r="WAS1" s="9" t="s">
        <v>15654</v>
      </c>
      <c r="WAT1" s="9" t="s">
        <v>15655</v>
      </c>
      <c r="WAU1" s="9" t="s">
        <v>15656</v>
      </c>
      <c r="WAV1" s="9" t="s">
        <v>15657</v>
      </c>
      <c r="WAW1" s="9" t="s">
        <v>15658</v>
      </c>
      <c r="WAX1" s="9" t="s">
        <v>15659</v>
      </c>
      <c r="WAY1" s="9" t="s">
        <v>15660</v>
      </c>
      <c r="WAZ1" s="9" t="s">
        <v>15661</v>
      </c>
      <c r="WBA1" s="9" t="s">
        <v>15662</v>
      </c>
      <c r="WBB1" s="9" t="s">
        <v>15663</v>
      </c>
      <c r="WBC1" s="9" t="s">
        <v>15664</v>
      </c>
      <c r="WBD1" s="9" t="s">
        <v>15665</v>
      </c>
      <c r="WBE1" s="9" t="s">
        <v>15666</v>
      </c>
      <c r="WBF1" s="9" t="s">
        <v>15667</v>
      </c>
      <c r="WBG1" s="9" t="s">
        <v>15668</v>
      </c>
      <c r="WBH1" s="9" t="s">
        <v>15669</v>
      </c>
      <c r="WBI1" s="9" t="s">
        <v>15670</v>
      </c>
      <c r="WBJ1" s="9" t="s">
        <v>15671</v>
      </c>
      <c r="WBK1" s="9" t="s">
        <v>15672</v>
      </c>
      <c r="WBL1" s="9" t="s">
        <v>15673</v>
      </c>
      <c r="WBM1" s="9" t="s">
        <v>15674</v>
      </c>
      <c r="WBN1" s="9" t="s">
        <v>15675</v>
      </c>
      <c r="WBO1" s="9" t="s">
        <v>15676</v>
      </c>
      <c r="WBP1" s="9" t="s">
        <v>15677</v>
      </c>
      <c r="WBQ1" s="9" t="s">
        <v>15678</v>
      </c>
      <c r="WBR1" s="9" t="s">
        <v>15679</v>
      </c>
      <c r="WBS1" s="9" t="s">
        <v>15680</v>
      </c>
      <c r="WBT1" s="9" t="s">
        <v>15681</v>
      </c>
      <c r="WBU1" s="9" t="s">
        <v>15682</v>
      </c>
      <c r="WBV1" s="9" t="s">
        <v>15683</v>
      </c>
      <c r="WBW1" s="9" t="s">
        <v>15684</v>
      </c>
      <c r="WBX1" s="9" t="s">
        <v>15685</v>
      </c>
      <c r="WBY1" s="9" t="s">
        <v>15686</v>
      </c>
      <c r="WBZ1" s="9" t="s">
        <v>15687</v>
      </c>
      <c r="WCA1" s="9" t="s">
        <v>15688</v>
      </c>
      <c r="WCB1" s="9" t="s">
        <v>15689</v>
      </c>
      <c r="WCC1" s="9" t="s">
        <v>15690</v>
      </c>
      <c r="WCD1" s="9" t="s">
        <v>15691</v>
      </c>
      <c r="WCE1" s="9" t="s">
        <v>15692</v>
      </c>
      <c r="WCF1" s="9" t="s">
        <v>15693</v>
      </c>
      <c r="WCG1" s="9" t="s">
        <v>15694</v>
      </c>
      <c r="WCH1" s="9" t="s">
        <v>15695</v>
      </c>
      <c r="WCI1" s="9" t="s">
        <v>15696</v>
      </c>
      <c r="WCJ1" s="9" t="s">
        <v>15697</v>
      </c>
      <c r="WCK1" s="9" t="s">
        <v>15698</v>
      </c>
      <c r="WCL1" s="9" t="s">
        <v>15699</v>
      </c>
      <c r="WCM1" s="9" t="s">
        <v>15700</v>
      </c>
      <c r="WCN1" s="9" t="s">
        <v>15701</v>
      </c>
      <c r="WCO1" s="9" t="s">
        <v>15702</v>
      </c>
      <c r="WCP1" s="9" t="s">
        <v>15703</v>
      </c>
      <c r="WCQ1" s="9" t="s">
        <v>15704</v>
      </c>
      <c r="WCR1" s="9" t="s">
        <v>15705</v>
      </c>
      <c r="WCS1" s="9" t="s">
        <v>15706</v>
      </c>
      <c r="WCT1" s="9" t="s">
        <v>15707</v>
      </c>
      <c r="WCU1" s="9" t="s">
        <v>15708</v>
      </c>
      <c r="WCV1" s="9" t="s">
        <v>15709</v>
      </c>
      <c r="WCW1" s="9" t="s">
        <v>15710</v>
      </c>
      <c r="WCX1" s="9" t="s">
        <v>15711</v>
      </c>
      <c r="WCY1" s="9" t="s">
        <v>15712</v>
      </c>
      <c r="WCZ1" s="9" t="s">
        <v>15713</v>
      </c>
      <c r="WDA1" s="9" t="s">
        <v>15714</v>
      </c>
      <c r="WDB1" s="9" t="s">
        <v>15715</v>
      </c>
      <c r="WDC1" s="9" t="s">
        <v>15716</v>
      </c>
      <c r="WDD1" s="9" t="s">
        <v>15717</v>
      </c>
      <c r="WDE1" s="9" t="s">
        <v>15718</v>
      </c>
      <c r="WDF1" s="9" t="s">
        <v>15719</v>
      </c>
      <c r="WDG1" s="9" t="s">
        <v>15720</v>
      </c>
      <c r="WDH1" s="9" t="s">
        <v>15721</v>
      </c>
      <c r="WDI1" s="9" t="s">
        <v>15722</v>
      </c>
      <c r="WDJ1" s="9" t="s">
        <v>15723</v>
      </c>
      <c r="WDK1" s="9" t="s">
        <v>15724</v>
      </c>
      <c r="WDL1" s="9" t="s">
        <v>15725</v>
      </c>
      <c r="WDM1" s="9" t="s">
        <v>15726</v>
      </c>
      <c r="WDN1" s="9" t="s">
        <v>15727</v>
      </c>
      <c r="WDO1" s="9" t="s">
        <v>15728</v>
      </c>
      <c r="WDP1" s="9" t="s">
        <v>15729</v>
      </c>
      <c r="WDQ1" s="9" t="s">
        <v>15730</v>
      </c>
      <c r="WDR1" s="9" t="s">
        <v>15731</v>
      </c>
      <c r="WDS1" s="9" t="s">
        <v>15732</v>
      </c>
      <c r="WDT1" s="9" t="s">
        <v>15733</v>
      </c>
      <c r="WDU1" s="9" t="s">
        <v>15734</v>
      </c>
      <c r="WDV1" s="9" t="s">
        <v>15735</v>
      </c>
      <c r="WDW1" s="9" t="s">
        <v>15736</v>
      </c>
      <c r="WDX1" s="9" t="s">
        <v>15737</v>
      </c>
      <c r="WDY1" s="9" t="s">
        <v>15738</v>
      </c>
      <c r="WDZ1" s="9" t="s">
        <v>15739</v>
      </c>
      <c r="WEA1" s="9" t="s">
        <v>15740</v>
      </c>
      <c r="WEB1" s="9" t="s">
        <v>15741</v>
      </c>
      <c r="WEC1" s="9" t="s">
        <v>15742</v>
      </c>
      <c r="WED1" s="9" t="s">
        <v>15743</v>
      </c>
      <c r="WEE1" s="9" t="s">
        <v>15744</v>
      </c>
      <c r="WEF1" s="9" t="s">
        <v>15745</v>
      </c>
      <c r="WEG1" s="9" t="s">
        <v>15746</v>
      </c>
      <c r="WEH1" s="9" t="s">
        <v>15747</v>
      </c>
      <c r="WEI1" s="9" t="s">
        <v>15748</v>
      </c>
      <c r="WEJ1" s="9" t="s">
        <v>15749</v>
      </c>
      <c r="WEK1" s="9" t="s">
        <v>15750</v>
      </c>
      <c r="WEL1" s="9" t="s">
        <v>15751</v>
      </c>
      <c r="WEM1" s="9" t="s">
        <v>15752</v>
      </c>
      <c r="WEN1" s="9" t="s">
        <v>15753</v>
      </c>
      <c r="WEO1" s="9" t="s">
        <v>15754</v>
      </c>
      <c r="WEP1" s="9" t="s">
        <v>15755</v>
      </c>
      <c r="WEQ1" s="9" t="s">
        <v>15756</v>
      </c>
      <c r="WER1" s="9" t="s">
        <v>15757</v>
      </c>
      <c r="WES1" s="9" t="s">
        <v>15758</v>
      </c>
      <c r="WET1" s="9" t="s">
        <v>15759</v>
      </c>
      <c r="WEU1" s="9" t="s">
        <v>15760</v>
      </c>
      <c r="WEV1" s="9" t="s">
        <v>15761</v>
      </c>
      <c r="WEW1" s="9" t="s">
        <v>15762</v>
      </c>
      <c r="WEX1" s="9" t="s">
        <v>15763</v>
      </c>
      <c r="WEY1" s="9" t="s">
        <v>15764</v>
      </c>
      <c r="WEZ1" s="9" t="s">
        <v>15765</v>
      </c>
      <c r="WFA1" s="9" t="s">
        <v>15766</v>
      </c>
      <c r="WFB1" s="9" t="s">
        <v>15767</v>
      </c>
      <c r="WFC1" s="9" t="s">
        <v>15768</v>
      </c>
      <c r="WFD1" s="9" t="s">
        <v>15769</v>
      </c>
      <c r="WFE1" s="9" t="s">
        <v>15770</v>
      </c>
      <c r="WFF1" s="9" t="s">
        <v>15771</v>
      </c>
      <c r="WFG1" s="9" t="s">
        <v>15772</v>
      </c>
      <c r="WFH1" s="9" t="s">
        <v>15773</v>
      </c>
      <c r="WFI1" s="9" t="s">
        <v>15774</v>
      </c>
      <c r="WFJ1" s="9" t="s">
        <v>15775</v>
      </c>
      <c r="WFK1" s="9" t="s">
        <v>15776</v>
      </c>
      <c r="WFL1" s="9" t="s">
        <v>15777</v>
      </c>
      <c r="WFM1" s="9" t="s">
        <v>15778</v>
      </c>
      <c r="WFN1" s="9" t="s">
        <v>15779</v>
      </c>
      <c r="WFO1" s="9" t="s">
        <v>15780</v>
      </c>
      <c r="WFP1" s="9" t="s">
        <v>15781</v>
      </c>
      <c r="WFQ1" s="9" t="s">
        <v>15782</v>
      </c>
      <c r="WFR1" s="9" t="s">
        <v>15783</v>
      </c>
      <c r="WFS1" s="9" t="s">
        <v>15784</v>
      </c>
      <c r="WFT1" s="9" t="s">
        <v>15785</v>
      </c>
      <c r="WFU1" s="9" t="s">
        <v>15786</v>
      </c>
      <c r="WFV1" s="9" t="s">
        <v>15787</v>
      </c>
      <c r="WFW1" s="9" t="s">
        <v>15788</v>
      </c>
      <c r="WFX1" s="9" t="s">
        <v>15789</v>
      </c>
      <c r="WFY1" s="9" t="s">
        <v>15790</v>
      </c>
      <c r="WFZ1" s="9" t="s">
        <v>15791</v>
      </c>
      <c r="WGA1" s="9" t="s">
        <v>15792</v>
      </c>
      <c r="WGB1" s="9" t="s">
        <v>15793</v>
      </c>
      <c r="WGC1" s="9" t="s">
        <v>15794</v>
      </c>
      <c r="WGD1" s="9" t="s">
        <v>15795</v>
      </c>
      <c r="WGE1" s="9" t="s">
        <v>15796</v>
      </c>
      <c r="WGF1" s="9" t="s">
        <v>15797</v>
      </c>
      <c r="WGG1" s="9" t="s">
        <v>15798</v>
      </c>
      <c r="WGH1" s="9" t="s">
        <v>15799</v>
      </c>
      <c r="WGI1" s="9" t="s">
        <v>15800</v>
      </c>
      <c r="WGJ1" s="9" t="s">
        <v>15801</v>
      </c>
      <c r="WGK1" s="9" t="s">
        <v>15802</v>
      </c>
      <c r="WGL1" s="9" t="s">
        <v>15803</v>
      </c>
      <c r="WGM1" s="9" t="s">
        <v>15804</v>
      </c>
      <c r="WGN1" s="9" t="s">
        <v>15805</v>
      </c>
      <c r="WGO1" s="9" t="s">
        <v>15806</v>
      </c>
      <c r="WGP1" s="9" t="s">
        <v>15807</v>
      </c>
      <c r="WGQ1" s="9" t="s">
        <v>15808</v>
      </c>
      <c r="WGR1" s="9" t="s">
        <v>15809</v>
      </c>
      <c r="WGS1" s="9" t="s">
        <v>15810</v>
      </c>
      <c r="WGT1" s="9" t="s">
        <v>15811</v>
      </c>
      <c r="WGU1" s="9" t="s">
        <v>15812</v>
      </c>
      <c r="WGV1" s="9" t="s">
        <v>15813</v>
      </c>
      <c r="WGW1" s="9" t="s">
        <v>15814</v>
      </c>
      <c r="WGX1" s="9" t="s">
        <v>15815</v>
      </c>
      <c r="WGY1" s="9" t="s">
        <v>15816</v>
      </c>
      <c r="WGZ1" s="9" t="s">
        <v>15817</v>
      </c>
      <c r="WHA1" s="9" t="s">
        <v>15818</v>
      </c>
      <c r="WHB1" s="9" t="s">
        <v>15819</v>
      </c>
      <c r="WHC1" s="9" t="s">
        <v>15820</v>
      </c>
      <c r="WHD1" s="9" t="s">
        <v>15821</v>
      </c>
      <c r="WHE1" s="9" t="s">
        <v>15822</v>
      </c>
      <c r="WHF1" s="9" t="s">
        <v>15823</v>
      </c>
      <c r="WHG1" s="9" t="s">
        <v>15824</v>
      </c>
      <c r="WHH1" s="9" t="s">
        <v>15825</v>
      </c>
      <c r="WHI1" s="9" t="s">
        <v>15826</v>
      </c>
      <c r="WHJ1" s="9" t="s">
        <v>15827</v>
      </c>
      <c r="WHK1" s="9" t="s">
        <v>15828</v>
      </c>
      <c r="WHL1" s="9" t="s">
        <v>15829</v>
      </c>
      <c r="WHM1" s="9" t="s">
        <v>15830</v>
      </c>
      <c r="WHN1" s="9" t="s">
        <v>15831</v>
      </c>
      <c r="WHO1" s="9" t="s">
        <v>15832</v>
      </c>
      <c r="WHP1" s="9" t="s">
        <v>15833</v>
      </c>
      <c r="WHQ1" s="9" t="s">
        <v>15834</v>
      </c>
      <c r="WHR1" s="9" t="s">
        <v>15835</v>
      </c>
      <c r="WHS1" s="9" t="s">
        <v>15836</v>
      </c>
      <c r="WHT1" s="9" t="s">
        <v>15837</v>
      </c>
      <c r="WHU1" s="9" t="s">
        <v>15838</v>
      </c>
      <c r="WHV1" s="9" t="s">
        <v>15839</v>
      </c>
      <c r="WHW1" s="9" t="s">
        <v>15840</v>
      </c>
      <c r="WHX1" s="9" t="s">
        <v>15841</v>
      </c>
      <c r="WHY1" s="9" t="s">
        <v>15842</v>
      </c>
      <c r="WHZ1" s="9" t="s">
        <v>15843</v>
      </c>
      <c r="WIA1" s="9" t="s">
        <v>15844</v>
      </c>
      <c r="WIB1" s="9" t="s">
        <v>15845</v>
      </c>
      <c r="WIC1" s="9" t="s">
        <v>15846</v>
      </c>
      <c r="WID1" s="9" t="s">
        <v>15847</v>
      </c>
      <c r="WIE1" s="9" t="s">
        <v>15848</v>
      </c>
      <c r="WIF1" s="9" t="s">
        <v>15849</v>
      </c>
      <c r="WIG1" s="9" t="s">
        <v>15850</v>
      </c>
      <c r="WIH1" s="9" t="s">
        <v>15851</v>
      </c>
      <c r="WII1" s="9" t="s">
        <v>15852</v>
      </c>
      <c r="WIJ1" s="9" t="s">
        <v>15853</v>
      </c>
      <c r="WIK1" s="9" t="s">
        <v>15854</v>
      </c>
      <c r="WIL1" s="9" t="s">
        <v>15855</v>
      </c>
      <c r="WIM1" s="9" t="s">
        <v>15856</v>
      </c>
      <c r="WIN1" s="9" t="s">
        <v>15857</v>
      </c>
      <c r="WIO1" s="9" t="s">
        <v>15858</v>
      </c>
      <c r="WIP1" s="9" t="s">
        <v>15859</v>
      </c>
      <c r="WIQ1" s="9" t="s">
        <v>15860</v>
      </c>
      <c r="WIR1" s="9" t="s">
        <v>15861</v>
      </c>
      <c r="WIS1" s="9" t="s">
        <v>15862</v>
      </c>
      <c r="WIT1" s="9" t="s">
        <v>15863</v>
      </c>
      <c r="WIU1" s="9" t="s">
        <v>15864</v>
      </c>
      <c r="WIV1" s="9" t="s">
        <v>15865</v>
      </c>
      <c r="WIW1" s="9" t="s">
        <v>15866</v>
      </c>
      <c r="WIX1" s="9" t="s">
        <v>15867</v>
      </c>
      <c r="WIY1" s="9" t="s">
        <v>15868</v>
      </c>
      <c r="WIZ1" s="9" t="s">
        <v>15869</v>
      </c>
      <c r="WJA1" s="9" t="s">
        <v>15870</v>
      </c>
      <c r="WJB1" s="9" t="s">
        <v>15871</v>
      </c>
      <c r="WJC1" s="9" t="s">
        <v>15872</v>
      </c>
      <c r="WJD1" s="9" t="s">
        <v>15873</v>
      </c>
      <c r="WJE1" s="9" t="s">
        <v>15874</v>
      </c>
      <c r="WJF1" s="9" t="s">
        <v>15875</v>
      </c>
      <c r="WJG1" s="9" t="s">
        <v>15876</v>
      </c>
      <c r="WJH1" s="9" t="s">
        <v>15877</v>
      </c>
      <c r="WJI1" s="9" t="s">
        <v>15878</v>
      </c>
      <c r="WJJ1" s="9" t="s">
        <v>15879</v>
      </c>
      <c r="WJK1" s="9" t="s">
        <v>15880</v>
      </c>
      <c r="WJL1" s="9" t="s">
        <v>15881</v>
      </c>
      <c r="WJM1" s="9" t="s">
        <v>15882</v>
      </c>
      <c r="WJN1" s="9" t="s">
        <v>15883</v>
      </c>
      <c r="WJO1" s="9" t="s">
        <v>15884</v>
      </c>
      <c r="WJP1" s="9" t="s">
        <v>15885</v>
      </c>
      <c r="WJQ1" s="9" t="s">
        <v>15886</v>
      </c>
      <c r="WJR1" s="9" t="s">
        <v>15887</v>
      </c>
      <c r="WJS1" s="9" t="s">
        <v>15888</v>
      </c>
      <c r="WJT1" s="9" t="s">
        <v>15889</v>
      </c>
      <c r="WJU1" s="9" t="s">
        <v>15890</v>
      </c>
      <c r="WJV1" s="9" t="s">
        <v>15891</v>
      </c>
      <c r="WJW1" s="9" t="s">
        <v>15892</v>
      </c>
      <c r="WJX1" s="9" t="s">
        <v>15893</v>
      </c>
      <c r="WJY1" s="9" t="s">
        <v>15894</v>
      </c>
      <c r="WJZ1" s="9" t="s">
        <v>15895</v>
      </c>
      <c r="WKA1" s="9" t="s">
        <v>15896</v>
      </c>
      <c r="WKB1" s="9" t="s">
        <v>15897</v>
      </c>
      <c r="WKC1" s="9" t="s">
        <v>15898</v>
      </c>
      <c r="WKD1" s="9" t="s">
        <v>15899</v>
      </c>
      <c r="WKE1" s="9" t="s">
        <v>15900</v>
      </c>
      <c r="WKF1" s="9" t="s">
        <v>15901</v>
      </c>
      <c r="WKG1" s="9" t="s">
        <v>15902</v>
      </c>
      <c r="WKH1" s="9" t="s">
        <v>15903</v>
      </c>
      <c r="WKI1" s="9" t="s">
        <v>15904</v>
      </c>
      <c r="WKJ1" s="9" t="s">
        <v>15905</v>
      </c>
      <c r="WKK1" s="9" t="s">
        <v>15906</v>
      </c>
      <c r="WKL1" s="9" t="s">
        <v>15907</v>
      </c>
      <c r="WKM1" s="9" t="s">
        <v>15908</v>
      </c>
      <c r="WKN1" s="9" t="s">
        <v>15909</v>
      </c>
      <c r="WKO1" s="9" t="s">
        <v>15910</v>
      </c>
      <c r="WKP1" s="9" t="s">
        <v>15911</v>
      </c>
      <c r="WKQ1" s="9" t="s">
        <v>15912</v>
      </c>
      <c r="WKR1" s="9" t="s">
        <v>15913</v>
      </c>
      <c r="WKS1" s="9" t="s">
        <v>15914</v>
      </c>
      <c r="WKT1" s="9" t="s">
        <v>15915</v>
      </c>
      <c r="WKU1" s="9" t="s">
        <v>15916</v>
      </c>
      <c r="WKV1" s="9" t="s">
        <v>15917</v>
      </c>
      <c r="WKW1" s="9" t="s">
        <v>15918</v>
      </c>
      <c r="WKX1" s="9" t="s">
        <v>15919</v>
      </c>
      <c r="WKY1" s="9" t="s">
        <v>15920</v>
      </c>
      <c r="WKZ1" s="9" t="s">
        <v>15921</v>
      </c>
      <c r="WLA1" s="9" t="s">
        <v>15922</v>
      </c>
      <c r="WLB1" s="9" t="s">
        <v>15923</v>
      </c>
      <c r="WLC1" s="9" t="s">
        <v>15924</v>
      </c>
      <c r="WLD1" s="9" t="s">
        <v>15925</v>
      </c>
      <c r="WLE1" s="9" t="s">
        <v>15926</v>
      </c>
      <c r="WLF1" s="9" t="s">
        <v>15927</v>
      </c>
      <c r="WLG1" s="9" t="s">
        <v>15928</v>
      </c>
      <c r="WLH1" s="9" t="s">
        <v>15929</v>
      </c>
      <c r="WLI1" s="9" t="s">
        <v>15930</v>
      </c>
      <c r="WLJ1" s="9" t="s">
        <v>15931</v>
      </c>
      <c r="WLK1" s="9" t="s">
        <v>15932</v>
      </c>
      <c r="WLL1" s="9" t="s">
        <v>15933</v>
      </c>
      <c r="WLM1" s="9" t="s">
        <v>15934</v>
      </c>
      <c r="WLN1" s="9" t="s">
        <v>15935</v>
      </c>
      <c r="WLO1" s="9" t="s">
        <v>15936</v>
      </c>
      <c r="WLP1" s="9" t="s">
        <v>15937</v>
      </c>
      <c r="WLQ1" s="9" t="s">
        <v>15938</v>
      </c>
      <c r="WLR1" s="9" t="s">
        <v>15939</v>
      </c>
      <c r="WLS1" s="9" t="s">
        <v>15940</v>
      </c>
      <c r="WLT1" s="9" t="s">
        <v>15941</v>
      </c>
      <c r="WLU1" s="9" t="s">
        <v>15942</v>
      </c>
      <c r="WLV1" s="9" t="s">
        <v>15943</v>
      </c>
      <c r="WLW1" s="9" t="s">
        <v>15944</v>
      </c>
      <c r="WLX1" s="9" t="s">
        <v>15945</v>
      </c>
      <c r="WLY1" s="9" t="s">
        <v>15946</v>
      </c>
      <c r="WLZ1" s="9" t="s">
        <v>15947</v>
      </c>
      <c r="WMA1" s="9" t="s">
        <v>15948</v>
      </c>
      <c r="WMB1" s="9" t="s">
        <v>15949</v>
      </c>
      <c r="WMC1" s="9" t="s">
        <v>15950</v>
      </c>
      <c r="WMD1" s="9" t="s">
        <v>15951</v>
      </c>
      <c r="WME1" s="9" t="s">
        <v>15952</v>
      </c>
      <c r="WMF1" s="9" t="s">
        <v>15953</v>
      </c>
      <c r="WMG1" s="9" t="s">
        <v>15954</v>
      </c>
      <c r="WMH1" s="9" t="s">
        <v>15955</v>
      </c>
      <c r="WMI1" s="9" t="s">
        <v>15956</v>
      </c>
      <c r="WMJ1" s="9" t="s">
        <v>15957</v>
      </c>
      <c r="WMK1" s="9" t="s">
        <v>15958</v>
      </c>
      <c r="WML1" s="9" t="s">
        <v>15959</v>
      </c>
      <c r="WMM1" s="9" t="s">
        <v>15960</v>
      </c>
      <c r="WMN1" s="9" t="s">
        <v>15961</v>
      </c>
      <c r="WMO1" s="9" t="s">
        <v>15962</v>
      </c>
      <c r="WMP1" s="9" t="s">
        <v>15963</v>
      </c>
      <c r="WMQ1" s="9" t="s">
        <v>15964</v>
      </c>
      <c r="WMR1" s="9" t="s">
        <v>15965</v>
      </c>
      <c r="WMS1" s="9" t="s">
        <v>15966</v>
      </c>
      <c r="WMT1" s="9" t="s">
        <v>15967</v>
      </c>
      <c r="WMU1" s="9" t="s">
        <v>15968</v>
      </c>
      <c r="WMV1" s="9" t="s">
        <v>15969</v>
      </c>
      <c r="WMW1" s="9" t="s">
        <v>15970</v>
      </c>
      <c r="WMX1" s="9" t="s">
        <v>15971</v>
      </c>
      <c r="WMY1" s="9" t="s">
        <v>15972</v>
      </c>
      <c r="WMZ1" s="9" t="s">
        <v>15973</v>
      </c>
      <c r="WNA1" s="9" t="s">
        <v>15974</v>
      </c>
      <c r="WNB1" s="9" t="s">
        <v>15975</v>
      </c>
      <c r="WNC1" s="9" t="s">
        <v>15976</v>
      </c>
      <c r="WND1" s="9" t="s">
        <v>15977</v>
      </c>
      <c r="WNE1" s="9" t="s">
        <v>15978</v>
      </c>
      <c r="WNF1" s="9" t="s">
        <v>15979</v>
      </c>
      <c r="WNG1" s="9" t="s">
        <v>15980</v>
      </c>
      <c r="WNH1" s="9" t="s">
        <v>15981</v>
      </c>
      <c r="WNI1" s="9" t="s">
        <v>15982</v>
      </c>
      <c r="WNJ1" s="9" t="s">
        <v>15983</v>
      </c>
      <c r="WNK1" s="9" t="s">
        <v>15984</v>
      </c>
      <c r="WNL1" s="9" t="s">
        <v>15985</v>
      </c>
      <c r="WNM1" s="9" t="s">
        <v>15986</v>
      </c>
      <c r="WNN1" s="9" t="s">
        <v>15987</v>
      </c>
      <c r="WNO1" s="9" t="s">
        <v>15988</v>
      </c>
      <c r="WNP1" s="9" t="s">
        <v>15989</v>
      </c>
      <c r="WNQ1" s="9" t="s">
        <v>15990</v>
      </c>
      <c r="WNR1" s="9" t="s">
        <v>15991</v>
      </c>
      <c r="WNS1" s="9" t="s">
        <v>15992</v>
      </c>
      <c r="WNT1" s="9" t="s">
        <v>15993</v>
      </c>
      <c r="WNU1" s="9" t="s">
        <v>15994</v>
      </c>
      <c r="WNV1" s="9" t="s">
        <v>15995</v>
      </c>
      <c r="WNW1" s="9" t="s">
        <v>15996</v>
      </c>
      <c r="WNX1" s="9" t="s">
        <v>15997</v>
      </c>
      <c r="WNY1" s="9" t="s">
        <v>15998</v>
      </c>
      <c r="WNZ1" s="9" t="s">
        <v>15999</v>
      </c>
      <c r="WOA1" s="9" t="s">
        <v>16000</v>
      </c>
      <c r="WOB1" s="9" t="s">
        <v>16001</v>
      </c>
      <c r="WOC1" s="9" t="s">
        <v>16002</v>
      </c>
      <c r="WOD1" s="9" t="s">
        <v>16003</v>
      </c>
      <c r="WOE1" s="9" t="s">
        <v>16004</v>
      </c>
      <c r="WOF1" s="9" t="s">
        <v>16005</v>
      </c>
      <c r="WOG1" s="9" t="s">
        <v>16006</v>
      </c>
      <c r="WOH1" s="9" t="s">
        <v>16007</v>
      </c>
      <c r="WOI1" s="9" t="s">
        <v>16008</v>
      </c>
      <c r="WOJ1" s="9" t="s">
        <v>16009</v>
      </c>
      <c r="WOK1" s="9" t="s">
        <v>16010</v>
      </c>
      <c r="WOL1" s="9" t="s">
        <v>16011</v>
      </c>
      <c r="WOM1" s="9" t="s">
        <v>16012</v>
      </c>
      <c r="WON1" s="9" t="s">
        <v>16013</v>
      </c>
      <c r="WOO1" s="9" t="s">
        <v>16014</v>
      </c>
      <c r="WOP1" s="9" t="s">
        <v>16015</v>
      </c>
      <c r="WOQ1" s="9" t="s">
        <v>16016</v>
      </c>
      <c r="WOR1" s="9" t="s">
        <v>16017</v>
      </c>
      <c r="WOS1" s="9" t="s">
        <v>16018</v>
      </c>
      <c r="WOT1" s="9" t="s">
        <v>16019</v>
      </c>
      <c r="WOU1" s="9" t="s">
        <v>16020</v>
      </c>
      <c r="WOV1" s="9" t="s">
        <v>16021</v>
      </c>
      <c r="WOW1" s="9" t="s">
        <v>16022</v>
      </c>
      <c r="WOX1" s="9" t="s">
        <v>16023</v>
      </c>
      <c r="WOY1" s="9" t="s">
        <v>16024</v>
      </c>
      <c r="WOZ1" s="9" t="s">
        <v>16025</v>
      </c>
      <c r="WPA1" s="9" t="s">
        <v>16026</v>
      </c>
      <c r="WPB1" s="9" t="s">
        <v>16027</v>
      </c>
      <c r="WPC1" s="9" t="s">
        <v>16028</v>
      </c>
      <c r="WPD1" s="9" t="s">
        <v>16029</v>
      </c>
      <c r="WPE1" s="9" t="s">
        <v>16030</v>
      </c>
      <c r="WPF1" s="9" t="s">
        <v>16031</v>
      </c>
      <c r="WPG1" s="9" t="s">
        <v>16032</v>
      </c>
      <c r="WPH1" s="9" t="s">
        <v>16033</v>
      </c>
      <c r="WPI1" s="9" t="s">
        <v>16034</v>
      </c>
      <c r="WPJ1" s="9" t="s">
        <v>16035</v>
      </c>
      <c r="WPK1" s="9" t="s">
        <v>16036</v>
      </c>
      <c r="WPL1" s="9" t="s">
        <v>16037</v>
      </c>
      <c r="WPM1" s="9" t="s">
        <v>16038</v>
      </c>
      <c r="WPN1" s="9" t="s">
        <v>16039</v>
      </c>
      <c r="WPO1" s="9" t="s">
        <v>16040</v>
      </c>
      <c r="WPP1" s="9" t="s">
        <v>16041</v>
      </c>
      <c r="WPQ1" s="9" t="s">
        <v>16042</v>
      </c>
      <c r="WPR1" s="9" t="s">
        <v>16043</v>
      </c>
      <c r="WPS1" s="9" t="s">
        <v>16044</v>
      </c>
      <c r="WPT1" s="9" t="s">
        <v>16045</v>
      </c>
      <c r="WPU1" s="9" t="s">
        <v>16046</v>
      </c>
      <c r="WPV1" s="9" t="s">
        <v>16047</v>
      </c>
      <c r="WPW1" s="9" t="s">
        <v>16048</v>
      </c>
      <c r="WPX1" s="9" t="s">
        <v>16049</v>
      </c>
      <c r="WPY1" s="9" t="s">
        <v>16050</v>
      </c>
      <c r="WPZ1" s="9" t="s">
        <v>16051</v>
      </c>
      <c r="WQA1" s="9" t="s">
        <v>16052</v>
      </c>
      <c r="WQB1" s="9" t="s">
        <v>16053</v>
      </c>
      <c r="WQC1" s="9" t="s">
        <v>16054</v>
      </c>
      <c r="WQD1" s="9" t="s">
        <v>16055</v>
      </c>
      <c r="WQE1" s="9" t="s">
        <v>16056</v>
      </c>
      <c r="WQF1" s="9" t="s">
        <v>16057</v>
      </c>
      <c r="WQG1" s="9" t="s">
        <v>16058</v>
      </c>
      <c r="WQH1" s="9" t="s">
        <v>16059</v>
      </c>
      <c r="WQI1" s="9" t="s">
        <v>16060</v>
      </c>
      <c r="WQJ1" s="9" t="s">
        <v>16061</v>
      </c>
      <c r="WQK1" s="9" t="s">
        <v>16062</v>
      </c>
      <c r="WQL1" s="9" t="s">
        <v>16063</v>
      </c>
      <c r="WQM1" s="9" t="s">
        <v>16064</v>
      </c>
      <c r="WQN1" s="9" t="s">
        <v>16065</v>
      </c>
      <c r="WQO1" s="9" t="s">
        <v>16066</v>
      </c>
      <c r="WQP1" s="9" t="s">
        <v>16067</v>
      </c>
      <c r="WQQ1" s="9" t="s">
        <v>16068</v>
      </c>
      <c r="WQR1" s="9" t="s">
        <v>16069</v>
      </c>
      <c r="WQS1" s="9" t="s">
        <v>16070</v>
      </c>
      <c r="WQT1" s="9" t="s">
        <v>16071</v>
      </c>
      <c r="WQU1" s="9" t="s">
        <v>16072</v>
      </c>
      <c r="WQV1" s="9" t="s">
        <v>16073</v>
      </c>
      <c r="WQW1" s="9" t="s">
        <v>16074</v>
      </c>
      <c r="WQX1" s="9" t="s">
        <v>16075</v>
      </c>
      <c r="WQY1" s="9" t="s">
        <v>16076</v>
      </c>
      <c r="WQZ1" s="9" t="s">
        <v>16077</v>
      </c>
      <c r="WRA1" s="9" t="s">
        <v>16078</v>
      </c>
      <c r="WRB1" s="9" t="s">
        <v>16079</v>
      </c>
      <c r="WRC1" s="9" t="s">
        <v>16080</v>
      </c>
      <c r="WRD1" s="9" t="s">
        <v>16081</v>
      </c>
      <c r="WRE1" s="9" t="s">
        <v>16082</v>
      </c>
      <c r="WRF1" s="9" t="s">
        <v>16083</v>
      </c>
      <c r="WRG1" s="9" t="s">
        <v>16084</v>
      </c>
      <c r="WRH1" s="9" t="s">
        <v>16085</v>
      </c>
      <c r="WRI1" s="9" t="s">
        <v>16086</v>
      </c>
      <c r="WRJ1" s="9" t="s">
        <v>16087</v>
      </c>
      <c r="WRK1" s="9" t="s">
        <v>16088</v>
      </c>
      <c r="WRL1" s="9" t="s">
        <v>16089</v>
      </c>
      <c r="WRM1" s="9" t="s">
        <v>16090</v>
      </c>
      <c r="WRN1" s="9" t="s">
        <v>16091</v>
      </c>
      <c r="WRO1" s="9" t="s">
        <v>16092</v>
      </c>
      <c r="WRP1" s="9" t="s">
        <v>16093</v>
      </c>
      <c r="WRQ1" s="9" t="s">
        <v>16094</v>
      </c>
      <c r="WRR1" s="9" t="s">
        <v>16095</v>
      </c>
      <c r="WRS1" s="9" t="s">
        <v>16096</v>
      </c>
      <c r="WRT1" s="9" t="s">
        <v>16097</v>
      </c>
      <c r="WRU1" s="9" t="s">
        <v>16098</v>
      </c>
      <c r="WRV1" s="9" t="s">
        <v>16099</v>
      </c>
      <c r="WRW1" s="9" t="s">
        <v>16100</v>
      </c>
      <c r="WRX1" s="9" t="s">
        <v>16101</v>
      </c>
      <c r="WRY1" s="9" t="s">
        <v>16102</v>
      </c>
      <c r="WRZ1" s="9" t="s">
        <v>16103</v>
      </c>
      <c r="WSA1" s="9" t="s">
        <v>16104</v>
      </c>
      <c r="WSB1" s="9" t="s">
        <v>16105</v>
      </c>
      <c r="WSC1" s="9" t="s">
        <v>16106</v>
      </c>
      <c r="WSD1" s="9" t="s">
        <v>16107</v>
      </c>
      <c r="WSE1" s="9" t="s">
        <v>16108</v>
      </c>
      <c r="WSF1" s="9" t="s">
        <v>16109</v>
      </c>
      <c r="WSG1" s="9" t="s">
        <v>16110</v>
      </c>
      <c r="WSH1" s="9" t="s">
        <v>16111</v>
      </c>
      <c r="WSI1" s="9" t="s">
        <v>16112</v>
      </c>
      <c r="WSJ1" s="9" t="s">
        <v>16113</v>
      </c>
      <c r="WSK1" s="9" t="s">
        <v>16114</v>
      </c>
      <c r="WSL1" s="9" t="s">
        <v>16115</v>
      </c>
      <c r="WSM1" s="9" t="s">
        <v>16116</v>
      </c>
      <c r="WSN1" s="9" t="s">
        <v>16117</v>
      </c>
      <c r="WSO1" s="9" t="s">
        <v>16118</v>
      </c>
      <c r="WSP1" s="9" t="s">
        <v>16119</v>
      </c>
      <c r="WSQ1" s="9" t="s">
        <v>16120</v>
      </c>
      <c r="WSR1" s="9" t="s">
        <v>16121</v>
      </c>
      <c r="WSS1" s="9" t="s">
        <v>16122</v>
      </c>
      <c r="WST1" s="9" t="s">
        <v>16123</v>
      </c>
      <c r="WSU1" s="9" t="s">
        <v>16124</v>
      </c>
      <c r="WSV1" s="9" t="s">
        <v>16125</v>
      </c>
      <c r="WSW1" s="9" t="s">
        <v>16126</v>
      </c>
      <c r="WSX1" s="9" t="s">
        <v>16127</v>
      </c>
      <c r="WSY1" s="9" t="s">
        <v>16128</v>
      </c>
      <c r="WSZ1" s="9" t="s">
        <v>16129</v>
      </c>
      <c r="WTA1" s="9" t="s">
        <v>16130</v>
      </c>
      <c r="WTB1" s="9" t="s">
        <v>16131</v>
      </c>
      <c r="WTC1" s="9" t="s">
        <v>16132</v>
      </c>
      <c r="WTD1" s="9" t="s">
        <v>16133</v>
      </c>
      <c r="WTE1" s="9" t="s">
        <v>16134</v>
      </c>
      <c r="WTF1" s="9" t="s">
        <v>16135</v>
      </c>
      <c r="WTG1" s="9" t="s">
        <v>16136</v>
      </c>
      <c r="WTH1" s="9" t="s">
        <v>16137</v>
      </c>
      <c r="WTI1" s="9" t="s">
        <v>16138</v>
      </c>
      <c r="WTJ1" s="9" t="s">
        <v>16139</v>
      </c>
      <c r="WTK1" s="9" t="s">
        <v>16140</v>
      </c>
      <c r="WTL1" s="9" t="s">
        <v>16141</v>
      </c>
      <c r="WTM1" s="9" t="s">
        <v>16142</v>
      </c>
      <c r="WTN1" s="9" t="s">
        <v>16143</v>
      </c>
      <c r="WTO1" s="9" t="s">
        <v>16144</v>
      </c>
      <c r="WTP1" s="9" t="s">
        <v>16145</v>
      </c>
      <c r="WTQ1" s="9" t="s">
        <v>16146</v>
      </c>
      <c r="WTR1" s="9" t="s">
        <v>16147</v>
      </c>
      <c r="WTS1" s="9" t="s">
        <v>16148</v>
      </c>
      <c r="WTT1" s="9" t="s">
        <v>16149</v>
      </c>
      <c r="WTU1" s="9" t="s">
        <v>16150</v>
      </c>
      <c r="WTV1" s="9" t="s">
        <v>16151</v>
      </c>
      <c r="WTW1" s="9" t="s">
        <v>16152</v>
      </c>
      <c r="WTX1" s="9" t="s">
        <v>16153</v>
      </c>
      <c r="WTY1" s="9" t="s">
        <v>16154</v>
      </c>
      <c r="WTZ1" s="9" t="s">
        <v>16155</v>
      </c>
      <c r="WUA1" s="9" t="s">
        <v>16156</v>
      </c>
      <c r="WUB1" s="9" t="s">
        <v>16157</v>
      </c>
      <c r="WUC1" s="9" t="s">
        <v>16158</v>
      </c>
      <c r="WUD1" s="9" t="s">
        <v>16159</v>
      </c>
      <c r="WUE1" s="9" t="s">
        <v>16160</v>
      </c>
      <c r="WUF1" s="9" t="s">
        <v>16161</v>
      </c>
      <c r="WUG1" s="9" t="s">
        <v>16162</v>
      </c>
      <c r="WUH1" s="9" t="s">
        <v>16163</v>
      </c>
      <c r="WUI1" s="9" t="s">
        <v>16164</v>
      </c>
      <c r="WUJ1" s="9" t="s">
        <v>16165</v>
      </c>
      <c r="WUK1" s="9" t="s">
        <v>16166</v>
      </c>
      <c r="WUL1" s="9" t="s">
        <v>16167</v>
      </c>
      <c r="WUM1" s="9" t="s">
        <v>16168</v>
      </c>
      <c r="WUN1" s="9" t="s">
        <v>16169</v>
      </c>
      <c r="WUO1" s="9" t="s">
        <v>16170</v>
      </c>
      <c r="WUP1" s="9" t="s">
        <v>16171</v>
      </c>
      <c r="WUQ1" s="9" t="s">
        <v>16172</v>
      </c>
      <c r="WUR1" s="9" t="s">
        <v>16173</v>
      </c>
      <c r="WUS1" s="9" t="s">
        <v>16174</v>
      </c>
      <c r="WUT1" s="9" t="s">
        <v>16175</v>
      </c>
      <c r="WUU1" s="9" t="s">
        <v>16176</v>
      </c>
      <c r="WUV1" s="9" t="s">
        <v>16177</v>
      </c>
      <c r="WUW1" s="9" t="s">
        <v>16178</v>
      </c>
      <c r="WUX1" s="9" t="s">
        <v>16179</v>
      </c>
      <c r="WUY1" s="9" t="s">
        <v>16180</v>
      </c>
      <c r="WUZ1" s="9" t="s">
        <v>16181</v>
      </c>
      <c r="WVA1" s="9" t="s">
        <v>16182</v>
      </c>
      <c r="WVB1" s="9" t="s">
        <v>16183</v>
      </c>
      <c r="WVC1" s="9" t="s">
        <v>16184</v>
      </c>
      <c r="WVD1" s="9" t="s">
        <v>16185</v>
      </c>
      <c r="WVE1" s="9" t="s">
        <v>16186</v>
      </c>
      <c r="WVF1" s="9" t="s">
        <v>16187</v>
      </c>
      <c r="WVG1" s="9" t="s">
        <v>16188</v>
      </c>
      <c r="WVH1" s="9" t="s">
        <v>16189</v>
      </c>
      <c r="WVI1" s="9" t="s">
        <v>16190</v>
      </c>
      <c r="WVJ1" s="9" t="s">
        <v>16191</v>
      </c>
      <c r="WVK1" s="9" t="s">
        <v>16192</v>
      </c>
      <c r="WVL1" s="9" t="s">
        <v>16193</v>
      </c>
      <c r="WVM1" s="9" t="s">
        <v>16194</v>
      </c>
      <c r="WVN1" s="9" t="s">
        <v>16195</v>
      </c>
      <c r="WVO1" s="9" t="s">
        <v>16196</v>
      </c>
      <c r="WVP1" s="9" t="s">
        <v>16197</v>
      </c>
      <c r="WVQ1" s="9" t="s">
        <v>16198</v>
      </c>
      <c r="WVR1" s="9" t="s">
        <v>16199</v>
      </c>
      <c r="WVS1" s="9" t="s">
        <v>16200</v>
      </c>
      <c r="WVT1" s="9" t="s">
        <v>16201</v>
      </c>
      <c r="WVU1" s="9" t="s">
        <v>16202</v>
      </c>
      <c r="WVV1" s="9" t="s">
        <v>16203</v>
      </c>
      <c r="WVW1" s="9" t="s">
        <v>16204</v>
      </c>
      <c r="WVX1" s="9" t="s">
        <v>16205</v>
      </c>
      <c r="WVY1" s="9" t="s">
        <v>16206</v>
      </c>
      <c r="WVZ1" s="9" t="s">
        <v>16207</v>
      </c>
      <c r="WWA1" s="9" t="s">
        <v>16208</v>
      </c>
      <c r="WWB1" s="9" t="s">
        <v>16209</v>
      </c>
      <c r="WWC1" s="9" t="s">
        <v>16210</v>
      </c>
      <c r="WWD1" s="9" t="s">
        <v>16211</v>
      </c>
      <c r="WWE1" s="9" t="s">
        <v>16212</v>
      </c>
      <c r="WWF1" s="9" t="s">
        <v>16213</v>
      </c>
      <c r="WWG1" s="9" t="s">
        <v>16214</v>
      </c>
      <c r="WWH1" s="9" t="s">
        <v>16215</v>
      </c>
      <c r="WWI1" s="9" t="s">
        <v>16216</v>
      </c>
      <c r="WWJ1" s="9" t="s">
        <v>16217</v>
      </c>
      <c r="WWK1" s="9" t="s">
        <v>16218</v>
      </c>
      <c r="WWL1" s="9" t="s">
        <v>16219</v>
      </c>
      <c r="WWM1" s="9" t="s">
        <v>16220</v>
      </c>
      <c r="WWN1" s="9" t="s">
        <v>16221</v>
      </c>
      <c r="WWO1" s="9" t="s">
        <v>16222</v>
      </c>
      <c r="WWP1" s="9" t="s">
        <v>16223</v>
      </c>
      <c r="WWQ1" s="9" t="s">
        <v>16224</v>
      </c>
      <c r="WWR1" s="9" t="s">
        <v>16225</v>
      </c>
      <c r="WWS1" s="9" t="s">
        <v>16226</v>
      </c>
      <c r="WWT1" s="9" t="s">
        <v>16227</v>
      </c>
      <c r="WWU1" s="9" t="s">
        <v>16228</v>
      </c>
      <c r="WWV1" s="9" t="s">
        <v>16229</v>
      </c>
      <c r="WWW1" s="9" t="s">
        <v>16230</v>
      </c>
      <c r="WWX1" s="9" t="s">
        <v>16231</v>
      </c>
      <c r="WWY1" s="9" t="s">
        <v>16232</v>
      </c>
      <c r="WWZ1" s="9" t="s">
        <v>16233</v>
      </c>
      <c r="WXA1" s="9" t="s">
        <v>16234</v>
      </c>
      <c r="WXB1" s="9" t="s">
        <v>16235</v>
      </c>
      <c r="WXC1" s="9" t="s">
        <v>16236</v>
      </c>
      <c r="WXD1" s="9" t="s">
        <v>16237</v>
      </c>
      <c r="WXE1" s="9" t="s">
        <v>16238</v>
      </c>
      <c r="WXF1" s="9" t="s">
        <v>16239</v>
      </c>
      <c r="WXG1" s="9" t="s">
        <v>16240</v>
      </c>
      <c r="WXH1" s="9" t="s">
        <v>16241</v>
      </c>
      <c r="WXI1" s="9" t="s">
        <v>16242</v>
      </c>
      <c r="WXJ1" s="9" t="s">
        <v>16243</v>
      </c>
      <c r="WXK1" s="9" t="s">
        <v>16244</v>
      </c>
      <c r="WXL1" s="9" t="s">
        <v>16245</v>
      </c>
      <c r="WXM1" s="9" t="s">
        <v>16246</v>
      </c>
      <c r="WXN1" s="9" t="s">
        <v>16247</v>
      </c>
      <c r="WXO1" s="9" t="s">
        <v>16248</v>
      </c>
      <c r="WXP1" s="9" t="s">
        <v>16249</v>
      </c>
      <c r="WXQ1" s="9" t="s">
        <v>16250</v>
      </c>
      <c r="WXR1" s="9" t="s">
        <v>16251</v>
      </c>
      <c r="WXS1" s="9" t="s">
        <v>16252</v>
      </c>
      <c r="WXT1" s="9" t="s">
        <v>16253</v>
      </c>
      <c r="WXU1" s="9" t="s">
        <v>16254</v>
      </c>
      <c r="WXV1" s="9" t="s">
        <v>16255</v>
      </c>
      <c r="WXW1" s="9" t="s">
        <v>16256</v>
      </c>
      <c r="WXX1" s="9" t="s">
        <v>16257</v>
      </c>
      <c r="WXY1" s="9" t="s">
        <v>16258</v>
      </c>
      <c r="WXZ1" s="9" t="s">
        <v>16259</v>
      </c>
      <c r="WYA1" s="9" t="s">
        <v>16260</v>
      </c>
      <c r="WYB1" s="9" t="s">
        <v>16261</v>
      </c>
      <c r="WYC1" s="9" t="s">
        <v>16262</v>
      </c>
      <c r="WYD1" s="9" t="s">
        <v>16263</v>
      </c>
      <c r="WYE1" s="9" t="s">
        <v>16264</v>
      </c>
      <c r="WYF1" s="9" t="s">
        <v>16265</v>
      </c>
      <c r="WYG1" s="9" t="s">
        <v>16266</v>
      </c>
      <c r="WYH1" s="9" t="s">
        <v>16267</v>
      </c>
      <c r="WYI1" s="9" t="s">
        <v>16268</v>
      </c>
      <c r="WYJ1" s="9" t="s">
        <v>16269</v>
      </c>
      <c r="WYK1" s="9" t="s">
        <v>16270</v>
      </c>
      <c r="WYL1" s="9" t="s">
        <v>16271</v>
      </c>
      <c r="WYM1" s="9" t="s">
        <v>16272</v>
      </c>
      <c r="WYN1" s="9" t="s">
        <v>16273</v>
      </c>
      <c r="WYO1" s="9" t="s">
        <v>16274</v>
      </c>
      <c r="WYP1" s="9" t="s">
        <v>16275</v>
      </c>
      <c r="WYQ1" s="9" t="s">
        <v>16276</v>
      </c>
      <c r="WYR1" s="9" t="s">
        <v>16277</v>
      </c>
      <c r="WYS1" s="9" t="s">
        <v>16278</v>
      </c>
      <c r="WYT1" s="9" t="s">
        <v>16279</v>
      </c>
      <c r="WYU1" s="9" t="s">
        <v>16280</v>
      </c>
      <c r="WYV1" s="9" t="s">
        <v>16281</v>
      </c>
      <c r="WYW1" s="9" t="s">
        <v>16282</v>
      </c>
      <c r="WYX1" s="9" t="s">
        <v>16283</v>
      </c>
      <c r="WYY1" s="9" t="s">
        <v>16284</v>
      </c>
      <c r="WYZ1" s="9" t="s">
        <v>16285</v>
      </c>
      <c r="WZA1" s="9" t="s">
        <v>16286</v>
      </c>
      <c r="WZB1" s="9" t="s">
        <v>16287</v>
      </c>
      <c r="WZC1" s="9" t="s">
        <v>16288</v>
      </c>
      <c r="WZD1" s="9" t="s">
        <v>16289</v>
      </c>
      <c r="WZE1" s="9" t="s">
        <v>16290</v>
      </c>
      <c r="WZF1" s="9" t="s">
        <v>16291</v>
      </c>
      <c r="WZG1" s="9" t="s">
        <v>16292</v>
      </c>
      <c r="WZH1" s="9" t="s">
        <v>16293</v>
      </c>
      <c r="WZI1" s="9" t="s">
        <v>16294</v>
      </c>
      <c r="WZJ1" s="9" t="s">
        <v>16295</v>
      </c>
      <c r="WZK1" s="9" t="s">
        <v>16296</v>
      </c>
      <c r="WZL1" s="9" t="s">
        <v>16297</v>
      </c>
      <c r="WZM1" s="9" t="s">
        <v>16298</v>
      </c>
      <c r="WZN1" s="9" t="s">
        <v>16299</v>
      </c>
      <c r="WZO1" s="9" t="s">
        <v>16300</v>
      </c>
      <c r="WZP1" s="9" t="s">
        <v>16301</v>
      </c>
      <c r="WZQ1" s="9" t="s">
        <v>16302</v>
      </c>
      <c r="WZR1" s="9" t="s">
        <v>16303</v>
      </c>
      <c r="WZS1" s="9" t="s">
        <v>16304</v>
      </c>
      <c r="WZT1" s="9" t="s">
        <v>16305</v>
      </c>
      <c r="WZU1" s="9" t="s">
        <v>16306</v>
      </c>
      <c r="WZV1" s="9" t="s">
        <v>16307</v>
      </c>
      <c r="WZW1" s="9" t="s">
        <v>16308</v>
      </c>
      <c r="WZX1" s="9" t="s">
        <v>16309</v>
      </c>
      <c r="WZY1" s="9" t="s">
        <v>16310</v>
      </c>
      <c r="WZZ1" s="9" t="s">
        <v>16311</v>
      </c>
      <c r="XAA1" s="9" t="s">
        <v>16312</v>
      </c>
      <c r="XAB1" s="9" t="s">
        <v>16313</v>
      </c>
      <c r="XAC1" s="9" t="s">
        <v>16314</v>
      </c>
      <c r="XAD1" s="9" t="s">
        <v>16315</v>
      </c>
      <c r="XAE1" s="9" t="s">
        <v>16316</v>
      </c>
      <c r="XAF1" s="9" t="s">
        <v>16317</v>
      </c>
      <c r="XAG1" s="9" t="s">
        <v>16318</v>
      </c>
      <c r="XAH1" s="9" t="s">
        <v>16319</v>
      </c>
      <c r="XAI1" s="9" t="s">
        <v>16320</v>
      </c>
      <c r="XAJ1" s="9" t="s">
        <v>16321</v>
      </c>
      <c r="XAK1" s="9" t="s">
        <v>16322</v>
      </c>
      <c r="XAL1" s="9" t="s">
        <v>16323</v>
      </c>
      <c r="XAM1" s="9" t="s">
        <v>16324</v>
      </c>
      <c r="XAN1" s="9" t="s">
        <v>16325</v>
      </c>
      <c r="XAO1" s="9" t="s">
        <v>16326</v>
      </c>
      <c r="XAP1" s="9" t="s">
        <v>16327</v>
      </c>
      <c r="XAQ1" s="9" t="s">
        <v>16328</v>
      </c>
      <c r="XAR1" s="9" t="s">
        <v>16329</v>
      </c>
      <c r="XAS1" s="9" t="s">
        <v>16330</v>
      </c>
      <c r="XAT1" s="9" t="s">
        <v>16331</v>
      </c>
      <c r="XAU1" s="9" t="s">
        <v>16332</v>
      </c>
      <c r="XAV1" s="9" t="s">
        <v>16333</v>
      </c>
      <c r="XAW1" s="9" t="s">
        <v>16334</v>
      </c>
      <c r="XAX1" s="9" t="s">
        <v>16335</v>
      </c>
      <c r="XAY1" s="9" t="s">
        <v>16336</v>
      </c>
      <c r="XAZ1" s="9" t="s">
        <v>16337</v>
      </c>
      <c r="XBA1" s="9" t="s">
        <v>16338</v>
      </c>
      <c r="XBB1" s="9" t="s">
        <v>16339</v>
      </c>
      <c r="XBC1" s="9" t="s">
        <v>16340</v>
      </c>
      <c r="XBD1" s="9" t="s">
        <v>16341</v>
      </c>
      <c r="XBE1" s="9" t="s">
        <v>16342</v>
      </c>
      <c r="XBF1" s="9" t="s">
        <v>16343</v>
      </c>
      <c r="XBG1" s="9" t="s">
        <v>16344</v>
      </c>
      <c r="XBH1" s="9" t="s">
        <v>16345</v>
      </c>
      <c r="XBI1" s="9" t="s">
        <v>16346</v>
      </c>
      <c r="XBJ1" s="9" t="s">
        <v>16347</v>
      </c>
      <c r="XBK1" s="9" t="s">
        <v>16348</v>
      </c>
      <c r="XBL1" s="9" t="s">
        <v>16349</v>
      </c>
      <c r="XBM1" s="9" t="s">
        <v>16350</v>
      </c>
      <c r="XBN1" s="9" t="s">
        <v>16351</v>
      </c>
      <c r="XBO1" s="9" t="s">
        <v>16352</v>
      </c>
      <c r="XBP1" s="9" t="s">
        <v>16353</v>
      </c>
      <c r="XBQ1" s="9" t="s">
        <v>16354</v>
      </c>
      <c r="XBR1" s="9" t="s">
        <v>16355</v>
      </c>
      <c r="XBS1" s="9" t="s">
        <v>16356</v>
      </c>
      <c r="XBT1" s="9" t="s">
        <v>16357</v>
      </c>
      <c r="XBU1" s="9" t="s">
        <v>16358</v>
      </c>
      <c r="XBV1" s="9" t="s">
        <v>16359</v>
      </c>
      <c r="XBW1" s="9" t="s">
        <v>16360</v>
      </c>
      <c r="XBX1" s="9" t="s">
        <v>16361</v>
      </c>
      <c r="XBY1" s="9" t="s">
        <v>16362</v>
      </c>
      <c r="XBZ1" s="9" t="s">
        <v>16363</v>
      </c>
      <c r="XCA1" s="9" t="s">
        <v>16364</v>
      </c>
      <c r="XCB1" s="9" t="s">
        <v>16365</v>
      </c>
      <c r="XCC1" s="9" t="s">
        <v>16366</v>
      </c>
      <c r="XCD1" s="9" t="s">
        <v>16367</v>
      </c>
      <c r="XCE1" s="9" t="s">
        <v>16368</v>
      </c>
      <c r="XCF1" s="9" t="s">
        <v>16369</v>
      </c>
      <c r="XCG1" s="9" t="s">
        <v>16370</v>
      </c>
      <c r="XCH1" s="9" t="s">
        <v>16371</v>
      </c>
      <c r="XCI1" s="9" t="s">
        <v>16372</v>
      </c>
      <c r="XCJ1" s="9" t="s">
        <v>16373</v>
      </c>
      <c r="XCK1" s="9" t="s">
        <v>16374</v>
      </c>
      <c r="XCL1" s="9" t="s">
        <v>16375</v>
      </c>
      <c r="XCM1" s="9" t="s">
        <v>16376</v>
      </c>
      <c r="XCN1" s="9" t="s">
        <v>16377</v>
      </c>
      <c r="XCO1" s="9" t="s">
        <v>16378</v>
      </c>
      <c r="XCP1" s="9" t="s">
        <v>16379</v>
      </c>
      <c r="XCQ1" s="9" t="s">
        <v>16380</v>
      </c>
      <c r="XCR1" s="9" t="s">
        <v>16381</v>
      </c>
      <c r="XCS1" s="9" t="s">
        <v>16382</v>
      </c>
      <c r="XCT1" s="9" t="s">
        <v>16383</v>
      </c>
      <c r="XCU1" s="9" t="s">
        <v>16384</v>
      </c>
      <c r="XCV1" s="9" t="s">
        <v>16385</v>
      </c>
      <c r="XCW1" s="9" t="s">
        <v>16386</v>
      </c>
      <c r="XCX1" s="9" t="s">
        <v>16387</v>
      </c>
      <c r="XCY1" s="9" t="s">
        <v>16388</v>
      </c>
      <c r="XCZ1" s="9" t="s">
        <v>16389</v>
      </c>
      <c r="XDA1" s="9" t="s">
        <v>16390</v>
      </c>
      <c r="XDB1" s="9" t="s">
        <v>16391</v>
      </c>
      <c r="XDC1" s="9" t="s">
        <v>16392</v>
      </c>
      <c r="XDD1" s="9" t="s">
        <v>16393</v>
      </c>
      <c r="XDE1" s="9" t="s">
        <v>16394</v>
      </c>
      <c r="XDF1" s="9" t="s">
        <v>16395</v>
      </c>
      <c r="XDG1" s="9" t="s">
        <v>16396</v>
      </c>
      <c r="XDH1" s="9" t="s">
        <v>16397</v>
      </c>
      <c r="XDI1" s="9" t="s">
        <v>16398</v>
      </c>
      <c r="XDJ1" s="9" t="s">
        <v>16399</v>
      </c>
      <c r="XDK1" s="9" t="s">
        <v>16400</v>
      </c>
      <c r="XDL1" s="9" t="s">
        <v>16401</v>
      </c>
      <c r="XDM1" s="9" t="s">
        <v>16402</v>
      </c>
      <c r="XDN1" s="9" t="s">
        <v>16403</v>
      </c>
      <c r="XDO1" s="9" t="s">
        <v>16404</v>
      </c>
      <c r="XDP1" s="9" t="s">
        <v>16405</v>
      </c>
      <c r="XDQ1" s="9" t="s">
        <v>16406</v>
      </c>
      <c r="XDR1" s="9" t="s">
        <v>16407</v>
      </c>
      <c r="XDS1" s="9" t="s">
        <v>16408</v>
      </c>
      <c r="XDT1" s="9" t="s">
        <v>16409</v>
      </c>
      <c r="XDU1" s="9" t="s">
        <v>16410</v>
      </c>
      <c r="XDV1" s="9" t="s">
        <v>16411</v>
      </c>
      <c r="XDW1" s="9" t="s">
        <v>16412</v>
      </c>
      <c r="XDX1" s="9" t="s">
        <v>16413</v>
      </c>
      <c r="XDY1" s="9" t="s">
        <v>16414</v>
      </c>
      <c r="XDZ1" s="9" t="s">
        <v>16415</v>
      </c>
      <c r="XEA1" s="9" t="s">
        <v>16416</v>
      </c>
      <c r="XEB1" s="9" t="s">
        <v>16417</v>
      </c>
      <c r="XEC1" s="9" t="s">
        <v>16418</v>
      </c>
      <c r="XED1" s="9" t="s">
        <v>16419</v>
      </c>
      <c r="XEE1" s="9" t="s">
        <v>16420</v>
      </c>
      <c r="XEF1" s="9" t="s">
        <v>16421</v>
      </c>
      <c r="XEG1" s="9" t="s">
        <v>16422</v>
      </c>
      <c r="XEH1" s="9" t="s">
        <v>16423</v>
      </c>
      <c r="XEI1" s="9" t="s">
        <v>16424</v>
      </c>
      <c r="XEJ1" s="9" t="s">
        <v>16425</v>
      </c>
      <c r="XEK1" s="9" t="s">
        <v>16426</v>
      </c>
      <c r="XEL1" s="9" t="s">
        <v>16427</v>
      </c>
      <c r="XEM1" s="9" t="s">
        <v>16428</v>
      </c>
      <c r="XEN1" s="9" t="s">
        <v>16429</v>
      </c>
      <c r="XEO1" s="9" t="s">
        <v>16430</v>
      </c>
      <c r="XEP1" s="9" t="s">
        <v>16431</v>
      </c>
      <c r="XEQ1" s="9" t="s">
        <v>16432</v>
      </c>
      <c r="XER1" s="9" t="s">
        <v>16433</v>
      </c>
      <c r="XES1" s="9" t="s">
        <v>16434</v>
      </c>
      <c r="XET1" s="9" t="s">
        <v>16435</v>
      </c>
      <c r="XEU1" s="9" t="s">
        <v>16436</v>
      </c>
      <c r="XEV1" s="9" t="s">
        <v>16437</v>
      </c>
      <c r="XEW1" s="9" t="s">
        <v>16438</v>
      </c>
      <c r="XEX1" s="9" t="s">
        <v>16439</v>
      </c>
      <c r="XEY1" s="9" t="s">
        <v>16440</v>
      </c>
      <c r="XEZ1" s="9" t="s">
        <v>16441</v>
      </c>
      <c r="XFA1" s="9" t="s">
        <v>16442</v>
      </c>
      <c r="XFB1" s="9" t="s">
        <v>16443</v>
      </c>
      <c r="XFC1" s="9" t="s">
        <v>16444</v>
      </c>
      <c r="XFD1" s="9" t="s">
        <v>16445</v>
      </c>
    </row>
    <row r="2" spans="1:16384" s="9" customFormat="1" x14ac:dyDescent="0.3">
      <c r="A2" s="9">
        <v>18</v>
      </c>
      <c r="B2" s="9" t="s">
        <v>28</v>
      </c>
      <c r="C2" s="9">
        <v>226956</v>
      </c>
      <c r="D2" s="9" t="s">
        <v>29</v>
      </c>
      <c r="E2" s="9">
        <v>9</v>
      </c>
      <c r="F2" s="9" t="s">
        <v>17</v>
      </c>
      <c r="G2" s="9" t="s">
        <v>41</v>
      </c>
      <c r="H2" s="9" t="s">
        <v>47</v>
      </c>
      <c r="I2" s="9" t="s">
        <v>20</v>
      </c>
      <c r="J2" s="9" t="s">
        <v>36</v>
      </c>
      <c r="K2" s="9">
        <v>0</v>
      </c>
      <c r="L2" s="9">
        <v>0</v>
      </c>
      <c r="M2" s="9">
        <v>30</v>
      </c>
      <c r="N2" s="9" t="s">
        <v>52</v>
      </c>
      <c r="O2" s="11">
        <v>1</v>
      </c>
    </row>
    <row r="3" spans="1:16384" s="9" customFormat="1" x14ac:dyDescent="0.3">
      <c r="A3" s="9">
        <v>18</v>
      </c>
      <c r="B3" s="9" t="s">
        <v>28</v>
      </c>
      <c r="C3" s="9">
        <v>309634</v>
      </c>
      <c r="D3" s="9" t="s">
        <v>32</v>
      </c>
      <c r="E3" s="9">
        <v>7</v>
      </c>
      <c r="F3" s="9" t="s">
        <v>17</v>
      </c>
      <c r="G3" s="9" t="s">
        <v>41</v>
      </c>
      <c r="H3" s="9" t="s">
        <v>47</v>
      </c>
      <c r="I3" s="9" t="s">
        <v>20</v>
      </c>
      <c r="J3" s="9" t="s">
        <v>36</v>
      </c>
      <c r="K3" s="9">
        <v>0</v>
      </c>
      <c r="L3" s="9">
        <v>0</v>
      </c>
      <c r="M3" s="9">
        <v>22</v>
      </c>
      <c r="N3" s="9" t="s">
        <v>22</v>
      </c>
      <c r="O3" s="11">
        <v>1</v>
      </c>
    </row>
    <row r="4" spans="1:16384" s="9" customFormat="1" x14ac:dyDescent="0.3">
      <c r="A4" s="9">
        <v>18</v>
      </c>
      <c r="B4" s="9" t="s">
        <v>28</v>
      </c>
      <c r="C4" s="9">
        <v>446839</v>
      </c>
      <c r="D4" s="9" t="s">
        <v>29</v>
      </c>
      <c r="E4" s="9">
        <v>9</v>
      </c>
      <c r="F4" s="9" t="s">
        <v>17</v>
      </c>
      <c r="G4" s="9" t="s">
        <v>49</v>
      </c>
      <c r="H4" s="9" t="s">
        <v>19</v>
      </c>
      <c r="I4" s="9" t="s">
        <v>20</v>
      </c>
      <c r="J4" s="9" t="s">
        <v>21</v>
      </c>
      <c r="K4" s="9">
        <v>0</v>
      </c>
      <c r="L4" s="9">
        <v>0</v>
      </c>
      <c r="M4" s="9">
        <v>30</v>
      </c>
      <c r="N4" s="9" t="s">
        <v>22</v>
      </c>
      <c r="O4" s="11">
        <v>1</v>
      </c>
    </row>
    <row r="5" spans="1:16384" s="9" customFormat="1" x14ac:dyDescent="0.3">
      <c r="A5" s="9">
        <v>19</v>
      </c>
      <c r="B5" s="9" t="s">
        <v>28</v>
      </c>
      <c r="C5" s="9">
        <v>168294</v>
      </c>
      <c r="D5" s="9" t="s">
        <v>29</v>
      </c>
      <c r="E5" s="9">
        <v>9</v>
      </c>
      <c r="F5" s="9" t="s">
        <v>17</v>
      </c>
      <c r="G5" s="9" t="s">
        <v>51</v>
      </c>
      <c r="H5" s="9" t="s">
        <v>47</v>
      </c>
      <c r="I5" s="9" t="s">
        <v>20</v>
      </c>
      <c r="J5" s="9" t="s">
        <v>21</v>
      </c>
      <c r="K5" s="9">
        <v>0</v>
      </c>
      <c r="L5" s="9">
        <v>0</v>
      </c>
      <c r="M5" s="9">
        <v>40</v>
      </c>
      <c r="N5" s="9" t="s">
        <v>22</v>
      </c>
      <c r="O5" s="11">
        <v>1</v>
      </c>
    </row>
    <row r="6" spans="1:16384" s="9" customFormat="1" x14ac:dyDescent="0.3">
      <c r="A6" s="9">
        <v>19</v>
      </c>
      <c r="B6" s="9" t="s">
        <v>28</v>
      </c>
      <c r="C6" s="9">
        <v>544091</v>
      </c>
      <c r="D6" s="9" t="s">
        <v>29</v>
      </c>
      <c r="E6" s="9">
        <v>9</v>
      </c>
      <c r="F6" s="9" t="s">
        <v>68</v>
      </c>
      <c r="G6" s="9" t="s">
        <v>18</v>
      </c>
      <c r="H6" s="9" t="s">
        <v>35</v>
      </c>
      <c r="I6" s="9" t="s">
        <v>20</v>
      </c>
      <c r="J6" s="9" t="s">
        <v>36</v>
      </c>
      <c r="K6" s="9">
        <v>0</v>
      </c>
      <c r="L6" s="9">
        <v>0</v>
      </c>
      <c r="M6" s="9">
        <v>25</v>
      </c>
      <c r="N6" s="9" t="s">
        <v>22</v>
      </c>
      <c r="O6" s="11">
        <v>1</v>
      </c>
    </row>
    <row r="7" spans="1:16384" s="9" customFormat="1" x14ac:dyDescent="0.3">
      <c r="A7" s="9">
        <v>19</v>
      </c>
      <c r="B7" s="9" t="s">
        <v>28</v>
      </c>
      <c r="C7" s="9">
        <v>101509</v>
      </c>
      <c r="D7" s="9" t="s">
        <v>44</v>
      </c>
      <c r="E7" s="9">
        <v>10</v>
      </c>
      <c r="F7" s="9" t="s">
        <v>17</v>
      </c>
      <c r="G7" s="9" t="s">
        <v>34</v>
      </c>
      <c r="H7" s="9" t="s">
        <v>47</v>
      </c>
      <c r="I7" s="9" t="s">
        <v>20</v>
      </c>
      <c r="J7" s="9" t="s">
        <v>21</v>
      </c>
      <c r="K7" s="9">
        <v>0</v>
      </c>
      <c r="L7" s="9">
        <v>0</v>
      </c>
      <c r="M7" s="9">
        <v>32</v>
      </c>
      <c r="N7" s="9" t="s">
        <v>22</v>
      </c>
      <c r="O7" s="11">
        <v>1</v>
      </c>
    </row>
    <row r="8" spans="1:16384" s="9" customFormat="1" x14ac:dyDescent="0.3">
      <c r="A8" s="9">
        <v>20</v>
      </c>
      <c r="B8" s="9" t="s">
        <v>28</v>
      </c>
      <c r="C8" s="9">
        <v>266015</v>
      </c>
      <c r="D8" s="9" t="s">
        <v>44</v>
      </c>
      <c r="E8" s="9">
        <v>10</v>
      </c>
      <c r="F8" s="9" t="s">
        <v>17</v>
      </c>
      <c r="G8" s="9" t="s">
        <v>49</v>
      </c>
      <c r="H8" s="9" t="s">
        <v>47</v>
      </c>
      <c r="I8" s="9" t="s">
        <v>33</v>
      </c>
      <c r="J8" s="9" t="s">
        <v>21</v>
      </c>
      <c r="K8" s="9">
        <v>0</v>
      </c>
      <c r="L8" s="9">
        <v>0</v>
      </c>
      <c r="M8" s="9">
        <v>44</v>
      </c>
      <c r="N8" s="9" t="s">
        <v>22</v>
      </c>
      <c r="O8" s="11">
        <v>1</v>
      </c>
    </row>
    <row r="9" spans="1:16384" s="9" customFormat="1" x14ac:dyDescent="0.3">
      <c r="A9" s="9">
        <v>21</v>
      </c>
      <c r="B9" s="9" t="s">
        <v>28</v>
      </c>
      <c r="C9" s="9">
        <v>197200</v>
      </c>
      <c r="D9" s="9" t="s">
        <v>44</v>
      </c>
      <c r="E9" s="9">
        <v>10</v>
      </c>
      <c r="F9" s="9" t="s">
        <v>17</v>
      </c>
      <c r="G9" s="9" t="s">
        <v>58</v>
      </c>
      <c r="H9" s="9" t="s">
        <v>47</v>
      </c>
      <c r="I9" s="9" t="s">
        <v>20</v>
      </c>
      <c r="J9" s="9" t="s">
        <v>21</v>
      </c>
      <c r="K9" s="9">
        <v>0</v>
      </c>
      <c r="L9" s="9">
        <v>0</v>
      </c>
      <c r="M9" s="9">
        <v>40</v>
      </c>
      <c r="N9" s="9" t="s">
        <v>22</v>
      </c>
      <c r="O9" s="11">
        <v>1</v>
      </c>
    </row>
    <row r="10" spans="1:16384" s="9" customFormat="1" x14ac:dyDescent="0.3">
      <c r="A10" s="9">
        <v>22</v>
      </c>
      <c r="B10" s="9" t="s">
        <v>15</v>
      </c>
      <c r="C10" s="9">
        <v>311512</v>
      </c>
      <c r="D10" s="9" t="s">
        <v>44</v>
      </c>
      <c r="E10" s="9">
        <v>10</v>
      </c>
      <c r="F10" s="9" t="s">
        <v>25</v>
      </c>
      <c r="G10" s="9" t="s">
        <v>41</v>
      </c>
      <c r="H10" s="9" t="s">
        <v>27</v>
      </c>
      <c r="I10" s="9" t="s">
        <v>33</v>
      </c>
      <c r="J10" s="9" t="s">
        <v>21</v>
      </c>
      <c r="K10" s="9">
        <v>0</v>
      </c>
      <c r="L10" s="9">
        <v>0</v>
      </c>
      <c r="M10" s="9">
        <v>15</v>
      </c>
      <c r="N10" s="9" t="s">
        <v>22</v>
      </c>
      <c r="O10" s="11">
        <v>1</v>
      </c>
    </row>
    <row r="11" spans="1:16384" s="9" customFormat="1" x14ac:dyDescent="0.3">
      <c r="A11" s="9">
        <v>23</v>
      </c>
      <c r="B11" s="9" t="s">
        <v>28</v>
      </c>
      <c r="C11" s="9">
        <v>122272</v>
      </c>
      <c r="D11" s="9" t="s">
        <v>16</v>
      </c>
      <c r="E11" s="9">
        <v>13</v>
      </c>
      <c r="F11" s="9" t="s">
        <v>17</v>
      </c>
      <c r="G11" s="9" t="s">
        <v>18</v>
      </c>
      <c r="H11" s="9" t="s">
        <v>47</v>
      </c>
      <c r="I11" s="9" t="s">
        <v>20</v>
      </c>
      <c r="J11" s="9" t="s">
        <v>36</v>
      </c>
      <c r="K11" s="9">
        <v>0</v>
      </c>
      <c r="L11" s="9">
        <v>0</v>
      </c>
      <c r="M11" s="9">
        <v>30</v>
      </c>
      <c r="N11" s="9" t="s">
        <v>22</v>
      </c>
      <c r="O11" s="11">
        <v>1</v>
      </c>
    </row>
    <row r="12" spans="1:16384" s="9" customFormat="1" x14ac:dyDescent="0.3">
      <c r="A12" s="9">
        <v>23</v>
      </c>
      <c r="B12" s="9" t="s">
        <v>64</v>
      </c>
      <c r="C12" s="9">
        <v>190709</v>
      </c>
      <c r="D12" s="9" t="s">
        <v>48</v>
      </c>
      <c r="E12" s="9">
        <v>12</v>
      </c>
      <c r="F12" s="9" t="s">
        <v>17</v>
      </c>
      <c r="G12" s="9" t="s">
        <v>66</v>
      </c>
      <c r="H12" s="9" t="s">
        <v>19</v>
      </c>
      <c r="I12" s="9" t="s">
        <v>20</v>
      </c>
      <c r="J12" s="9" t="s">
        <v>21</v>
      </c>
      <c r="K12" s="9">
        <v>0</v>
      </c>
      <c r="L12" s="9">
        <v>0</v>
      </c>
      <c r="M12" s="9">
        <v>52</v>
      </c>
      <c r="N12" s="9" t="s">
        <v>22</v>
      </c>
      <c r="O12" s="11">
        <v>1</v>
      </c>
    </row>
    <row r="13" spans="1:16384" s="9" customFormat="1" x14ac:dyDescent="0.3">
      <c r="A13" s="9">
        <v>23</v>
      </c>
      <c r="B13" s="9" t="s">
        <v>28</v>
      </c>
      <c r="C13" s="9">
        <v>211678</v>
      </c>
      <c r="D13" s="9" t="s">
        <v>44</v>
      </c>
      <c r="E13" s="9">
        <v>10</v>
      </c>
      <c r="F13" s="9" t="s">
        <v>17</v>
      </c>
      <c r="G13" s="9" t="s">
        <v>58</v>
      </c>
      <c r="H13" s="9" t="s">
        <v>19</v>
      </c>
      <c r="I13" s="9" t="s">
        <v>20</v>
      </c>
      <c r="J13" s="9" t="s">
        <v>21</v>
      </c>
      <c r="K13" s="9">
        <v>0</v>
      </c>
      <c r="L13" s="9">
        <v>0</v>
      </c>
      <c r="M13" s="9">
        <v>40</v>
      </c>
      <c r="N13" s="9" t="s">
        <v>22</v>
      </c>
      <c r="O13" s="11">
        <v>1</v>
      </c>
    </row>
    <row r="14" spans="1:16384" s="9" customFormat="1" x14ac:dyDescent="0.3">
      <c r="A14" s="9">
        <v>24</v>
      </c>
      <c r="B14" s="9" t="s">
        <v>28</v>
      </c>
      <c r="C14" s="9">
        <v>172987</v>
      </c>
      <c r="D14" s="9" t="s">
        <v>16</v>
      </c>
      <c r="E14" s="9">
        <v>13</v>
      </c>
      <c r="F14" s="9" t="s">
        <v>25</v>
      </c>
      <c r="G14" s="9" t="s">
        <v>63</v>
      </c>
      <c r="H14" s="9" t="s">
        <v>27</v>
      </c>
      <c r="I14" s="9" t="s">
        <v>20</v>
      </c>
      <c r="J14" s="9" t="s">
        <v>21</v>
      </c>
      <c r="K14" s="9">
        <v>0</v>
      </c>
      <c r="L14" s="9">
        <v>0</v>
      </c>
      <c r="M14" s="9">
        <v>50</v>
      </c>
      <c r="N14" s="9" t="s">
        <v>22</v>
      </c>
      <c r="O14" s="11">
        <v>1</v>
      </c>
    </row>
    <row r="15" spans="1:16384" s="9" customFormat="1" x14ac:dyDescent="0.3">
      <c r="A15" s="9">
        <v>25</v>
      </c>
      <c r="B15" s="9" t="s">
        <v>24</v>
      </c>
      <c r="C15" s="9">
        <v>176756</v>
      </c>
      <c r="D15" s="9" t="s">
        <v>29</v>
      </c>
      <c r="E15" s="9">
        <v>9</v>
      </c>
      <c r="F15" s="9" t="s">
        <v>17</v>
      </c>
      <c r="G15" s="9" t="s">
        <v>57</v>
      </c>
      <c r="H15" s="9" t="s">
        <v>47</v>
      </c>
      <c r="I15" s="9" t="s">
        <v>20</v>
      </c>
      <c r="J15" s="9" t="s">
        <v>21</v>
      </c>
      <c r="K15" s="9">
        <v>0</v>
      </c>
      <c r="L15" s="9">
        <v>0</v>
      </c>
      <c r="M15" s="9">
        <v>35</v>
      </c>
      <c r="N15" s="9" t="s">
        <v>22</v>
      </c>
      <c r="O15" s="11">
        <v>1</v>
      </c>
    </row>
    <row r="16" spans="1:16384" s="9" customFormat="1" x14ac:dyDescent="0.3">
      <c r="A16" s="9">
        <v>25</v>
      </c>
      <c r="B16" s="9" t="s">
        <v>28</v>
      </c>
      <c r="C16" s="9">
        <v>289980</v>
      </c>
      <c r="D16" s="9" t="s">
        <v>29</v>
      </c>
      <c r="E16" s="9">
        <v>9</v>
      </c>
      <c r="F16" s="9" t="s">
        <v>17</v>
      </c>
      <c r="G16" s="9" t="s">
        <v>31</v>
      </c>
      <c r="H16" s="9" t="s">
        <v>19</v>
      </c>
      <c r="I16" s="9" t="s">
        <v>20</v>
      </c>
      <c r="J16" s="9" t="s">
        <v>21</v>
      </c>
      <c r="K16" s="9">
        <v>0</v>
      </c>
      <c r="L16" s="9">
        <v>0</v>
      </c>
      <c r="M16" s="9">
        <v>35</v>
      </c>
      <c r="N16" s="9" t="s">
        <v>22</v>
      </c>
      <c r="O16" s="11">
        <v>1</v>
      </c>
    </row>
    <row r="17" spans="1:15" s="9" customFormat="1" x14ac:dyDescent="0.3">
      <c r="A17" s="9">
        <v>25</v>
      </c>
      <c r="B17" s="9" t="s">
        <v>28</v>
      </c>
      <c r="C17" s="9">
        <v>32275</v>
      </c>
      <c r="D17" s="9" t="s">
        <v>44</v>
      </c>
      <c r="E17" s="9">
        <v>10</v>
      </c>
      <c r="F17" s="9" t="s">
        <v>25</v>
      </c>
      <c r="G17" s="9" t="s">
        <v>26</v>
      </c>
      <c r="H17" s="9" t="s">
        <v>35</v>
      </c>
      <c r="I17" s="9" t="s">
        <v>69</v>
      </c>
      <c r="J17" s="9" t="s">
        <v>36</v>
      </c>
      <c r="K17" s="9">
        <v>0</v>
      </c>
      <c r="L17" s="9">
        <v>0</v>
      </c>
      <c r="M17" s="9">
        <v>40</v>
      </c>
      <c r="N17" s="9" t="s">
        <v>22</v>
      </c>
      <c r="O17" s="11">
        <v>1</v>
      </c>
    </row>
    <row r="18" spans="1:15" s="9" customFormat="1" x14ac:dyDescent="0.3">
      <c r="A18" s="9">
        <v>25</v>
      </c>
      <c r="B18" s="9" t="s">
        <v>52</v>
      </c>
      <c r="C18" s="9">
        <v>200681</v>
      </c>
      <c r="D18" s="9" t="s">
        <v>44</v>
      </c>
      <c r="E18" s="9">
        <v>10</v>
      </c>
      <c r="F18" s="9" t="s">
        <v>17</v>
      </c>
      <c r="G18" s="9" t="s">
        <v>52</v>
      </c>
      <c r="H18" s="9" t="s">
        <v>47</v>
      </c>
      <c r="I18" s="9" t="s">
        <v>20</v>
      </c>
      <c r="J18" s="9" t="s">
        <v>21</v>
      </c>
      <c r="K18" s="9">
        <v>0</v>
      </c>
      <c r="L18" s="9">
        <v>0</v>
      </c>
      <c r="M18" s="9">
        <v>40</v>
      </c>
      <c r="N18" s="9" t="s">
        <v>22</v>
      </c>
      <c r="O18" s="11">
        <v>1</v>
      </c>
    </row>
    <row r="19" spans="1:15" s="9" customFormat="1" x14ac:dyDescent="0.3">
      <c r="A19" s="9">
        <v>27</v>
      </c>
      <c r="B19" s="9" t="s">
        <v>28</v>
      </c>
      <c r="C19" s="9">
        <v>213921</v>
      </c>
      <c r="D19" s="9" t="s">
        <v>29</v>
      </c>
      <c r="E19" s="9">
        <v>9</v>
      </c>
      <c r="F19" s="9" t="s">
        <v>17</v>
      </c>
      <c r="G19" s="9" t="s">
        <v>41</v>
      </c>
      <c r="H19" s="9" t="s">
        <v>47</v>
      </c>
      <c r="I19" s="9" t="s">
        <v>20</v>
      </c>
      <c r="J19" s="9" t="s">
        <v>21</v>
      </c>
      <c r="K19" s="9">
        <v>0</v>
      </c>
      <c r="L19" s="9">
        <v>0</v>
      </c>
      <c r="M19" s="9">
        <v>40</v>
      </c>
      <c r="N19" s="9" t="s">
        <v>56</v>
      </c>
      <c r="O19" s="11">
        <v>1</v>
      </c>
    </row>
    <row r="20" spans="1:15" s="9" customFormat="1" x14ac:dyDescent="0.3">
      <c r="A20" s="9">
        <v>28</v>
      </c>
      <c r="B20" s="9" t="s">
        <v>28</v>
      </c>
      <c r="C20" s="9">
        <v>338409</v>
      </c>
      <c r="D20" s="9" t="s">
        <v>16</v>
      </c>
      <c r="E20" s="9">
        <v>13</v>
      </c>
      <c r="F20" s="9" t="s">
        <v>25</v>
      </c>
      <c r="G20" s="9" t="s">
        <v>34</v>
      </c>
      <c r="H20" s="9" t="s">
        <v>35</v>
      </c>
      <c r="I20" s="9" t="s">
        <v>33</v>
      </c>
      <c r="J20" s="9" t="s">
        <v>36</v>
      </c>
      <c r="K20" s="9">
        <v>0</v>
      </c>
      <c r="L20" s="9">
        <v>0</v>
      </c>
      <c r="M20" s="9">
        <v>40</v>
      </c>
      <c r="N20" s="9" t="s">
        <v>37</v>
      </c>
      <c r="O20" s="11">
        <v>1</v>
      </c>
    </row>
    <row r="21" spans="1:15" s="9" customFormat="1" x14ac:dyDescent="0.3">
      <c r="A21" s="9">
        <v>28</v>
      </c>
      <c r="B21" s="9" t="s">
        <v>28</v>
      </c>
      <c r="C21" s="9">
        <v>183175</v>
      </c>
      <c r="D21" s="9" t="s">
        <v>44</v>
      </c>
      <c r="E21" s="9">
        <v>10</v>
      </c>
      <c r="F21" s="9" t="s">
        <v>30</v>
      </c>
      <c r="G21" s="9" t="s">
        <v>18</v>
      </c>
      <c r="H21" s="9" t="s">
        <v>19</v>
      </c>
      <c r="I21" s="9" t="s">
        <v>20</v>
      </c>
      <c r="J21" s="9" t="s">
        <v>36</v>
      </c>
      <c r="K21" s="9">
        <v>0</v>
      </c>
      <c r="L21" s="9">
        <v>0</v>
      </c>
      <c r="M21" s="9">
        <v>40</v>
      </c>
      <c r="N21" s="9" t="s">
        <v>22</v>
      </c>
      <c r="O21" s="11">
        <v>1</v>
      </c>
    </row>
    <row r="22" spans="1:15" s="9" customFormat="1" x14ac:dyDescent="0.3">
      <c r="A22" s="9">
        <v>28</v>
      </c>
      <c r="B22" s="9" t="s">
        <v>28</v>
      </c>
      <c r="C22" s="9">
        <v>212563</v>
      </c>
      <c r="D22" s="9" t="s">
        <v>44</v>
      </c>
      <c r="E22" s="9">
        <v>10</v>
      </c>
      <c r="F22" s="9" t="s">
        <v>30</v>
      </c>
      <c r="G22" s="9" t="s">
        <v>58</v>
      </c>
      <c r="H22" s="9" t="s">
        <v>59</v>
      </c>
      <c r="I22" s="9" t="s">
        <v>33</v>
      </c>
      <c r="J22" s="9" t="s">
        <v>36</v>
      </c>
      <c r="K22" s="9">
        <v>0</v>
      </c>
      <c r="L22" s="9">
        <v>0</v>
      </c>
      <c r="M22" s="9">
        <v>25</v>
      </c>
      <c r="N22" s="9" t="s">
        <v>22</v>
      </c>
      <c r="O22" s="11">
        <v>1</v>
      </c>
    </row>
    <row r="23" spans="1:15" s="9" customFormat="1" x14ac:dyDescent="0.3">
      <c r="A23" s="9">
        <v>29</v>
      </c>
      <c r="B23" s="9" t="s">
        <v>28</v>
      </c>
      <c r="C23" s="9">
        <v>271466</v>
      </c>
      <c r="D23" s="9" t="s">
        <v>50</v>
      </c>
      <c r="E23" s="9">
        <v>11</v>
      </c>
      <c r="F23" s="9" t="s">
        <v>17</v>
      </c>
      <c r="G23" s="9" t="s">
        <v>34</v>
      </c>
      <c r="H23" s="9" t="s">
        <v>19</v>
      </c>
      <c r="I23" s="9" t="s">
        <v>20</v>
      </c>
      <c r="J23" s="9" t="s">
        <v>21</v>
      </c>
      <c r="K23" s="9">
        <v>0</v>
      </c>
      <c r="L23" s="9">
        <v>0</v>
      </c>
      <c r="M23" s="9">
        <v>43</v>
      </c>
      <c r="N23" s="9" t="s">
        <v>22</v>
      </c>
      <c r="O23" s="11">
        <v>1</v>
      </c>
    </row>
    <row r="24" spans="1:15" s="9" customFormat="1" x14ac:dyDescent="0.3">
      <c r="A24" s="9">
        <v>29</v>
      </c>
      <c r="B24" s="9" t="s">
        <v>28</v>
      </c>
      <c r="C24" s="9">
        <v>105598</v>
      </c>
      <c r="D24" s="9" t="s">
        <v>44</v>
      </c>
      <c r="E24" s="9">
        <v>10</v>
      </c>
      <c r="F24" s="9" t="s">
        <v>30</v>
      </c>
      <c r="G24" s="9" t="s">
        <v>63</v>
      </c>
      <c r="H24" s="9" t="s">
        <v>19</v>
      </c>
      <c r="I24" s="9" t="s">
        <v>20</v>
      </c>
      <c r="J24" s="9" t="s">
        <v>21</v>
      </c>
      <c r="K24" s="9">
        <v>0</v>
      </c>
      <c r="L24" s="9">
        <v>0</v>
      </c>
      <c r="M24" s="9">
        <v>58</v>
      </c>
      <c r="N24" s="9" t="s">
        <v>22</v>
      </c>
      <c r="O24" s="11">
        <v>1</v>
      </c>
    </row>
    <row r="25" spans="1:15" s="9" customFormat="1" x14ac:dyDescent="0.3">
      <c r="A25" s="9">
        <v>29</v>
      </c>
      <c r="B25" s="9" t="s">
        <v>24</v>
      </c>
      <c r="C25" s="9">
        <v>162298</v>
      </c>
      <c r="D25" s="9" t="s">
        <v>16</v>
      </c>
      <c r="E25" s="9">
        <v>13</v>
      </c>
      <c r="F25" s="9" t="s">
        <v>25</v>
      </c>
      <c r="G25" s="9" t="s">
        <v>49</v>
      </c>
      <c r="H25" s="9" t="s">
        <v>27</v>
      </c>
      <c r="I25" s="9" t="s">
        <v>20</v>
      </c>
      <c r="J25" s="9" t="s">
        <v>21</v>
      </c>
      <c r="K25" s="9">
        <v>0</v>
      </c>
      <c r="L25" s="9">
        <v>0</v>
      </c>
      <c r="M25" s="9">
        <v>70</v>
      </c>
      <c r="N25" s="9" t="s">
        <v>22</v>
      </c>
      <c r="O25" s="11">
        <v>0</v>
      </c>
    </row>
    <row r="26" spans="1:15" s="9" customFormat="1" x14ac:dyDescent="0.3">
      <c r="A26" s="9">
        <v>29</v>
      </c>
      <c r="B26" s="9" t="s">
        <v>64</v>
      </c>
      <c r="C26" s="9">
        <v>115585</v>
      </c>
      <c r="D26" s="9" t="s">
        <v>44</v>
      </c>
      <c r="E26" s="9">
        <v>10</v>
      </c>
      <c r="F26" s="9" t="s">
        <v>17</v>
      </c>
      <c r="G26" s="9" t="s">
        <v>31</v>
      </c>
      <c r="H26" s="9" t="s">
        <v>19</v>
      </c>
      <c r="I26" s="9" t="s">
        <v>20</v>
      </c>
      <c r="J26" s="9" t="s">
        <v>21</v>
      </c>
      <c r="K26" s="9">
        <v>0</v>
      </c>
      <c r="L26" s="9">
        <v>0</v>
      </c>
      <c r="M26" s="9">
        <v>50</v>
      </c>
      <c r="N26" s="9" t="s">
        <v>22</v>
      </c>
      <c r="O26" s="11">
        <v>1</v>
      </c>
    </row>
    <row r="27" spans="1:15" s="9" customFormat="1" x14ac:dyDescent="0.3">
      <c r="A27" s="9">
        <v>30</v>
      </c>
      <c r="B27" s="9" t="s">
        <v>15</v>
      </c>
      <c r="C27" s="9">
        <v>141297</v>
      </c>
      <c r="D27" s="9" t="s">
        <v>16</v>
      </c>
      <c r="E27" s="9">
        <v>13</v>
      </c>
      <c r="F27" s="9" t="s">
        <v>25</v>
      </c>
      <c r="G27" s="9" t="s">
        <v>34</v>
      </c>
      <c r="H27" s="9" t="s">
        <v>27</v>
      </c>
      <c r="I27" s="9" t="s">
        <v>45</v>
      </c>
      <c r="J27" s="9" t="s">
        <v>21</v>
      </c>
      <c r="K27" s="9">
        <v>0</v>
      </c>
      <c r="L27" s="9">
        <v>0</v>
      </c>
      <c r="M27" s="9">
        <v>40</v>
      </c>
      <c r="N27" s="9" t="s">
        <v>46</v>
      </c>
      <c r="O27" s="11">
        <v>0</v>
      </c>
    </row>
    <row r="28" spans="1:15" s="9" customFormat="1" x14ac:dyDescent="0.3">
      <c r="A28" s="9">
        <v>30</v>
      </c>
      <c r="B28" s="9" t="s">
        <v>62</v>
      </c>
      <c r="C28" s="9">
        <v>59951</v>
      </c>
      <c r="D28" s="9" t="s">
        <v>44</v>
      </c>
      <c r="E28" s="9">
        <v>10</v>
      </c>
      <c r="F28" s="9" t="s">
        <v>25</v>
      </c>
      <c r="G28" s="9" t="s">
        <v>18</v>
      </c>
      <c r="H28" s="9" t="s">
        <v>47</v>
      </c>
      <c r="I28" s="9" t="s">
        <v>20</v>
      </c>
      <c r="J28" s="9" t="s">
        <v>21</v>
      </c>
      <c r="K28" s="9">
        <v>0</v>
      </c>
      <c r="L28" s="9">
        <v>0</v>
      </c>
      <c r="M28" s="9">
        <v>40</v>
      </c>
      <c r="N28" s="9" t="s">
        <v>22</v>
      </c>
      <c r="O28" s="11">
        <v>1</v>
      </c>
    </row>
    <row r="29" spans="1:15" s="9" customFormat="1" x14ac:dyDescent="0.3">
      <c r="A29" s="9">
        <v>30</v>
      </c>
      <c r="B29" s="9" t="s">
        <v>28</v>
      </c>
      <c r="C29" s="9">
        <v>188146</v>
      </c>
      <c r="D29" s="9" t="s">
        <v>29</v>
      </c>
      <c r="E29" s="9">
        <v>9</v>
      </c>
      <c r="F29" s="9" t="s">
        <v>25</v>
      </c>
      <c r="G29" s="9" t="s">
        <v>58</v>
      </c>
      <c r="H29" s="9" t="s">
        <v>27</v>
      </c>
      <c r="I29" s="9" t="s">
        <v>20</v>
      </c>
      <c r="J29" s="9" t="s">
        <v>21</v>
      </c>
      <c r="K29" s="9">
        <v>5013</v>
      </c>
      <c r="L29" s="9">
        <v>0</v>
      </c>
      <c r="M29" s="9">
        <v>40</v>
      </c>
      <c r="N29" s="9" t="s">
        <v>22</v>
      </c>
      <c r="O29" s="11">
        <v>1</v>
      </c>
    </row>
    <row r="30" spans="1:15" s="9" customFormat="1" x14ac:dyDescent="0.3">
      <c r="A30" s="9">
        <v>30</v>
      </c>
      <c r="B30" s="9" t="s">
        <v>28</v>
      </c>
      <c r="C30" s="9">
        <v>59496</v>
      </c>
      <c r="D30" s="9" t="s">
        <v>16</v>
      </c>
      <c r="E30" s="9">
        <v>13</v>
      </c>
      <c r="F30" s="9" t="s">
        <v>25</v>
      </c>
      <c r="G30" s="9" t="s">
        <v>49</v>
      </c>
      <c r="H30" s="9" t="s">
        <v>27</v>
      </c>
      <c r="I30" s="9" t="s">
        <v>20</v>
      </c>
      <c r="J30" s="9" t="s">
        <v>21</v>
      </c>
      <c r="K30" s="9">
        <v>2407</v>
      </c>
      <c r="L30" s="9">
        <v>0</v>
      </c>
      <c r="M30" s="9">
        <v>40</v>
      </c>
      <c r="N30" s="9" t="s">
        <v>22</v>
      </c>
      <c r="O30" s="11">
        <v>1</v>
      </c>
    </row>
    <row r="31" spans="1:15" s="9" customFormat="1" x14ac:dyDescent="0.3">
      <c r="A31" s="9">
        <v>30</v>
      </c>
      <c r="B31" s="9" t="s">
        <v>28</v>
      </c>
      <c r="C31" s="9">
        <v>54334</v>
      </c>
      <c r="D31" s="9" t="s">
        <v>39</v>
      </c>
      <c r="E31" s="9">
        <v>5</v>
      </c>
      <c r="F31" s="9" t="s">
        <v>17</v>
      </c>
      <c r="G31" s="9" t="s">
        <v>49</v>
      </c>
      <c r="H31" s="9" t="s">
        <v>19</v>
      </c>
      <c r="I31" s="9" t="s">
        <v>20</v>
      </c>
      <c r="J31" s="9" t="s">
        <v>21</v>
      </c>
      <c r="K31" s="9">
        <v>0</v>
      </c>
      <c r="L31" s="9">
        <v>0</v>
      </c>
      <c r="M31" s="9">
        <v>40</v>
      </c>
      <c r="N31" s="9" t="s">
        <v>22</v>
      </c>
      <c r="O31" s="11">
        <v>1</v>
      </c>
    </row>
    <row r="32" spans="1:15" s="9" customFormat="1" x14ac:dyDescent="0.3">
      <c r="A32" s="9">
        <v>30</v>
      </c>
      <c r="B32" s="9" t="s">
        <v>28</v>
      </c>
      <c r="C32" s="9">
        <v>117747</v>
      </c>
      <c r="D32" s="9" t="s">
        <v>29</v>
      </c>
      <c r="E32" s="9">
        <v>9</v>
      </c>
      <c r="F32" s="9" t="s">
        <v>25</v>
      </c>
      <c r="G32" s="9" t="s">
        <v>49</v>
      </c>
      <c r="H32" s="9" t="s">
        <v>35</v>
      </c>
      <c r="I32" s="9" t="s">
        <v>45</v>
      </c>
      <c r="J32" s="9" t="s">
        <v>36</v>
      </c>
      <c r="K32" s="9">
        <v>0</v>
      </c>
      <c r="L32" s="9">
        <v>1573</v>
      </c>
      <c r="M32" s="9">
        <v>35</v>
      </c>
      <c r="N32" s="9" t="s">
        <v>52</v>
      </c>
      <c r="O32" s="11">
        <v>1</v>
      </c>
    </row>
    <row r="33" spans="1:15" s="9" customFormat="1" x14ac:dyDescent="0.3">
      <c r="A33" s="9">
        <v>31</v>
      </c>
      <c r="B33" s="9" t="s">
        <v>28</v>
      </c>
      <c r="C33" s="9">
        <v>45781</v>
      </c>
      <c r="D33" s="9" t="s">
        <v>38</v>
      </c>
      <c r="E33" s="9">
        <v>14</v>
      </c>
      <c r="F33" s="9" t="s">
        <v>17</v>
      </c>
      <c r="G33" s="9" t="s">
        <v>34</v>
      </c>
      <c r="H33" s="9" t="s">
        <v>19</v>
      </c>
      <c r="I33" s="9" t="s">
        <v>20</v>
      </c>
      <c r="J33" s="9" t="s">
        <v>36</v>
      </c>
      <c r="K33" s="9">
        <v>14084</v>
      </c>
      <c r="L33" s="9">
        <v>0</v>
      </c>
      <c r="M33" s="9">
        <v>50</v>
      </c>
      <c r="N33" s="9" t="s">
        <v>22</v>
      </c>
      <c r="O33" s="11">
        <v>0</v>
      </c>
    </row>
    <row r="34" spans="1:15" s="9" customFormat="1" x14ac:dyDescent="0.3">
      <c r="A34" s="9">
        <v>31</v>
      </c>
      <c r="B34" s="9" t="s">
        <v>28</v>
      </c>
      <c r="C34" s="9">
        <v>84154</v>
      </c>
      <c r="D34" s="9" t="s">
        <v>44</v>
      </c>
      <c r="E34" s="9">
        <v>10</v>
      </c>
      <c r="F34" s="9" t="s">
        <v>25</v>
      </c>
      <c r="G34" s="9" t="s">
        <v>49</v>
      </c>
      <c r="H34" s="9" t="s">
        <v>27</v>
      </c>
      <c r="I34" s="9" t="s">
        <v>20</v>
      </c>
      <c r="J34" s="9" t="s">
        <v>21</v>
      </c>
      <c r="K34" s="9">
        <v>0</v>
      </c>
      <c r="L34" s="9">
        <v>0</v>
      </c>
      <c r="M34" s="9">
        <v>38</v>
      </c>
      <c r="N34" s="9" t="s">
        <v>52</v>
      </c>
      <c r="O34" s="11">
        <v>0</v>
      </c>
    </row>
    <row r="35" spans="1:15" s="9" customFormat="1" x14ac:dyDescent="0.3">
      <c r="A35" s="9">
        <v>31</v>
      </c>
      <c r="B35" s="9" t="s">
        <v>28</v>
      </c>
      <c r="C35" s="9">
        <v>507875</v>
      </c>
      <c r="D35" s="9" t="s">
        <v>39</v>
      </c>
      <c r="E35" s="9">
        <v>5</v>
      </c>
      <c r="F35" s="9" t="s">
        <v>25</v>
      </c>
      <c r="G35" s="9" t="s">
        <v>58</v>
      </c>
      <c r="H35" s="9" t="s">
        <v>27</v>
      </c>
      <c r="I35" s="9" t="s">
        <v>20</v>
      </c>
      <c r="J35" s="9" t="s">
        <v>21</v>
      </c>
      <c r="K35" s="9">
        <v>0</v>
      </c>
      <c r="L35" s="9">
        <v>0</v>
      </c>
      <c r="M35" s="9">
        <v>43</v>
      </c>
      <c r="N35" s="9" t="s">
        <v>22</v>
      </c>
      <c r="O35" s="11">
        <v>1</v>
      </c>
    </row>
    <row r="36" spans="1:15" s="9" customFormat="1" x14ac:dyDescent="0.3">
      <c r="A36" s="9">
        <v>31</v>
      </c>
      <c r="B36" s="9" t="s">
        <v>28</v>
      </c>
      <c r="C36" s="9">
        <v>309974</v>
      </c>
      <c r="D36" s="9" t="s">
        <v>16</v>
      </c>
      <c r="E36" s="9">
        <v>13</v>
      </c>
      <c r="F36" s="9" t="s">
        <v>61</v>
      </c>
      <c r="G36" s="9" t="s">
        <v>49</v>
      </c>
      <c r="H36" s="9" t="s">
        <v>47</v>
      </c>
      <c r="I36" s="9" t="s">
        <v>33</v>
      </c>
      <c r="J36" s="9" t="s">
        <v>36</v>
      </c>
      <c r="K36" s="9">
        <v>0</v>
      </c>
      <c r="L36" s="9">
        <v>0</v>
      </c>
      <c r="M36" s="9">
        <v>40</v>
      </c>
      <c r="N36" s="9" t="s">
        <v>22</v>
      </c>
      <c r="O36" s="11">
        <v>1</v>
      </c>
    </row>
    <row r="37" spans="1:15" s="9" customFormat="1" x14ac:dyDescent="0.3">
      <c r="A37" s="9">
        <v>31</v>
      </c>
      <c r="B37" s="9" t="s">
        <v>64</v>
      </c>
      <c r="C37" s="9">
        <v>125927</v>
      </c>
      <c r="D37" s="9" t="s">
        <v>53</v>
      </c>
      <c r="E37" s="9">
        <v>4</v>
      </c>
      <c r="F37" s="9" t="s">
        <v>25</v>
      </c>
      <c r="G37" s="9" t="s">
        <v>57</v>
      </c>
      <c r="H37" s="9" t="s">
        <v>27</v>
      </c>
      <c r="I37" s="9" t="s">
        <v>20</v>
      </c>
      <c r="J37" s="9" t="s">
        <v>21</v>
      </c>
      <c r="K37" s="9">
        <v>0</v>
      </c>
      <c r="L37" s="9">
        <v>0</v>
      </c>
      <c r="M37" s="9">
        <v>40</v>
      </c>
      <c r="N37" s="9" t="s">
        <v>22</v>
      </c>
      <c r="O37" s="11">
        <v>1</v>
      </c>
    </row>
    <row r="38" spans="1:15" s="9" customFormat="1" x14ac:dyDescent="0.3">
      <c r="A38" s="9">
        <v>32</v>
      </c>
      <c r="B38" s="9" t="s">
        <v>28</v>
      </c>
      <c r="C38" s="9">
        <v>205019</v>
      </c>
      <c r="D38" s="9" t="s">
        <v>48</v>
      </c>
      <c r="E38" s="9">
        <v>12</v>
      </c>
      <c r="F38" s="9" t="s">
        <v>17</v>
      </c>
      <c r="G38" s="9" t="s">
        <v>49</v>
      </c>
      <c r="H38" s="9" t="s">
        <v>19</v>
      </c>
      <c r="I38" s="9" t="s">
        <v>33</v>
      </c>
      <c r="J38" s="9" t="s">
        <v>21</v>
      </c>
      <c r="K38" s="9">
        <v>0</v>
      </c>
      <c r="L38" s="9">
        <v>0</v>
      </c>
      <c r="M38" s="9">
        <v>50</v>
      </c>
      <c r="N38" s="9" t="s">
        <v>22</v>
      </c>
      <c r="O38" s="11">
        <v>1</v>
      </c>
    </row>
    <row r="39" spans="1:15" s="9" customFormat="1" x14ac:dyDescent="0.3">
      <c r="A39" s="9">
        <v>32</v>
      </c>
      <c r="B39" s="9" t="s">
        <v>28</v>
      </c>
      <c r="C39" s="9">
        <v>186824</v>
      </c>
      <c r="D39" s="9" t="s">
        <v>29</v>
      </c>
      <c r="E39" s="9">
        <v>9</v>
      </c>
      <c r="F39" s="9" t="s">
        <v>17</v>
      </c>
      <c r="G39" s="9" t="s">
        <v>58</v>
      </c>
      <c r="H39" s="9" t="s">
        <v>59</v>
      </c>
      <c r="I39" s="9" t="s">
        <v>20</v>
      </c>
      <c r="J39" s="9" t="s">
        <v>21</v>
      </c>
      <c r="K39" s="9">
        <v>0</v>
      </c>
      <c r="L39" s="9">
        <v>0</v>
      </c>
      <c r="M39" s="9">
        <v>40</v>
      </c>
      <c r="N39" s="9" t="s">
        <v>22</v>
      </c>
      <c r="O39" s="11">
        <v>1</v>
      </c>
    </row>
    <row r="40" spans="1:15" s="9" customFormat="1" x14ac:dyDescent="0.3">
      <c r="A40" s="9">
        <v>32</v>
      </c>
      <c r="B40" s="9" t="s">
        <v>52</v>
      </c>
      <c r="C40" s="9">
        <v>293936</v>
      </c>
      <c r="D40" s="9" t="s">
        <v>53</v>
      </c>
      <c r="E40" s="9">
        <v>4</v>
      </c>
      <c r="F40" s="9" t="s">
        <v>40</v>
      </c>
      <c r="G40" s="9" t="s">
        <v>52</v>
      </c>
      <c r="H40" s="9" t="s">
        <v>19</v>
      </c>
      <c r="I40" s="9" t="s">
        <v>20</v>
      </c>
      <c r="J40" s="9" t="s">
        <v>21</v>
      </c>
      <c r="K40" s="9">
        <v>0</v>
      </c>
      <c r="L40" s="9">
        <v>0</v>
      </c>
      <c r="M40" s="9">
        <v>40</v>
      </c>
      <c r="N40" s="9" t="s">
        <v>52</v>
      </c>
      <c r="O40" s="11">
        <v>1</v>
      </c>
    </row>
    <row r="41" spans="1:15" s="9" customFormat="1" x14ac:dyDescent="0.3">
      <c r="A41" s="9">
        <v>32</v>
      </c>
      <c r="B41" s="9" t="s">
        <v>62</v>
      </c>
      <c r="C41" s="9">
        <v>249409</v>
      </c>
      <c r="D41" s="9" t="s">
        <v>29</v>
      </c>
      <c r="E41" s="9">
        <v>9</v>
      </c>
      <c r="F41" s="9" t="s">
        <v>17</v>
      </c>
      <c r="G41" s="9" t="s">
        <v>41</v>
      </c>
      <c r="H41" s="9" t="s">
        <v>47</v>
      </c>
      <c r="I41" s="9" t="s">
        <v>33</v>
      </c>
      <c r="J41" s="9" t="s">
        <v>21</v>
      </c>
      <c r="K41" s="9">
        <v>0</v>
      </c>
      <c r="L41" s="9">
        <v>0</v>
      </c>
      <c r="M41" s="9">
        <v>40</v>
      </c>
      <c r="N41" s="9" t="s">
        <v>22</v>
      </c>
      <c r="O41" s="11">
        <v>1</v>
      </c>
    </row>
    <row r="42" spans="1:15" s="9" customFormat="1" x14ac:dyDescent="0.3">
      <c r="A42" s="9">
        <v>33</v>
      </c>
      <c r="B42" s="9" t="s">
        <v>28</v>
      </c>
      <c r="C42" s="9">
        <v>202051</v>
      </c>
      <c r="D42" s="9" t="s">
        <v>38</v>
      </c>
      <c r="E42" s="9">
        <v>14</v>
      </c>
      <c r="F42" s="9" t="s">
        <v>25</v>
      </c>
      <c r="G42" s="9" t="s">
        <v>34</v>
      </c>
      <c r="H42" s="9" t="s">
        <v>27</v>
      </c>
      <c r="I42" s="9" t="s">
        <v>20</v>
      </c>
      <c r="J42" s="9" t="s">
        <v>21</v>
      </c>
      <c r="K42" s="9">
        <v>0</v>
      </c>
      <c r="L42" s="9">
        <v>0</v>
      </c>
      <c r="M42" s="9">
        <v>50</v>
      </c>
      <c r="N42" s="9" t="s">
        <v>22</v>
      </c>
      <c r="O42" s="11">
        <v>1</v>
      </c>
    </row>
    <row r="43" spans="1:15" s="9" customFormat="1" x14ac:dyDescent="0.3">
      <c r="A43" s="9">
        <v>34</v>
      </c>
      <c r="B43" s="9" t="s">
        <v>28</v>
      </c>
      <c r="C43" s="9">
        <v>245487</v>
      </c>
      <c r="D43" s="9" t="s">
        <v>53</v>
      </c>
      <c r="E43" s="9">
        <v>4</v>
      </c>
      <c r="F43" s="9" t="s">
        <v>25</v>
      </c>
      <c r="G43" s="9" t="s">
        <v>54</v>
      </c>
      <c r="H43" s="9" t="s">
        <v>27</v>
      </c>
      <c r="I43" s="9" t="s">
        <v>55</v>
      </c>
      <c r="J43" s="9" t="s">
        <v>21</v>
      </c>
      <c r="K43" s="9">
        <v>0</v>
      </c>
      <c r="L43" s="9">
        <v>0</v>
      </c>
      <c r="M43" s="9">
        <v>45</v>
      </c>
      <c r="N43" s="9" t="s">
        <v>56</v>
      </c>
      <c r="O43" s="11">
        <v>1</v>
      </c>
    </row>
    <row r="44" spans="1:15" s="9" customFormat="1" x14ac:dyDescent="0.3">
      <c r="A44" s="9">
        <v>34</v>
      </c>
      <c r="B44" s="9" t="s">
        <v>64</v>
      </c>
      <c r="C44" s="9">
        <v>226296</v>
      </c>
      <c r="D44" s="9" t="s">
        <v>16</v>
      </c>
      <c r="E44" s="9">
        <v>13</v>
      </c>
      <c r="F44" s="9" t="s">
        <v>25</v>
      </c>
      <c r="G44" s="9" t="s">
        <v>66</v>
      </c>
      <c r="H44" s="9" t="s">
        <v>27</v>
      </c>
      <c r="I44" s="9" t="s">
        <v>20</v>
      </c>
      <c r="J44" s="9" t="s">
        <v>21</v>
      </c>
      <c r="K44" s="9">
        <v>0</v>
      </c>
      <c r="L44" s="9">
        <v>0</v>
      </c>
      <c r="M44" s="9">
        <v>40</v>
      </c>
      <c r="N44" s="9" t="s">
        <v>22</v>
      </c>
      <c r="O44" s="11">
        <v>0</v>
      </c>
    </row>
    <row r="45" spans="1:15" s="9" customFormat="1" x14ac:dyDescent="0.3">
      <c r="A45" s="9">
        <v>35</v>
      </c>
      <c r="B45" s="9" t="s">
        <v>62</v>
      </c>
      <c r="C45" s="9">
        <v>76845</v>
      </c>
      <c r="D45" s="9" t="s">
        <v>39</v>
      </c>
      <c r="E45" s="9">
        <v>5</v>
      </c>
      <c r="F45" s="9" t="s">
        <v>25</v>
      </c>
      <c r="G45" s="9" t="s">
        <v>57</v>
      </c>
      <c r="H45" s="9" t="s">
        <v>27</v>
      </c>
      <c r="I45" s="9" t="s">
        <v>33</v>
      </c>
      <c r="J45" s="9" t="s">
        <v>21</v>
      </c>
      <c r="K45" s="9">
        <v>0</v>
      </c>
      <c r="L45" s="9">
        <v>0</v>
      </c>
      <c r="M45" s="9">
        <v>40</v>
      </c>
      <c r="N45" s="9" t="s">
        <v>22</v>
      </c>
      <c r="O45" s="11">
        <v>1</v>
      </c>
    </row>
    <row r="46" spans="1:15" s="9" customFormat="1" x14ac:dyDescent="0.3">
      <c r="A46" s="9">
        <v>35</v>
      </c>
      <c r="B46" s="9" t="s">
        <v>28</v>
      </c>
      <c r="C46" s="9">
        <v>56352</v>
      </c>
      <c r="D46" s="9" t="s">
        <v>50</v>
      </c>
      <c r="E46" s="9">
        <v>11</v>
      </c>
      <c r="F46" s="9" t="s">
        <v>25</v>
      </c>
      <c r="G46" s="9" t="s">
        <v>41</v>
      </c>
      <c r="H46" s="9" t="s">
        <v>27</v>
      </c>
      <c r="I46" s="9" t="s">
        <v>20</v>
      </c>
      <c r="J46" s="9" t="s">
        <v>21</v>
      </c>
      <c r="K46" s="9">
        <v>0</v>
      </c>
      <c r="L46" s="9">
        <v>0</v>
      </c>
      <c r="M46" s="9">
        <v>40</v>
      </c>
      <c r="N46" s="9" t="s">
        <v>67</v>
      </c>
      <c r="O46" s="11">
        <v>1</v>
      </c>
    </row>
    <row r="47" spans="1:15" s="9" customFormat="1" x14ac:dyDescent="0.3">
      <c r="A47" s="9">
        <v>36</v>
      </c>
      <c r="B47" s="9" t="s">
        <v>28</v>
      </c>
      <c r="C47" s="9">
        <v>155537</v>
      </c>
      <c r="D47" s="9" t="s">
        <v>29</v>
      </c>
      <c r="E47" s="9">
        <v>9</v>
      </c>
      <c r="F47" s="9" t="s">
        <v>25</v>
      </c>
      <c r="G47" s="9" t="s">
        <v>51</v>
      </c>
      <c r="H47" s="9" t="s">
        <v>27</v>
      </c>
      <c r="I47" s="9" t="s">
        <v>20</v>
      </c>
      <c r="J47" s="9" t="s">
        <v>21</v>
      </c>
      <c r="K47" s="9">
        <v>0</v>
      </c>
      <c r="L47" s="9">
        <v>0</v>
      </c>
      <c r="M47" s="9">
        <v>40</v>
      </c>
      <c r="N47" s="9" t="s">
        <v>22</v>
      </c>
      <c r="O47" s="11">
        <v>1</v>
      </c>
    </row>
    <row r="48" spans="1:15" s="9" customFormat="1" x14ac:dyDescent="0.3">
      <c r="A48" s="9">
        <v>37</v>
      </c>
      <c r="B48" s="9" t="s">
        <v>28</v>
      </c>
      <c r="C48" s="9">
        <v>284582</v>
      </c>
      <c r="D48" s="9" t="s">
        <v>38</v>
      </c>
      <c r="E48" s="9">
        <v>14</v>
      </c>
      <c r="F48" s="9" t="s">
        <v>25</v>
      </c>
      <c r="G48" s="9" t="s">
        <v>26</v>
      </c>
      <c r="H48" s="9" t="s">
        <v>35</v>
      </c>
      <c r="I48" s="9" t="s">
        <v>20</v>
      </c>
      <c r="J48" s="9" t="s">
        <v>36</v>
      </c>
      <c r="K48" s="9">
        <v>0</v>
      </c>
      <c r="L48" s="9">
        <v>0</v>
      </c>
      <c r="M48" s="9">
        <v>40</v>
      </c>
      <c r="N48" s="9" t="s">
        <v>22</v>
      </c>
      <c r="O48" s="11">
        <v>1</v>
      </c>
    </row>
    <row r="49" spans="1:15" s="9" customFormat="1" x14ac:dyDescent="0.3">
      <c r="A49" s="9">
        <v>37</v>
      </c>
      <c r="B49" s="9" t="s">
        <v>28</v>
      </c>
      <c r="C49" s="9">
        <v>280464</v>
      </c>
      <c r="D49" s="9" t="s">
        <v>44</v>
      </c>
      <c r="E49" s="9">
        <v>10</v>
      </c>
      <c r="F49" s="9" t="s">
        <v>25</v>
      </c>
      <c r="G49" s="9" t="s">
        <v>26</v>
      </c>
      <c r="H49" s="9" t="s">
        <v>27</v>
      </c>
      <c r="I49" s="9" t="s">
        <v>33</v>
      </c>
      <c r="J49" s="9" t="s">
        <v>21</v>
      </c>
      <c r="K49" s="9">
        <v>0</v>
      </c>
      <c r="L49" s="9">
        <v>0</v>
      </c>
      <c r="M49" s="9">
        <v>80</v>
      </c>
      <c r="N49" s="9" t="s">
        <v>22</v>
      </c>
      <c r="O49" s="11">
        <v>0</v>
      </c>
    </row>
    <row r="50" spans="1:15" s="9" customFormat="1" x14ac:dyDescent="0.3">
      <c r="A50" s="9">
        <v>37</v>
      </c>
      <c r="B50" s="9" t="s">
        <v>28</v>
      </c>
      <c r="C50" s="9">
        <v>286730</v>
      </c>
      <c r="D50" s="9" t="s">
        <v>44</v>
      </c>
      <c r="E50" s="9">
        <v>10</v>
      </c>
      <c r="F50" s="9" t="s">
        <v>30</v>
      </c>
      <c r="G50" s="9" t="s">
        <v>51</v>
      </c>
      <c r="H50" s="9" t="s">
        <v>59</v>
      </c>
      <c r="I50" s="9" t="s">
        <v>20</v>
      </c>
      <c r="J50" s="9" t="s">
        <v>36</v>
      </c>
      <c r="K50" s="9">
        <v>0</v>
      </c>
      <c r="L50" s="9">
        <v>0</v>
      </c>
      <c r="M50" s="9">
        <v>40</v>
      </c>
      <c r="N50" s="9" t="s">
        <v>22</v>
      </c>
      <c r="O50" s="11">
        <v>1</v>
      </c>
    </row>
    <row r="51" spans="1:15" s="9" customFormat="1" x14ac:dyDescent="0.3">
      <c r="A51" s="9">
        <v>37</v>
      </c>
      <c r="B51" s="9" t="s">
        <v>28</v>
      </c>
      <c r="C51" s="9">
        <v>202683</v>
      </c>
      <c r="D51" s="9" t="s">
        <v>44</v>
      </c>
      <c r="E51" s="9">
        <v>10</v>
      </c>
      <c r="F51" s="9" t="s">
        <v>25</v>
      </c>
      <c r="G51" s="9" t="s">
        <v>49</v>
      </c>
      <c r="H51" s="9" t="s">
        <v>27</v>
      </c>
      <c r="I51" s="9" t="s">
        <v>20</v>
      </c>
      <c r="J51" s="9" t="s">
        <v>21</v>
      </c>
      <c r="K51" s="9">
        <v>0</v>
      </c>
      <c r="L51" s="9">
        <v>0</v>
      </c>
      <c r="M51" s="9">
        <v>48</v>
      </c>
      <c r="N51" s="9" t="s">
        <v>22</v>
      </c>
      <c r="O51" s="11">
        <v>0</v>
      </c>
    </row>
    <row r="52" spans="1:15" s="9" customFormat="1" x14ac:dyDescent="0.3">
      <c r="A52" s="9">
        <v>38</v>
      </c>
      <c r="B52" s="9" t="s">
        <v>28</v>
      </c>
      <c r="C52" s="9">
        <v>215646</v>
      </c>
      <c r="D52" s="9" t="s">
        <v>29</v>
      </c>
      <c r="E52" s="9">
        <v>9</v>
      </c>
      <c r="F52" s="9" t="s">
        <v>30</v>
      </c>
      <c r="G52" s="9" t="s">
        <v>31</v>
      </c>
      <c r="H52" s="9" t="s">
        <v>19</v>
      </c>
      <c r="I52" s="9" t="s">
        <v>20</v>
      </c>
      <c r="J52" s="9" t="s">
        <v>21</v>
      </c>
      <c r="K52" s="9">
        <v>0</v>
      </c>
      <c r="L52" s="9">
        <v>0</v>
      </c>
      <c r="M52" s="9">
        <v>40</v>
      </c>
      <c r="N52" s="9" t="s">
        <v>22</v>
      </c>
      <c r="O52" s="11">
        <v>1</v>
      </c>
    </row>
    <row r="53" spans="1:15" s="9" customFormat="1" x14ac:dyDescent="0.3">
      <c r="A53" s="9">
        <v>38</v>
      </c>
      <c r="B53" s="9" t="s">
        <v>28</v>
      </c>
      <c r="C53" s="9">
        <v>28887</v>
      </c>
      <c r="D53" s="9" t="s">
        <v>32</v>
      </c>
      <c r="E53" s="9">
        <v>7</v>
      </c>
      <c r="F53" s="9" t="s">
        <v>25</v>
      </c>
      <c r="G53" s="9" t="s">
        <v>49</v>
      </c>
      <c r="H53" s="9" t="s">
        <v>27</v>
      </c>
      <c r="I53" s="9" t="s">
        <v>20</v>
      </c>
      <c r="J53" s="9" t="s">
        <v>21</v>
      </c>
      <c r="K53" s="9">
        <v>0</v>
      </c>
      <c r="L53" s="9">
        <v>0</v>
      </c>
      <c r="M53" s="9">
        <v>50</v>
      </c>
      <c r="N53" s="9" t="s">
        <v>22</v>
      </c>
      <c r="O53" s="11">
        <v>1</v>
      </c>
    </row>
    <row r="54" spans="1:15" s="9" customFormat="1" x14ac:dyDescent="0.3">
      <c r="A54" s="9">
        <v>39</v>
      </c>
      <c r="B54" s="9" t="s">
        <v>15</v>
      </c>
      <c r="C54" s="9">
        <v>77516</v>
      </c>
      <c r="D54" s="9" t="s">
        <v>16</v>
      </c>
      <c r="E54" s="9">
        <v>13</v>
      </c>
      <c r="F54" s="9" t="s">
        <v>17</v>
      </c>
      <c r="G54" s="9" t="s">
        <v>18</v>
      </c>
      <c r="H54" s="9" t="s">
        <v>19</v>
      </c>
      <c r="I54" s="9" t="s">
        <v>20</v>
      </c>
      <c r="J54" s="9" t="s">
        <v>21</v>
      </c>
      <c r="K54" s="9">
        <v>2174</v>
      </c>
      <c r="L54" s="9">
        <v>0</v>
      </c>
      <c r="M54" s="9">
        <v>40</v>
      </c>
      <c r="N54" s="9" t="s">
        <v>22</v>
      </c>
      <c r="O54" s="11">
        <v>1</v>
      </c>
    </row>
    <row r="55" spans="1:15" s="9" customFormat="1" x14ac:dyDescent="0.3">
      <c r="A55" s="9">
        <v>39</v>
      </c>
      <c r="B55" s="9" t="s">
        <v>28</v>
      </c>
      <c r="C55" s="9">
        <v>367260</v>
      </c>
      <c r="D55" s="9" t="s">
        <v>29</v>
      </c>
      <c r="E55" s="9">
        <v>9</v>
      </c>
      <c r="F55" s="9" t="s">
        <v>30</v>
      </c>
      <c r="G55" s="9" t="s">
        <v>26</v>
      </c>
      <c r="H55" s="9" t="s">
        <v>19</v>
      </c>
      <c r="I55" s="9" t="s">
        <v>20</v>
      </c>
      <c r="J55" s="9" t="s">
        <v>21</v>
      </c>
      <c r="K55" s="9">
        <v>0</v>
      </c>
      <c r="L55" s="9">
        <v>0</v>
      </c>
      <c r="M55" s="9">
        <v>80</v>
      </c>
      <c r="N55" s="9" t="s">
        <v>22</v>
      </c>
      <c r="O55" s="11">
        <v>1</v>
      </c>
    </row>
    <row r="56" spans="1:15" s="9" customFormat="1" x14ac:dyDescent="0.3">
      <c r="A56" s="9">
        <v>40</v>
      </c>
      <c r="B56" s="9" t="s">
        <v>28</v>
      </c>
      <c r="C56" s="9">
        <v>121772</v>
      </c>
      <c r="D56" s="9" t="s">
        <v>50</v>
      </c>
      <c r="E56" s="9">
        <v>11</v>
      </c>
      <c r="F56" s="9" t="s">
        <v>25</v>
      </c>
      <c r="G56" s="9" t="s">
        <v>51</v>
      </c>
      <c r="H56" s="9" t="s">
        <v>27</v>
      </c>
      <c r="I56" s="9" t="s">
        <v>45</v>
      </c>
      <c r="J56" s="9" t="s">
        <v>21</v>
      </c>
      <c r="K56" s="9">
        <v>0</v>
      </c>
      <c r="L56" s="9">
        <v>0</v>
      </c>
      <c r="M56" s="9">
        <v>40</v>
      </c>
      <c r="N56" s="9" t="s">
        <v>52</v>
      </c>
      <c r="O56" s="11">
        <v>0</v>
      </c>
    </row>
    <row r="57" spans="1:15" s="9" customFormat="1" x14ac:dyDescent="0.3">
      <c r="A57" s="9">
        <v>40</v>
      </c>
      <c r="B57" s="9" t="s">
        <v>28</v>
      </c>
      <c r="C57" s="9">
        <v>193524</v>
      </c>
      <c r="D57" s="9" t="s">
        <v>60</v>
      </c>
      <c r="E57" s="9">
        <v>16</v>
      </c>
      <c r="F57" s="9" t="s">
        <v>25</v>
      </c>
      <c r="G57" s="9" t="s">
        <v>34</v>
      </c>
      <c r="H57" s="9" t="s">
        <v>27</v>
      </c>
      <c r="I57" s="9" t="s">
        <v>20</v>
      </c>
      <c r="J57" s="9" t="s">
        <v>21</v>
      </c>
      <c r="K57" s="9">
        <v>0</v>
      </c>
      <c r="L57" s="9">
        <v>0</v>
      </c>
      <c r="M57" s="9">
        <v>60</v>
      </c>
      <c r="N57" s="9" t="s">
        <v>22</v>
      </c>
      <c r="O57" s="11">
        <v>0</v>
      </c>
    </row>
    <row r="58" spans="1:15" s="9" customFormat="1" x14ac:dyDescent="0.3">
      <c r="A58" s="9">
        <v>40</v>
      </c>
      <c r="B58" s="9" t="s">
        <v>28</v>
      </c>
      <c r="C58" s="9">
        <v>32214</v>
      </c>
      <c r="D58" s="9" t="s">
        <v>48</v>
      </c>
      <c r="E58" s="9">
        <v>12</v>
      </c>
      <c r="F58" s="9" t="s">
        <v>25</v>
      </c>
      <c r="G58" s="9" t="s">
        <v>18</v>
      </c>
      <c r="H58" s="9" t="s">
        <v>27</v>
      </c>
      <c r="I58" s="9" t="s">
        <v>20</v>
      </c>
      <c r="J58" s="9" t="s">
        <v>21</v>
      </c>
      <c r="K58" s="9">
        <v>0</v>
      </c>
      <c r="L58" s="9">
        <v>0</v>
      </c>
      <c r="M58" s="9">
        <v>40</v>
      </c>
      <c r="N58" s="9" t="s">
        <v>22</v>
      </c>
      <c r="O58" s="11">
        <v>1</v>
      </c>
    </row>
    <row r="59" spans="1:15" s="9" customFormat="1" x14ac:dyDescent="0.3">
      <c r="A59" s="9">
        <v>41</v>
      </c>
      <c r="B59" s="9" t="s">
        <v>15</v>
      </c>
      <c r="C59" s="9">
        <v>101603</v>
      </c>
      <c r="D59" s="9" t="s">
        <v>50</v>
      </c>
      <c r="E59" s="9">
        <v>11</v>
      </c>
      <c r="F59" s="9" t="s">
        <v>25</v>
      </c>
      <c r="G59" s="9" t="s">
        <v>51</v>
      </c>
      <c r="H59" s="9" t="s">
        <v>27</v>
      </c>
      <c r="I59" s="9" t="s">
        <v>20</v>
      </c>
      <c r="J59" s="9" t="s">
        <v>21</v>
      </c>
      <c r="K59" s="9">
        <v>0</v>
      </c>
      <c r="L59" s="9">
        <v>0</v>
      </c>
      <c r="M59" s="9">
        <v>40</v>
      </c>
      <c r="N59" s="9" t="s">
        <v>22</v>
      </c>
      <c r="O59" s="11">
        <v>1</v>
      </c>
    </row>
    <row r="60" spans="1:15" s="9" customFormat="1" x14ac:dyDescent="0.3">
      <c r="A60" s="9">
        <v>41</v>
      </c>
      <c r="B60" s="9" t="s">
        <v>28</v>
      </c>
      <c r="C60" s="9">
        <v>147372</v>
      </c>
      <c r="D60" s="9" t="s">
        <v>29</v>
      </c>
      <c r="E60" s="9">
        <v>9</v>
      </c>
      <c r="F60" s="9" t="s">
        <v>25</v>
      </c>
      <c r="G60" s="9" t="s">
        <v>18</v>
      </c>
      <c r="H60" s="9" t="s">
        <v>27</v>
      </c>
      <c r="I60" s="9" t="s">
        <v>20</v>
      </c>
      <c r="J60" s="9" t="s">
        <v>21</v>
      </c>
      <c r="K60" s="9">
        <v>0</v>
      </c>
      <c r="L60" s="9">
        <v>0</v>
      </c>
      <c r="M60" s="9">
        <v>48</v>
      </c>
      <c r="N60" s="9" t="s">
        <v>22</v>
      </c>
      <c r="O60" s="11">
        <v>1</v>
      </c>
    </row>
    <row r="61" spans="1:15" s="9" customFormat="1" x14ac:dyDescent="0.3">
      <c r="A61" s="9">
        <v>42</v>
      </c>
      <c r="B61" s="9" t="s">
        <v>28</v>
      </c>
      <c r="C61" s="9">
        <v>159449</v>
      </c>
      <c r="D61" s="9" t="s">
        <v>16</v>
      </c>
      <c r="E61" s="9">
        <v>13</v>
      </c>
      <c r="F61" s="9" t="s">
        <v>25</v>
      </c>
      <c r="G61" s="9" t="s">
        <v>26</v>
      </c>
      <c r="H61" s="9" t="s">
        <v>27</v>
      </c>
      <c r="I61" s="9" t="s">
        <v>20</v>
      </c>
      <c r="J61" s="9" t="s">
        <v>21</v>
      </c>
      <c r="K61" s="9">
        <v>5178</v>
      </c>
      <c r="L61" s="9">
        <v>0</v>
      </c>
      <c r="M61" s="9">
        <v>40</v>
      </c>
      <c r="N61" s="9" t="s">
        <v>22</v>
      </c>
      <c r="O61" s="11">
        <v>0</v>
      </c>
    </row>
    <row r="62" spans="1:15" s="9" customFormat="1" x14ac:dyDescent="0.3">
      <c r="A62" s="9">
        <v>42</v>
      </c>
      <c r="B62" s="9" t="s">
        <v>28</v>
      </c>
      <c r="C62" s="9">
        <v>116632</v>
      </c>
      <c r="D62" s="9" t="s">
        <v>60</v>
      </c>
      <c r="E62" s="9">
        <v>16</v>
      </c>
      <c r="F62" s="9" t="s">
        <v>25</v>
      </c>
      <c r="G62" s="9" t="s">
        <v>34</v>
      </c>
      <c r="H62" s="9" t="s">
        <v>27</v>
      </c>
      <c r="I62" s="9" t="s">
        <v>20</v>
      </c>
      <c r="J62" s="9" t="s">
        <v>21</v>
      </c>
      <c r="K62" s="9">
        <v>0</v>
      </c>
      <c r="L62" s="9">
        <v>0</v>
      </c>
      <c r="M62" s="9">
        <v>45</v>
      </c>
      <c r="N62" s="9" t="s">
        <v>22</v>
      </c>
      <c r="O62" s="11">
        <v>0</v>
      </c>
    </row>
    <row r="63" spans="1:15" s="9" customFormat="1" x14ac:dyDescent="0.3">
      <c r="A63" s="9">
        <v>43</v>
      </c>
      <c r="B63" s="9" t="s">
        <v>24</v>
      </c>
      <c r="C63" s="9">
        <v>292175</v>
      </c>
      <c r="D63" s="9" t="s">
        <v>38</v>
      </c>
      <c r="E63" s="9">
        <v>14</v>
      </c>
      <c r="F63" s="9" t="s">
        <v>30</v>
      </c>
      <c r="G63" s="9" t="s">
        <v>26</v>
      </c>
      <c r="H63" s="9" t="s">
        <v>59</v>
      </c>
      <c r="I63" s="9" t="s">
        <v>20</v>
      </c>
      <c r="J63" s="9" t="s">
        <v>36</v>
      </c>
      <c r="K63" s="9">
        <v>0</v>
      </c>
      <c r="L63" s="9">
        <v>0</v>
      </c>
      <c r="M63" s="9">
        <v>45</v>
      </c>
      <c r="N63" s="9" t="s">
        <v>22</v>
      </c>
      <c r="O63" s="11">
        <v>0</v>
      </c>
    </row>
    <row r="64" spans="1:15" s="9" customFormat="1" x14ac:dyDescent="0.3">
      <c r="A64" s="9">
        <v>43</v>
      </c>
      <c r="B64" s="9" t="s">
        <v>28</v>
      </c>
      <c r="C64" s="9">
        <v>117037</v>
      </c>
      <c r="D64" s="9" t="s">
        <v>32</v>
      </c>
      <c r="E64" s="9">
        <v>7</v>
      </c>
      <c r="F64" s="9" t="s">
        <v>25</v>
      </c>
      <c r="G64" s="9" t="s">
        <v>54</v>
      </c>
      <c r="H64" s="9" t="s">
        <v>27</v>
      </c>
      <c r="I64" s="9" t="s">
        <v>20</v>
      </c>
      <c r="J64" s="9" t="s">
        <v>21</v>
      </c>
      <c r="K64" s="9">
        <v>0</v>
      </c>
      <c r="L64" s="9">
        <v>2042</v>
      </c>
      <c r="M64" s="9">
        <v>40</v>
      </c>
      <c r="N64" s="9" t="s">
        <v>22</v>
      </c>
      <c r="O64" s="11">
        <v>1</v>
      </c>
    </row>
    <row r="65" spans="1:15" s="9" customFormat="1" x14ac:dyDescent="0.3">
      <c r="A65" s="9">
        <v>43</v>
      </c>
      <c r="B65" s="9" t="s">
        <v>28</v>
      </c>
      <c r="C65" s="9">
        <v>237993</v>
      </c>
      <c r="D65" s="9" t="s">
        <v>44</v>
      </c>
      <c r="E65" s="9">
        <v>10</v>
      </c>
      <c r="F65" s="9" t="s">
        <v>25</v>
      </c>
      <c r="G65" s="9" t="s">
        <v>63</v>
      </c>
      <c r="H65" s="9" t="s">
        <v>27</v>
      </c>
      <c r="I65" s="9" t="s">
        <v>20</v>
      </c>
      <c r="J65" s="9" t="s">
        <v>21</v>
      </c>
      <c r="K65" s="9">
        <v>0</v>
      </c>
      <c r="L65" s="9">
        <v>0</v>
      </c>
      <c r="M65" s="9">
        <v>40</v>
      </c>
      <c r="N65" s="9" t="s">
        <v>22</v>
      </c>
      <c r="O65" s="11">
        <v>0</v>
      </c>
    </row>
    <row r="66" spans="1:15" s="9" customFormat="1" x14ac:dyDescent="0.3">
      <c r="A66" s="9">
        <v>43</v>
      </c>
      <c r="B66" s="9" t="s">
        <v>62</v>
      </c>
      <c r="C66" s="9">
        <v>410867</v>
      </c>
      <c r="D66" s="9" t="s">
        <v>60</v>
      </c>
      <c r="E66" s="9">
        <v>16</v>
      </c>
      <c r="F66" s="9" t="s">
        <v>17</v>
      </c>
      <c r="G66" s="9" t="s">
        <v>34</v>
      </c>
      <c r="H66" s="9" t="s">
        <v>19</v>
      </c>
      <c r="I66" s="9" t="s">
        <v>20</v>
      </c>
      <c r="J66" s="9" t="s">
        <v>36</v>
      </c>
      <c r="K66" s="9">
        <v>0</v>
      </c>
      <c r="L66" s="9">
        <v>0</v>
      </c>
      <c r="M66" s="9">
        <v>50</v>
      </c>
      <c r="N66" s="9" t="s">
        <v>22</v>
      </c>
      <c r="O66" s="11">
        <v>0</v>
      </c>
    </row>
    <row r="67" spans="1:15" s="9" customFormat="1" x14ac:dyDescent="0.3">
      <c r="A67" s="9">
        <v>44</v>
      </c>
      <c r="B67" s="9" t="s">
        <v>28</v>
      </c>
      <c r="C67" s="9">
        <v>128354</v>
      </c>
      <c r="D67" s="9" t="s">
        <v>38</v>
      </c>
      <c r="E67" s="9">
        <v>14</v>
      </c>
      <c r="F67" s="9" t="s">
        <v>30</v>
      </c>
      <c r="G67" s="9" t="s">
        <v>26</v>
      </c>
      <c r="H67" s="9" t="s">
        <v>59</v>
      </c>
      <c r="I67" s="9" t="s">
        <v>20</v>
      </c>
      <c r="J67" s="9" t="s">
        <v>36</v>
      </c>
      <c r="K67" s="9">
        <v>0</v>
      </c>
      <c r="L67" s="9">
        <v>0</v>
      </c>
      <c r="M67" s="9">
        <v>40</v>
      </c>
      <c r="N67" s="9" t="s">
        <v>22</v>
      </c>
      <c r="O67" s="11">
        <v>1</v>
      </c>
    </row>
    <row r="68" spans="1:15" s="9" customFormat="1" x14ac:dyDescent="0.3">
      <c r="A68" s="9">
        <v>44</v>
      </c>
      <c r="B68" s="9" t="s">
        <v>28</v>
      </c>
      <c r="C68" s="9">
        <v>343591</v>
      </c>
      <c r="D68" s="9" t="s">
        <v>29</v>
      </c>
      <c r="E68" s="9">
        <v>9</v>
      </c>
      <c r="F68" s="9" t="s">
        <v>30</v>
      </c>
      <c r="G68" s="9" t="s">
        <v>51</v>
      </c>
      <c r="H68" s="9" t="s">
        <v>19</v>
      </c>
      <c r="I68" s="9" t="s">
        <v>20</v>
      </c>
      <c r="J68" s="9" t="s">
        <v>36</v>
      </c>
      <c r="K68" s="9">
        <v>14344</v>
      </c>
      <c r="L68" s="9">
        <v>0</v>
      </c>
      <c r="M68" s="9">
        <v>40</v>
      </c>
      <c r="N68" s="9" t="s">
        <v>22</v>
      </c>
      <c r="O68" s="11">
        <v>0</v>
      </c>
    </row>
    <row r="69" spans="1:15" s="9" customFormat="1" x14ac:dyDescent="0.3">
      <c r="A69" s="9">
        <v>45</v>
      </c>
      <c r="B69" s="9" t="s">
        <v>28</v>
      </c>
      <c r="C69" s="9">
        <v>386940</v>
      </c>
      <c r="D69" s="9" t="s">
        <v>16</v>
      </c>
      <c r="E69" s="9">
        <v>13</v>
      </c>
      <c r="F69" s="9" t="s">
        <v>30</v>
      </c>
      <c r="G69" s="9" t="s">
        <v>26</v>
      </c>
      <c r="H69" s="9" t="s">
        <v>47</v>
      </c>
      <c r="I69" s="9" t="s">
        <v>20</v>
      </c>
      <c r="J69" s="9" t="s">
        <v>21</v>
      </c>
      <c r="K69" s="9">
        <v>0</v>
      </c>
      <c r="L69" s="9">
        <v>1408</v>
      </c>
      <c r="M69" s="9">
        <v>40</v>
      </c>
      <c r="N69" s="9" t="s">
        <v>22</v>
      </c>
      <c r="O69" s="11">
        <v>1</v>
      </c>
    </row>
    <row r="70" spans="1:15" s="9" customFormat="1" x14ac:dyDescent="0.3">
      <c r="A70" s="9">
        <v>46</v>
      </c>
      <c r="B70" s="9" t="s">
        <v>28</v>
      </c>
      <c r="C70" s="9">
        <v>216666</v>
      </c>
      <c r="D70" s="9" t="s">
        <v>73</v>
      </c>
      <c r="E70" s="9">
        <v>3</v>
      </c>
      <c r="F70" s="9" t="s">
        <v>25</v>
      </c>
      <c r="G70" s="9" t="s">
        <v>58</v>
      </c>
      <c r="H70" s="9" t="s">
        <v>27</v>
      </c>
      <c r="I70" s="9" t="s">
        <v>20</v>
      </c>
      <c r="J70" s="9" t="s">
        <v>21</v>
      </c>
      <c r="K70" s="9">
        <v>0</v>
      </c>
      <c r="L70" s="9">
        <v>0</v>
      </c>
      <c r="M70" s="9">
        <v>40</v>
      </c>
      <c r="N70" s="9" t="s">
        <v>56</v>
      </c>
      <c r="O70" s="11">
        <v>1</v>
      </c>
    </row>
    <row r="71" spans="1:15" s="9" customFormat="1" x14ac:dyDescent="0.3">
      <c r="A71" s="9">
        <v>46</v>
      </c>
      <c r="B71" s="9" t="s">
        <v>28</v>
      </c>
      <c r="C71" s="9">
        <v>51618</v>
      </c>
      <c r="D71" s="9" t="s">
        <v>29</v>
      </c>
      <c r="E71" s="9">
        <v>9</v>
      </c>
      <c r="F71" s="9" t="s">
        <v>25</v>
      </c>
      <c r="G71" s="9" t="s">
        <v>41</v>
      </c>
      <c r="H71" s="9" t="s">
        <v>35</v>
      </c>
      <c r="I71" s="9" t="s">
        <v>20</v>
      </c>
      <c r="J71" s="9" t="s">
        <v>36</v>
      </c>
      <c r="K71" s="9">
        <v>0</v>
      </c>
      <c r="L71" s="9">
        <v>0</v>
      </c>
      <c r="M71" s="9">
        <v>40</v>
      </c>
      <c r="N71" s="9" t="s">
        <v>22</v>
      </c>
      <c r="O71" s="11">
        <v>1</v>
      </c>
    </row>
    <row r="72" spans="1:15" s="9" customFormat="1" x14ac:dyDescent="0.3">
      <c r="A72" s="9">
        <v>47</v>
      </c>
      <c r="B72" s="9" t="s">
        <v>28</v>
      </c>
      <c r="C72" s="9">
        <v>51835</v>
      </c>
      <c r="D72" s="9" t="s">
        <v>70</v>
      </c>
      <c r="E72" s="9">
        <v>15</v>
      </c>
      <c r="F72" s="9" t="s">
        <v>25</v>
      </c>
      <c r="G72" s="9" t="s">
        <v>34</v>
      </c>
      <c r="H72" s="9" t="s">
        <v>35</v>
      </c>
      <c r="I72" s="9" t="s">
        <v>20</v>
      </c>
      <c r="J72" s="9" t="s">
        <v>36</v>
      </c>
      <c r="K72" s="9">
        <v>0</v>
      </c>
      <c r="L72" s="9">
        <v>1902</v>
      </c>
      <c r="M72" s="9">
        <v>60</v>
      </c>
      <c r="N72" s="9" t="s">
        <v>71</v>
      </c>
      <c r="O72" s="11">
        <v>0</v>
      </c>
    </row>
    <row r="73" spans="1:15" s="9" customFormat="1" x14ac:dyDescent="0.3">
      <c r="A73" s="9">
        <v>47</v>
      </c>
      <c r="B73" s="9" t="s">
        <v>72</v>
      </c>
      <c r="C73" s="9">
        <v>109832</v>
      </c>
      <c r="D73" s="9" t="s">
        <v>29</v>
      </c>
      <c r="E73" s="9">
        <v>9</v>
      </c>
      <c r="F73" s="9" t="s">
        <v>30</v>
      </c>
      <c r="G73" s="9" t="s">
        <v>26</v>
      </c>
      <c r="H73" s="9" t="s">
        <v>19</v>
      </c>
      <c r="I73" s="9" t="s">
        <v>20</v>
      </c>
      <c r="J73" s="9" t="s">
        <v>21</v>
      </c>
      <c r="K73" s="9">
        <v>0</v>
      </c>
      <c r="L73" s="9">
        <v>0</v>
      </c>
      <c r="M73" s="9">
        <v>60</v>
      </c>
      <c r="N73" s="9" t="s">
        <v>22</v>
      </c>
      <c r="O73" s="11">
        <v>1</v>
      </c>
    </row>
    <row r="74" spans="1:15" s="9" customFormat="1" x14ac:dyDescent="0.3">
      <c r="A74" s="9">
        <v>48</v>
      </c>
      <c r="B74" s="9" t="s">
        <v>28</v>
      </c>
      <c r="C74" s="9">
        <v>242406</v>
      </c>
      <c r="D74" s="9" t="s">
        <v>32</v>
      </c>
      <c r="E74" s="9">
        <v>7</v>
      </c>
      <c r="F74" s="9" t="s">
        <v>17</v>
      </c>
      <c r="G74" s="9" t="s">
        <v>58</v>
      </c>
      <c r="H74" s="9" t="s">
        <v>59</v>
      </c>
      <c r="I74" s="9" t="s">
        <v>20</v>
      </c>
      <c r="J74" s="9" t="s">
        <v>21</v>
      </c>
      <c r="K74" s="9">
        <v>0</v>
      </c>
      <c r="L74" s="9">
        <v>0</v>
      </c>
      <c r="M74" s="9">
        <v>40</v>
      </c>
      <c r="N74" s="9" t="s">
        <v>67</v>
      </c>
      <c r="O74" s="11">
        <v>1</v>
      </c>
    </row>
    <row r="75" spans="1:15" s="9" customFormat="1" x14ac:dyDescent="0.3">
      <c r="A75" s="9">
        <v>48</v>
      </c>
      <c r="B75" s="9" t="s">
        <v>24</v>
      </c>
      <c r="C75" s="9">
        <v>265477</v>
      </c>
      <c r="D75" s="9" t="s">
        <v>48</v>
      </c>
      <c r="E75" s="9">
        <v>12</v>
      </c>
      <c r="F75" s="9" t="s">
        <v>25</v>
      </c>
      <c r="G75" s="9" t="s">
        <v>34</v>
      </c>
      <c r="H75" s="9" t="s">
        <v>27</v>
      </c>
      <c r="I75" s="9" t="s">
        <v>20</v>
      </c>
      <c r="J75" s="9" t="s">
        <v>21</v>
      </c>
      <c r="K75" s="9">
        <v>0</v>
      </c>
      <c r="L75" s="9">
        <v>0</v>
      </c>
      <c r="M75" s="9">
        <v>40</v>
      </c>
      <c r="N75" s="9" t="s">
        <v>22</v>
      </c>
      <c r="O75" s="11">
        <v>1</v>
      </c>
    </row>
    <row r="76" spans="1:15" s="9" customFormat="1" x14ac:dyDescent="0.3">
      <c r="A76" s="9">
        <v>48</v>
      </c>
      <c r="B76" s="9" t="s">
        <v>28</v>
      </c>
      <c r="C76" s="9">
        <v>149640</v>
      </c>
      <c r="D76" s="9" t="s">
        <v>29</v>
      </c>
      <c r="E76" s="9">
        <v>9</v>
      </c>
      <c r="F76" s="9" t="s">
        <v>25</v>
      </c>
      <c r="G76" s="9" t="s">
        <v>54</v>
      </c>
      <c r="H76" s="9" t="s">
        <v>27</v>
      </c>
      <c r="I76" s="9" t="s">
        <v>20</v>
      </c>
      <c r="J76" s="9" t="s">
        <v>21</v>
      </c>
      <c r="K76" s="9">
        <v>0</v>
      </c>
      <c r="L76" s="9">
        <v>0</v>
      </c>
      <c r="M76" s="9">
        <v>40</v>
      </c>
      <c r="N76" s="9" t="s">
        <v>22</v>
      </c>
      <c r="O76" s="11">
        <v>1</v>
      </c>
    </row>
    <row r="77" spans="1:15" s="9" customFormat="1" x14ac:dyDescent="0.3">
      <c r="A77" s="9">
        <v>48</v>
      </c>
      <c r="B77" s="9" t="s">
        <v>24</v>
      </c>
      <c r="C77" s="9">
        <v>191277</v>
      </c>
      <c r="D77" s="9" t="s">
        <v>60</v>
      </c>
      <c r="E77" s="9">
        <v>16</v>
      </c>
      <c r="F77" s="9" t="s">
        <v>25</v>
      </c>
      <c r="G77" s="9" t="s">
        <v>34</v>
      </c>
      <c r="H77" s="9" t="s">
        <v>27</v>
      </c>
      <c r="I77" s="9" t="s">
        <v>20</v>
      </c>
      <c r="J77" s="9" t="s">
        <v>21</v>
      </c>
      <c r="K77" s="9">
        <v>0</v>
      </c>
      <c r="L77" s="9">
        <v>1902</v>
      </c>
      <c r="M77" s="9">
        <v>60</v>
      </c>
      <c r="N77" s="9" t="s">
        <v>22</v>
      </c>
      <c r="O77" s="11">
        <v>0</v>
      </c>
    </row>
    <row r="78" spans="1:15" s="9" customFormat="1" x14ac:dyDescent="0.3">
      <c r="A78" s="9">
        <v>48</v>
      </c>
      <c r="B78" s="9" t="s">
        <v>28</v>
      </c>
      <c r="C78" s="9">
        <v>171095</v>
      </c>
      <c r="D78" s="9" t="s">
        <v>48</v>
      </c>
      <c r="E78" s="9">
        <v>12</v>
      </c>
      <c r="F78" s="9" t="s">
        <v>30</v>
      </c>
      <c r="G78" s="9" t="s">
        <v>26</v>
      </c>
      <c r="H78" s="9" t="s">
        <v>59</v>
      </c>
      <c r="I78" s="9" t="s">
        <v>20</v>
      </c>
      <c r="J78" s="9" t="s">
        <v>36</v>
      </c>
      <c r="K78" s="9">
        <v>0</v>
      </c>
      <c r="L78" s="9">
        <v>0</v>
      </c>
      <c r="M78" s="9">
        <v>40</v>
      </c>
      <c r="N78" s="9" t="s">
        <v>76</v>
      </c>
      <c r="O78" s="11">
        <v>1</v>
      </c>
    </row>
    <row r="79" spans="1:15" s="9" customFormat="1" x14ac:dyDescent="0.3">
      <c r="A79" s="9">
        <v>49</v>
      </c>
      <c r="B79" s="9" t="s">
        <v>28</v>
      </c>
      <c r="C79" s="9">
        <v>160187</v>
      </c>
      <c r="D79" s="9" t="s">
        <v>39</v>
      </c>
      <c r="E79" s="9">
        <v>5</v>
      </c>
      <c r="F79" s="9" t="s">
        <v>40</v>
      </c>
      <c r="G79" s="9" t="s">
        <v>41</v>
      </c>
      <c r="H79" s="9" t="s">
        <v>19</v>
      </c>
      <c r="I79" s="9" t="s">
        <v>33</v>
      </c>
      <c r="J79" s="9" t="s">
        <v>36</v>
      </c>
      <c r="K79" s="9">
        <v>0</v>
      </c>
      <c r="L79" s="9">
        <v>0</v>
      </c>
      <c r="M79" s="9">
        <v>16</v>
      </c>
      <c r="N79" s="9" t="s">
        <v>42</v>
      </c>
      <c r="O79" s="11">
        <v>1</v>
      </c>
    </row>
    <row r="80" spans="1:15" s="9" customFormat="1" x14ac:dyDescent="0.3">
      <c r="A80" s="9">
        <v>49</v>
      </c>
      <c r="B80" s="9" t="s">
        <v>28</v>
      </c>
      <c r="C80" s="9">
        <v>193366</v>
      </c>
      <c r="D80" s="9" t="s">
        <v>29</v>
      </c>
      <c r="E80" s="9">
        <v>9</v>
      </c>
      <c r="F80" s="9" t="s">
        <v>25</v>
      </c>
      <c r="G80" s="9" t="s">
        <v>51</v>
      </c>
      <c r="H80" s="9" t="s">
        <v>27</v>
      </c>
      <c r="I80" s="9" t="s">
        <v>20</v>
      </c>
      <c r="J80" s="9" t="s">
        <v>21</v>
      </c>
      <c r="K80" s="9">
        <v>0</v>
      </c>
      <c r="L80" s="9">
        <v>0</v>
      </c>
      <c r="M80" s="9">
        <v>40</v>
      </c>
      <c r="N80" s="9" t="s">
        <v>22</v>
      </c>
      <c r="O80" s="11">
        <v>1</v>
      </c>
    </row>
    <row r="81" spans="1:15" s="9" customFormat="1" x14ac:dyDescent="0.3">
      <c r="A81" s="9">
        <v>49</v>
      </c>
      <c r="B81" s="9" t="s">
        <v>28</v>
      </c>
      <c r="C81" s="9">
        <v>94638</v>
      </c>
      <c r="D81" s="9" t="s">
        <v>29</v>
      </c>
      <c r="E81" s="9">
        <v>9</v>
      </c>
      <c r="F81" s="9" t="s">
        <v>61</v>
      </c>
      <c r="G81" s="9" t="s">
        <v>18</v>
      </c>
      <c r="H81" s="9" t="s">
        <v>59</v>
      </c>
      <c r="I81" s="9" t="s">
        <v>20</v>
      </c>
      <c r="J81" s="9" t="s">
        <v>36</v>
      </c>
      <c r="K81" s="9">
        <v>0</v>
      </c>
      <c r="L81" s="9">
        <v>0</v>
      </c>
      <c r="M81" s="9">
        <v>40</v>
      </c>
      <c r="N81" s="9" t="s">
        <v>22</v>
      </c>
      <c r="O81" s="11">
        <v>1</v>
      </c>
    </row>
    <row r="82" spans="1:15" s="9" customFormat="1" x14ac:dyDescent="0.3">
      <c r="A82" s="9">
        <v>49</v>
      </c>
      <c r="B82" s="9" t="s">
        <v>72</v>
      </c>
      <c r="C82" s="9">
        <v>191681</v>
      </c>
      <c r="D82" s="9" t="s">
        <v>44</v>
      </c>
      <c r="E82" s="9">
        <v>10</v>
      </c>
      <c r="F82" s="9" t="s">
        <v>25</v>
      </c>
      <c r="G82" s="9" t="s">
        <v>26</v>
      </c>
      <c r="H82" s="9" t="s">
        <v>27</v>
      </c>
      <c r="I82" s="9" t="s">
        <v>20</v>
      </c>
      <c r="J82" s="9" t="s">
        <v>21</v>
      </c>
      <c r="K82" s="9">
        <v>0</v>
      </c>
      <c r="L82" s="9">
        <v>0</v>
      </c>
      <c r="M82" s="9">
        <v>50</v>
      </c>
      <c r="N82" s="9" t="s">
        <v>22</v>
      </c>
      <c r="O82" s="11">
        <v>0</v>
      </c>
    </row>
    <row r="83" spans="1:15" s="9" customFormat="1" x14ac:dyDescent="0.3">
      <c r="A83" s="9">
        <v>49</v>
      </c>
      <c r="B83" s="9" t="s">
        <v>64</v>
      </c>
      <c r="C83" s="9">
        <v>268234</v>
      </c>
      <c r="D83" s="9" t="s">
        <v>29</v>
      </c>
      <c r="E83" s="9">
        <v>9</v>
      </c>
      <c r="F83" s="9" t="s">
        <v>25</v>
      </c>
      <c r="G83" s="9" t="s">
        <v>66</v>
      </c>
      <c r="H83" s="9" t="s">
        <v>27</v>
      </c>
      <c r="I83" s="9" t="s">
        <v>20</v>
      </c>
      <c r="J83" s="9" t="s">
        <v>21</v>
      </c>
      <c r="K83" s="9">
        <v>0</v>
      </c>
      <c r="L83" s="9">
        <v>0</v>
      </c>
      <c r="M83" s="9">
        <v>40</v>
      </c>
      <c r="N83" s="9" t="s">
        <v>22</v>
      </c>
      <c r="O83" s="11">
        <v>0</v>
      </c>
    </row>
    <row r="84" spans="1:15" s="9" customFormat="1" x14ac:dyDescent="0.3">
      <c r="A84" s="9">
        <v>50</v>
      </c>
      <c r="B84" s="9" t="s">
        <v>24</v>
      </c>
      <c r="C84" s="9">
        <v>83311</v>
      </c>
      <c r="D84" s="9" t="s">
        <v>16</v>
      </c>
      <c r="E84" s="9">
        <v>13</v>
      </c>
      <c r="F84" s="9" t="s">
        <v>25</v>
      </c>
      <c r="G84" s="9" t="s">
        <v>26</v>
      </c>
      <c r="H84" s="9" t="s">
        <v>27</v>
      </c>
      <c r="I84" s="9" t="s">
        <v>20</v>
      </c>
      <c r="J84" s="9" t="s">
        <v>21</v>
      </c>
      <c r="K84" s="9">
        <v>0</v>
      </c>
      <c r="L84" s="9">
        <v>0</v>
      </c>
      <c r="M84" s="9">
        <v>13</v>
      </c>
      <c r="N84" s="9" t="s">
        <v>22</v>
      </c>
      <c r="O84" s="11">
        <v>1</v>
      </c>
    </row>
    <row r="85" spans="1:15" s="9" customFormat="1" x14ac:dyDescent="0.3">
      <c r="A85" s="9">
        <v>50</v>
      </c>
      <c r="B85" s="9" t="s">
        <v>62</v>
      </c>
      <c r="C85" s="9">
        <v>251585</v>
      </c>
      <c r="D85" s="9" t="s">
        <v>16</v>
      </c>
      <c r="E85" s="9">
        <v>13</v>
      </c>
      <c r="F85" s="9" t="s">
        <v>30</v>
      </c>
      <c r="G85" s="9" t="s">
        <v>26</v>
      </c>
      <c r="H85" s="9" t="s">
        <v>19</v>
      </c>
      <c r="I85" s="9" t="s">
        <v>20</v>
      </c>
      <c r="J85" s="9" t="s">
        <v>21</v>
      </c>
      <c r="K85" s="9">
        <v>0</v>
      </c>
      <c r="L85" s="9">
        <v>0</v>
      </c>
      <c r="M85" s="9">
        <v>55</v>
      </c>
      <c r="N85" s="9" t="s">
        <v>22</v>
      </c>
      <c r="O85" s="11">
        <v>0</v>
      </c>
    </row>
    <row r="86" spans="1:15" s="9" customFormat="1" x14ac:dyDescent="0.3">
      <c r="A86" s="9">
        <v>52</v>
      </c>
      <c r="B86" s="9" t="s">
        <v>24</v>
      </c>
      <c r="C86" s="9">
        <v>209642</v>
      </c>
      <c r="D86" s="9" t="s">
        <v>29</v>
      </c>
      <c r="E86" s="9">
        <v>9</v>
      </c>
      <c r="F86" s="9" t="s">
        <v>25</v>
      </c>
      <c r="G86" s="9" t="s">
        <v>26</v>
      </c>
      <c r="H86" s="9" t="s">
        <v>27</v>
      </c>
      <c r="I86" s="9" t="s">
        <v>20</v>
      </c>
      <c r="J86" s="9" t="s">
        <v>21</v>
      </c>
      <c r="K86" s="9">
        <v>0</v>
      </c>
      <c r="L86" s="9">
        <v>0</v>
      </c>
      <c r="M86" s="9">
        <v>45</v>
      </c>
      <c r="N86" s="9" t="s">
        <v>22</v>
      </c>
      <c r="O86" s="11">
        <v>0</v>
      </c>
    </row>
    <row r="87" spans="1:15" s="9" customFormat="1" x14ac:dyDescent="0.3">
      <c r="A87" s="9">
        <v>52</v>
      </c>
      <c r="B87" s="9" t="s">
        <v>28</v>
      </c>
      <c r="C87" s="9">
        <v>276515</v>
      </c>
      <c r="D87" s="9" t="s">
        <v>16</v>
      </c>
      <c r="E87" s="9">
        <v>13</v>
      </c>
      <c r="F87" s="9" t="s">
        <v>25</v>
      </c>
      <c r="G87" s="9" t="s">
        <v>41</v>
      </c>
      <c r="H87" s="9" t="s">
        <v>27</v>
      </c>
      <c r="I87" s="9" t="s">
        <v>20</v>
      </c>
      <c r="J87" s="9" t="s">
        <v>21</v>
      </c>
      <c r="K87" s="9">
        <v>0</v>
      </c>
      <c r="L87" s="9">
        <v>0</v>
      </c>
      <c r="M87" s="9">
        <v>40</v>
      </c>
      <c r="N87" s="9" t="s">
        <v>37</v>
      </c>
      <c r="O87" s="11">
        <v>1</v>
      </c>
    </row>
    <row r="88" spans="1:15" s="9" customFormat="1" x14ac:dyDescent="0.3">
      <c r="A88" s="9">
        <v>53</v>
      </c>
      <c r="B88" s="9" t="s">
        <v>28</v>
      </c>
      <c r="C88" s="9">
        <v>234721</v>
      </c>
      <c r="D88" s="9" t="s">
        <v>32</v>
      </c>
      <c r="E88" s="9">
        <v>7</v>
      </c>
      <c r="F88" s="9" t="s">
        <v>25</v>
      </c>
      <c r="G88" s="9" t="s">
        <v>31</v>
      </c>
      <c r="H88" s="9" t="s">
        <v>27</v>
      </c>
      <c r="I88" s="9" t="s">
        <v>33</v>
      </c>
      <c r="J88" s="9" t="s">
        <v>21</v>
      </c>
      <c r="K88" s="9">
        <v>0</v>
      </c>
      <c r="L88" s="9">
        <v>0</v>
      </c>
      <c r="M88" s="9">
        <v>40</v>
      </c>
      <c r="N88" s="9" t="s">
        <v>22</v>
      </c>
      <c r="O88" s="11">
        <v>1</v>
      </c>
    </row>
    <row r="89" spans="1:15" s="9" customFormat="1" x14ac:dyDescent="0.3">
      <c r="A89" s="9">
        <v>53</v>
      </c>
      <c r="B89" s="9" t="s">
        <v>24</v>
      </c>
      <c r="C89" s="9">
        <v>88506</v>
      </c>
      <c r="D89" s="9" t="s">
        <v>16</v>
      </c>
      <c r="E89" s="9">
        <v>13</v>
      </c>
      <c r="F89" s="9" t="s">
        <v>25</v>
      </c>
      <c r="G89" s="9" t="s">
        <v>34</v>
      </c>
      <c r="H89" s="9" t="s">
        <v>27</v>
      </c>
      <c r="I89" s="9" t="s">
        <v>20</v>
      </c>
      <c r="J89" s="9" t="s">
        <v>21</v>
      </c>
      <c r="K89" s="9">
        <v>0</v>
      </c>
      <c r="L89" s="9">
        <v>0</v>
      </c>
      <c r="M89" s="9">
        <v>40</v>
      </c>
      <c r="N89" s="9" t="s">
        <v>22</v>
      </c>
      <c r="O89" s="11">
        <v>1</v>
      </c>
    </row>
    <row r="90" spans="1:15" s="9" customFormat="1" x14ac:dyDescent="0.3">
      <c r="A90" s="9">
        <v>53</v>
      </c>
      <c r="B90" s="9" t="s">
        <v>28</v>
      </c>
      <c r="C90" s="9">
        <v>144361</v>
      </c>
      <c r="D90" s="9" t="s">
        <v>29</v>
      </c>
      <c r="E90" s="9">
        <v>9</v>
      </c>
      <c r="F90" s="9" t="s">
        <v>25</v>
      </c>
      <c r="G90" s="9" t="s">
        <v>58</v>
      </c>
      <c r="H90" s="9" t="s">
        <v>27</v>
      </c>
      <c r="I90" s="9" t="s">
        <v>20</v>
      </c>
      <c r="J90" s="9" t="s">
        <v>21</v>
      </c>
      <c r="K90" s="9">
        <v>0</v>
      </c>
      <c r="L90" s="9">
        <v>0</v>
      </c>
      <c r="M90" s="9">
        <v>38</v>
      </c>
      <c r="N90" s="9" t="s">
        <v>22</v>
      </c>
      <c r="O90" s="11">
        <v>1</v>
      </c>
    </row>
    <row r="91" spans="1:15" s="9" customFormat="1" x14ac:dyDescent="0.3">
      <c r="A91" s="9">
        <v>53</v>
      </c>
      <c r="B91" s="9" t="s">
        <v>28</v>
      </c>
      <c r="C91" s="9">
        <v>169846</v>
      </c>
      <c r="D91" s="9" t="s">
        <v>29</v>
      </c>
      <c r="E91" s="9">
        <v>9</v>
      </c>
      <c r="F91" s="9" t="s">
        <v>25</v>
      </c>
      <c r="G91" s="9" t="s">
        <v>18</v>
      </c>
      <c r="H91" s="9" t="s">
        <v>35</v>
      </c>
      <c r="I91" s="9" t="s">
        <v>20</v>
      </c>
      <c r="J91" s="9" t="s">
        <v>36</v>
      </c>
      <c r="K91" s="9">
        <v>0</v>
      </c>
      <c r="L91" s="9">
        <v>0</v>
      </c>
      <c r="M91" s="9">
        <v>40</v>
      </c>
      <c r="N91" s="9" t="s">
        <v>22</v>
      </c>
      <c r="O91" s="11">
        <v>0</v>
      </c>
    </row>
    <row r="92" spans="1:15" s="9" customFormat="1" x14ac:dyDescent="0.3">
      <c r="A92" s="9">
        <v>53</v>
      </c>
      <c r="B92" s="9" t="s">
        <v>28</v>
      </c>
      <c r="C92" s="9">
        <v>346253</v>
      </c>
      <c r="D92" s="9" t="s">
        <v>29</v>
      </c>
      <c r="E92" s="9">
        <v>9</v>
      </c>
      <c r="F92" s="9" t="s">
        <v>30</v>
      </c>
      <c r="G92" s="9" t="s">
        <v>49</v>
      </c>
      <c r="H92" s="9" t="s">
        <v>47</v>
      </c>
      <c r="I92" s="9" t="s">
        <v>20</v>
      </c>
      <c r="J92" s="9" t="s">
        <v>36</v>
      </c>
      <c r="K92" s="9">
        <v>0</v>
      </c>
      <c r="L92" s="9">
        <v>0</v>
      </c>
      <c r="M92" s="9">
        <v>35</v>
      </c>
      <c r="N92" s="9" t="s">
        <v>22</v>
      </c>
      <c r="O92" s="11">
        <v>1</v>
      </c>
    </row>
    <row r="93" spans="1:15" s="9" customFormat="1" x14ac:dyDescent="0.3">
      <c r="A93" s="9">
        <v>54</v>
      </c>
      <c r="B93" s="9" t="s">
        <v>28</v>
      </c>
      <c r="C93" s="9">
        <v>302146</v>
      </c>
      <c r="D93" s="9" t="s">
        <v>29</v>
      </c>
      <c r="E93" s="9">
        <v>9</v>
      </c>
      <c r="F93" s="9" t="s">
        <v>61</v>
      </c>
      <c r="G93" s="9" t="s">
        <v>41</v>
      </c>
      <c r="H93" s="9" t="s">
        <v>59</v>
      </c>
      <c r="I93" s="9" t="s">
        <v>33</v>
      </c>
      <c r="J93" s="9" t="s">
        <v>36</v>
      </c>
      <c r="K93" s="9">
        <v>0</v>
      </c>
      <c r="L93" s="9">
        <v>0</v>
      </c>
      <c r="M93" s="9">
        <v>20</v>
      </c>
      <c r="N93" s="9" t="s">
        <v>22</v>
      </c>
      <c r="O93" s="11">
        <v>1</v>
      </c>
    </row>
    <row r="94" spans="1:15" s="9" customFormat="1" x14ac:dyDescent="0.3">
      <c r="A94" s="9">
        <v>54</v>
      </c>
      <c r="B94" s="9" t="s">
        <v>52</v>
      </c>
      <c r="C94" s="9">
        <v>180211</v>
      </c>
      <c r="D94" s="9" t="s">
        <v>44</v>
      </c>
      <c r="E94" s="9">
        <v>10</v>
      </c>
      <c r="F94" s="9" t="s">
        <v>25</v>
      </c>
      <c r="G94" s="9" t="s">
        <v>52</v>
      </c>
      <c r="H94" s="9" t="s">
        <v>27</v>
      </c>
      <c r="I94" s="9" t="s">
        <v>45</v>
      </c>
      <c r="J94" s="9" t="s">
        <v>21</v>
      </c>
      <c r="K94" s="9">
        <v>0</v>
      </c>
      <c r="L94" s="9">
        <v>0</v>
      </c>
      <c r="M94" s="9">
        <v>60</v>
      </c>
      <c r="N94" s="9" t="s">
        <v>65</v>
      </c>
      <c r="O94" s="11">
        <v>0</v>
      </c>
    </row>
    <row r="95" spans="1:15" s="9" customFormat="1" x14ac:dyDescent="0.3">
      <c r="A95" s="9">
        <v>56</v>
      </c>
      <c r="B95" s="9" t="s">
        <v>64</v>
      </c>
      <c r="C95" s="9">
        <v>216851</v>
      </c>
      <c r="D95" s="9" t="s">
        <v>16</v>
      </c>
      <c r="E95" s="9">
        <v>13</v>
      </c>
      <c r="F95" s="9" t="s">
        <v>25</v>
      </c>
      <c r="G95" s="9" t="s">
        <v>63</v>
      </c>
      <c r="H95" s="9" t="s">
        <v>27</v>
      </c>
      <c r="I95" s="9" t="s">
        <v>20</v>
      </c>
      <c r="J95" s="9" t="s">
        <v>21</v>
      </c>
      <c r="K95" s="9">
        <v>0</v>
      </c>
      <c r="L95" s="9">
        <v>0</v>
      </c>
      <c r="M95" s="9">
        <v>40</v>
      </c>
      <c r="N95" s="9" t="s">
        <v>22</v>
      </c>
      <c r="O95" s="11">
        <v>0</v>
      </c>
    </row>
    <row r="96" spans="1:15" s="9" customFormat="1" x14ac:dyDescent="0.3">
      <c r="A96" s="9">
        <v>57</v>
      </c>
      <c r="B96" s="9" t="s">
        <v>62</v>
      </c>
      <c r="C96" s="9">
        <v>337895</v>
      </c>
      <c r="D96" s="9" t="s">
        <v>16</v>
      </c>
      <c r="E96" s="9">
        <v>13</v>
      </c>
      <c r="F96" s="9" t="s">
        <v>25</v>
      </c>
      <c r="G96" s="9" t="s">
        <v>34</v>
      </c>
      <c r="H96" s="9" t="s">
        <v>27</v>
      </c>
      <c r="I96" s="9" t="s">
        <v>33</v>
      </c>
      <c r="J96" s="9" t="s">
        <v>21</v>
      </c>
      <c r="K96" s="9">
        <v>0</v>
      </c>
      <c r="L96" s="9">
        <v>0</v>
      </c>
      <c r="M96" s="9">
        <v>40</v>
      </c>
      <c r="N96" s="9" t="s">
        <v>22</v>
      </c>
      <c r="O96" s="11">
        <v>0</v>
      </c>
    </row>
    <row r="97" spans="1:15" s="9" customFormat="1" x14ac:dyDescent="0.3">
      <c r="A97" s="9">
        <v>57</v>
      </c>
      <c r="B97" s="9" t="s">
        <v>28</v>
      </c>
      <c r="C97" s="9">
        <v>249977</v>
      </c>
      <c r="D97" s="9" t="s">
        <v>50</v>
      </c>
      <c r="E97" s="9">
        <v>11</v>
      </c>
      <c r="F97" s="9" t="s">
        <v>25</v>
      </c>
      <c r="G97" s="9" t="s">
        <v>34</v>
      </c>
      <c r="H97" s="9" t="s">
        <v>27</v>
      </c>
      <c r="I97" s="9" t="s">
        <v>20</v>
      </c>
      <c r="J97" s="9" t="s">
        <v>21</v>
      </c>
      <c r="K97" s="9">
        <v>0</v>
      </c>
      <c r="L97" s="9">
        <v>0</v>
      </c>
      <c r="M97" s="9">
        <v>40</v>
      </c>
      <c r="N97" s="9" t="s">
        <v>22</v>
      </c>
      <c r="O97" s="11">
        <v>1</v>
      </c>
    </row>
    <row r="98" spans="1:15" s="9" customFormat="1" x14ac:dyDescent="0.3">
      <c r="A98" s="9">
        <v>59</v>
      </c>
      <c r="B98" s="9" t="s">
        <v>28</v>
      </c>
      <c r="C98" s="9">
        <v>109015</v>
      </c>
      <c r="D98" s="9" t="s">
        <v>29</v>
      </c>
      <c r="E98" s="9">
        <v>9</v>
      </c>
      <c r="F98" s="9" t="s">
        <v>30</v>
      </c>
      <c r="G98" s="9" t="s">
        <v>63</v>
      </c>
      <c r="H98" s="9" t="s">
        <v>59</v>
      </c>
      <c r="I98" s="9" t="s">
        <v>20</v>
      </c>
      <c r="J98" s="9" t="s">
        <v>36</v>
      </c>
      <c r="K98" s="9">
        <v>0</v>
      </c>
      <c r="L98" s="9">
        <v>0</v>
      </c>
      <c r="M98" s="9">
        <v>40</v>
      </c>
      <c r="N98" s="9" t="s">
        <v>22</v>
      </c>
      <c r="O98" s="11">
        <v>1</v>
      </c>
    </row>
    <row r="99" spans="1:15" s="9" customFormat="1" x14ac:dyDescent="0.3">
      <c r="A99" s="9">
        <v>59</v>
      </c>
      <c r="B99" s="9" t="s">
        <v>28</v>
      </c>
      <c r="C99" s="9">
        <v>159937</v>
      </c>
      <c r="D99" s="9" t="s">
        <v>29</v>
      </c>
      <c r="E99" s="9">
        <v>9</v>
      </c>
      <c r="F99" s="9" t="s">
        <v>25</v>
      </c>
      <c r="G99" s="9" t="s">
        <v>49</v>
      </c>
      <c r="H99" s="9" t="s">
        <v>27</v>
      </c>
      <c r="I99" s="9" t="s">
        <v>20</v>
      </c>
      <c r="J99" s="9" t="s">
        <v>21</v>
      </c>
      <c r="K99" s="9">
        <v>0</v>
      </c>
      <c r="L99" s="9">
        <v>0</v>
      </c>
      <c r="M99" s="9">
        <v>48</v>
      </c>
      <c r="N99" s="9" t="s">
        <v>22</v>
      </c>
      <c r="O99" s="11">
        <v>1</v>
      </c>
    </row>
    <row r="100" spans="1:15" s="9" customFormat="1" x14ac:dyDescent="0.3">
      <c r="A100" s="9">
        <v>67</v>
      </c>
      <c r="B100" s="9" t="s">
        <v>52</v>
      </c>
      <c r="C100" s="9">
        <v>212759</v>
      </c>
      <c r="D100" s="9" t="s">
        <v>75</v>
      </c>
      <c r="E100" s="9">
        <v>6</v>
      </c>
      <c r="F100" s="9" t="s">
        <v>25</v>
      </c>
      <c r="G100" s="9" t="s">
        <v>52</v>
      </c>
      <c r="H100" s="9" t="s">
        <v>27</v>
      </c>
      <c r="I100" s="9" t="s">
        <v>20</v>
      </c>
      <c r="J100" s="9" t="s">
        <v>21</v>
      </c>
      <c r="K100" s="9">
        <v>0</v>
      </c>
      <c r="L100" s="9">
        <v>0</v>
      </c>
      <c r="M100" s="9">
        <v>2</v>
      </c>
      <c r="N100" s="9" t="s">
        <v>22</v>
      </c>
      <c r="O100" s="11">
        <v>1</v>
      </c>
    </row>
    <row r="101" spans="1:15" s="9" customFormat="1" x14ac:dyDescent="0.3">
      <c r="A101" s="9">
        <v>79</v>
      </c>
      <c r="B101" s="9" t="s">
        <v>28</v>
      </c>
      <c r="C101" s="9">
        <v>124744</v>
      </c>
      <c r="D101" s="9" t="s">
        <v>44</v>
      </c>
      <c r="E101" s="9">
        <v>10</v>
      </c>
      <c r="F101" s="9" t="s">
        <v>25</v>
      </c>
      <c r="G101" s="9" t="s">
        <v>34</v>
      </c>
      <c r="H101" s="9" t="s">
        <v>74</v>
      </c>
      <c r="I101" s="9" t="s">
        <v>20</v>
      </c>
      <c r="J101" s="9" t="s">
        <v>21</v>
      </c>
      <c r="K101" s="9">
        <v>0</v>
      </c>
      <c r="L101" s="9">
        <v>0</v>
      </c>
      <c r="M101" s="9">
        <v>20</v>
      </c>
      <c r="N101" s="9" t="s">
        <v>22</v>
      </c>
      <c r="O101" s="1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24F0-D5F7-4C4B-8EE3-14409F904520}">
  <dimension ref="A1:G39"/>
  <sheetViews>
    <sheetView tabSelected="1" zoomScale="70" zoomScaleNormal="70" workbookViewId="0">
      <selection activeCell="H16" sqref="H16"/>
    </sheetView>
  </sheetViews>
  <sheetFormatPr defaultRowHeight="14.4" x14ac:dyDescent="0.3"/>
  <cols>
    <col min="1" max="1" width="12.21875" customWidth="1"/>
    <col min="2" max="2" width="21.6640625" customWidth="1"/>
    <col min="4" max="4" width="14.33203125" customWidth="1"/>
    <col min="5" max="5" width="13.6640625" customWidth="1"/>
    <col min="6" max="6" width="11.5546875" bestFit="1" customWidth="1"/>
    <col min="7" max="7" width="12.21875" bestFit="1" customWidth="1"/>
    <col min="10" max="10" width="21.44140625" customWidth="1"/>
    <col min="14" max="14" width="12" bestFit="1" customWidth="1"/>
    <col min="15" max="15" width="12.5546875" bestFit="1" customWidth="1"/>
    <col min="18" max="18" width="22.6640625" customWidth="1"/>
    <col min="23" max="23" width="12.6640625" bestFit="1" customWidth="1"/>
    <col min="26" max="26" width="23.33203125" customWidth="1"/>
    <col min="34" max="34" width="20.44140625" customWidth="1"/>
    <col min="39" max="39" width="10.77734375" customWidth="1"/>
    <col min="42" max="42" width="20.44140625" customWidth="1"/>
    <col min="50" max="50" width="20.88671875" customWidth="1"/>
    <col min="55" max="55" width="12.6640625" bestFit="1" customWidth="1"/>
    <col min="58" max="58" width="22.21875" customWidth="1"/>
    <col min="63" max="63" width="12.6640625" bestFit="1" customWidth="1"/>
  </cols>
  <sheetData>
    <row r="1" spans="1:7" s="14" customFormat="1" ht="33" customHeight="1" x14ac:dyDescent="0.3">
      <c r="A1" s="19" t="s">
        <v>16446</v>
      </c>
      <c r="B1" s="20"/>
      <c r="C1" s="20"/>
      <c r="D1" s="20"/>
      <c r="E1" s="20"/>
      <c r="F1" s="20"/>
      <c r="G1" s="21"/>
    </row>
    <row r="2" spans="1:7" ht="16.2" customHeight="1" x14ac:dyDescent="0.3">
      <c r="A2" s="1" t="s">
        <v>16447</v>
      </c>
      <c r="B2" s="2"/>
      <c r="C2" s="1" t="s">
        <v>16448</v>
      </c>
      <c r="D2" s="1" t="s">
        <v>23</v>
      </c>
      <c r="E2" s="10" t="s">
        <v>43</v>
      </c>
      <c r="F2" s="1" t="s">
        <v>16449</v>
      </c>
      <c r="G2" s="1" t="s">
        <v>16450</v>
      </c>
    </row>
    <row r="3" spans="1:7" x14ac:dyDescent="0.3">
      <c r="A3" s="3"/>
      <c r="B3" s="3"/>
      <c r="C3" s="4">
        <v>100</v>
      </c>
      <c r="D3" s="4">
        <f>COUNTIF(Table2[income],1)</f>
        <v>75</v>
      </c>
      <c r="E3" s="4">
        <f>COUNTIF(Table2[income],0)</f>
        <v>25</v>
      </c>
      <c r="F3" s="2">
        <f>(-D3/C3*LOG(D3/C3,2))+(-E3/C3*LOG(E3/C3,2))</f>
        <v>0.81127812445913283</v>
      </c>
      <c r="G3" s="2"/>
    </row>
    <row r="4" spans="1:7" x14ac:dyDescent="0.3">
      <c r="A4" s="22" t="s">
        <v>16451</v>
      </c>
      <c r="B4" s="23"/>
      <c r="C4" s="23"/>
      <c r="D4" s="23"/>
      <c r="E4" s="23"/>
      <c r="F4" s="24"/>
      <c r="G4" s="12">
        <f>$F$3-C5/$C$3*F5-C6/$C$3*F6-C7/$C$3*F7</f>
        <v>7.0963354892527059E-2</v>
      </c>
    </row>
    <row r="5" spans="1:7" x14ac:dyDescent="0.3">
      <c r="A5" s="2"/>
      <c r="B5" s="5" t="s">
        <v>16458</v>
      </c>
      <c r="C5" s="6">
        <f>COUNTIF(Table2[age],"&lt;=30")</f>
        <v>31</v>
      </c>
      <c r="D5" s="1">
        <f>COUNTIFS(Table2[age],"&lt;=30",Table2[income],1)</f>
        <v>29</v>
      </c>
      <c r="E5" s="1">
        <f>COUNTIFS(Table2[age],"&lt;=30",Table2[income],0)</f>
        <v>2</v>
      </c>
      <c r="F5" s="2">
        <f>(-D5/C5*LOG(D5/C5,2))+(-E5/C5*LOG(E5/C5,2))</f>
        <v>0.34511731494495301</v>
      </c>
      <c r="G5" s="2"/>
    </row>
    <row r="6" spans="1:7" x14ac:dyDescent="0.3">
      <c r="A6" s="2"/>
      <c r="B6" s="5" t="s">
        <v>16459</v>
      </c>
      <c r="C6" s="6">
        <f>COUNTIFS(Table2[age],"&lt;=50",Table2[age],"&gt;=31")</f>
        <v>53</v>
      </c>
      <c r="D6" s="1">
        <f>COUNTIFS(Table2[age],"&lt;=50",Table2[income],1)-COUNTIFS(Table2[age],"&lt;=30",Table2[income],1)</f>
        <v>35</v>
      </c>
      <c r="E6" s="1">
        <f>COUNTIFS(Table2[age],"&lt;=50",Table2[income],0)-COUNTIFS(Table2[age],"&lt;=30",Table2[income],0)</f>
        <v>18</v>
      </c>
      <c r="F6" s="2">
        <f t="shared" ref="F6:F7" si="0">(-D6/C6*LOG(D6/C6,2))+(-E6/C6*LOG(E6/C6,2))</f>
        <v>0.92445714099649268</v>
      </c>
      <c r="G6" s="2"/>
    </row>
    <row r="7" spans="1:7" x14ac:dyDescent="0.3">
      <c r="A7" s="3"/>
      <c r="B7" s="5" t="s">
        <v>16460</v>
      </c>
      <c r="C7" s="6">
        <f>COUNTIF(Table2[age],"&gt;=51")</f>
        <v>16</v>
      </c>
      <c r="D7" s="1">
        <f>COUNTIFS(Table2[age],"&gt;=51",Table2[income],1)</f>
        <v>11</v>
      </c>
      <c r="E7" s="1">
        <f>COUNTIFS(Table2[age],"&gt;=51",Table2[income],0)</f>
        <v>5</v>
      </c>
      <c r="F7" s="2">
        <f t="shared" si="0"/>
        <v>0.8960382325345575</v>
      </c>
      <c r="G7" s="3"/>
    </row>
    <row r="8" spans="1:7" x14ac:dyDescent="0.3">
      <c r="A8" s="16" t="s">
        <v>16452</v>
      </c>
      <c r="B8" s="17"/>
      <c r="C8" s="17"/>
      <c r="D8" s="17"/>
      <c r="E8" s="17"/>
      <c r="F8" s="18"/>
      <c r="G8" s="12">
        <f>$F$3-C9/$C$3*F9-C10/$C$3*F10-C11/$C$3*F11-C12/$C$3*F12-C13/$C$3*F13-C14/C3*F14-C15/C3*F15</f>
        <v>6.3702239901456126E-2</v>
      </c>
    </row>
    <row r="9" spans="1:7" x14ac:dyDescent="0.3">
      <c r="A9" s="2"/>
      <c r="B9" s="5" t="s">
        <v>52</v>
      </c>
      <c r="C9" s="7">
        <f>COUNTIF(Table2[workclass],Sheet3!B9)</f>
        <v>4</v>
      </c>
      <c r="D9" s="7">
        <f>COUNTIFS(Table2[workclass],B9,Table2[income],1)</f>
        <v>3</v>
      </c>
      <c r="E9" s="1">
        <f>COUNTIFS(Table2[workclass],B9,Table2[income],0)</f>
        <v>1</v>
      </c>
      <c r="F9" s="2">
        <f>(-D9/C9*LOG(D9/C9,2))+(-E9/C9*LOG(E9/C9,2))</f>
        <v>0.81127812445913283</v>
      </c>
      <c r="G9" s="3"/>
    </row>
    <row r="10" spans="1:7" x14ac:dyDescent="0.3">
      <c r="A10" s="2"/>
      <c r="B10" s="5" t="s">
        <v>62</v>
      </c>
      <c r="C10" s="7">
        <f>COUNTIF(Table2[workclass],Sheet3!B10)</f>
        <v>6</v>
      </c>
      <c r="D10" s="7">
        <f>COUNTIFS(Table2[workclass],B10,Table2[income],1)</f>
        <v>3</v>
      </c>
      <c r="E10" s="1">
        <f>COUNTIFS(Table2[workclass],B10,Table2[income],0)</f>
        <v>3</v>
      </c>
      <c r="F10" s="2">
        <f t="shared" ref="F10:F15" si="1">(-D10/C10*LOG(D10/C10,2))+(-E10/C10*LOG(E10/C10,2))</f>
        <v>1</v>
      </c>
      <c r="G10" s="3"/>
    </row>
    <row r="11" spans="1:7" x14ac:dyDescent="0.3">
      <c r="A11" s="1"/>
      <c r="B11" s="5" t="s">
        <v>64</v>
      </c>
      <c r="C11" s="7">
        <f>COUNTIF(Table2[workclass],Sheet3!B11)</f>
        <v>6</v>
      </c>
      <c r="D11" s="7">
        <f>COUNTIFS(Table2[workclass],B11,Table2[income],1)</f>
        <v>3</v>
      </c>
      <c r="E11" s="1">
        <f>COUNTIFS(Table2[workclass],B11,Table2[income],0)</f>
        <v>3</v>
      </c>
      <c r="F11" s="2">
        <f t="shared" si="1"/>
        <v>1</v>
      </c>
      <c r="G11" s="3"/>
    </row>
    <row r="12" spans="1:7" x14ac:dyDescent="0.3">
      <c r="A12" s="1"/>
      <c r="B12" s="5" t="s">
        <v>28</v>
      </c>
      <c r="C12" s="7">
        <f>COUNTIF(Table2[workclass],Sheet3!B12)</f>
        <v>70</v>
      </c>
      <c r="D12" s="7">
        <f>COUNTIFS(Table2[workclass],B12,Table2[income],1)</f>
        <v>58</v>
      </c>
      <c r="E12" s="1">
        <f>COUNTIFS(Table2[workclass],B12,Table2[income],0)</f>
        <v>12</v>
      </c>
      <c r="F12" s="2">
        <f t="shared" si="1"/>
        <v>0.66096233514420855</v>
      </c>
      <c r="G12" s="3"/>
    </row>
    <row r="13" spans="1:7" x14ac:dyDescent="0.3">
      <c r="A13" s="2"/>
      <c r="B13" s="5" t="s">
        <v>72</v>
      </c>
      <c r="C13" s="7">
        <f>COUNTIF(Table2[workclass],Sheet3!B13)</f>
        <v>2</v>
      </c>
      <c r="D13" s="7">
        <f>COUNTIFS(Table2[workclass],B13,Table2[income],1)</f>
        <v>1</v>
      </c>
      <c r="E13" s="1">
        <f>COUNTIFS(Table2[workclass],B13,Table2[income],0)</f>
        <v>1</v>
      </c>
      <c r="F13" s="2">
        <f t="shared" si="1"/>
        <v>1</v>
      </c>
      <c r="G13" s="3"/>
    </row>
    <row r="14" spans="1:7" x14ac:dyDescent="0.3">
      <c r="A14" s="3"/>
      <c r="B14" s="5" t="s">
        <v>24</v>
      </c>
      <c r="C14" s="7">
        <f>COUNTIF(Table2[workclass],Sheet3!B14)</f>
        <v>8</v>
      </c>
      <c r="D14" s="7">
        <f>COUNTIFS(Table2[workclass],B14,Table2[income],1)</f>
        <v>4</v>
      </c>
      <c r="E14" s="1">
        <f>COUNTIFS(Table2[workclass],B14,Table2[income],0)</f>
        <v>4</v>
      </c>
      <c r="F14" s="2">
        <f t="shared" si="1"/>
        <v>1</v>
      </c>
      <c r="G14" s="3"/>
    </row>
    <row r="15" spans="1:7" x14ac:dyDescent="0.3">
      <c r="A15" s="3"/>
      <c r="B15" s="5" t="s">
        <v>15</v>
      </c>
      <c r="C15" s="7">
        <f>COUNTIF(Table2[workclass],Sheet3!B15)</f>
        <v>4</v>
      </c>
      <c r="D15" s="7">
        <f>COUNTIFS(Table2[workclass],B15,Table2[income],1)</f>
        <v>3</v>
      </c>
      <c r="E15" s="1">
        <f>COUNTIFS(Table2[workclass],B15,Table2[income],0)</f>
        <v>1</v>
      </c>
      <c r="F15" s="2">
        <f t="shared" si="1"/>
        <v>0.81127812445913283</v>
      </c>
      <c r="G15" s="3"/>
    </row>
    <row r="16" spans="1:7" x14ac:dyDescent="0.3">
      <c r="A16" s="16" t="s">
        <v>16453</v>
      </c>
      <c r="B16" s="17"/>
      <c r="C16" s="17"/>
      <c r="D16" s="17"/>
      <c r="E16" s="17"/>
      <c r="F16" s="18"/>
      <c r="G16" s="12">
        <f>$F$3-C17/$C$3*F17-C18/$C$3*F18</f>
        <v>8.2205549920667809E-4</v>
      </c>
    </row>
    <row r="17" spans="1:7" x14ac:dyDescent="0.3">
      <c r="A17" s="3"/>
      <c r="B17" s="5" t="s">
        <v>16454</v>
      </c>
      <c r="C17" s="7">
        <f>COUNTIF(Table2[fnlwgt],"&lt;=300000")</f>
        <v>86</v>
      </c>
      <c r="D17" s="7">
        <f>COUNTIFS(Table2[fnlwgt],"&lt;=300000",Table2[income],1)</f>
        <v>64</v>
      </c>
      <c r="E17" s="1">
        <f>COUNTIFS(Table2[fnlwgt],"&lt;=300000",Table2[income],0)</f>
        <v>22</v>
      </c>
      <c r="F17" s="2">
        <f>(-D17/C17*LOG(D17/C17,2))+(-E17/C17*LOG(E17/C17,2))</f>
        <v>0.82036364295767317</v>
      </c>
      <c r="G17" s="3"/>
    </row>
    <row r="18" spans="1:7" x14ac:dyDescent="0.3">
      <c r="A18" s="3"/>
      <c r="B18" s="5" t="s">
        <v>16455</v>
      </c>
      <c r="C18" s="7">
        <f>COUNTIF(Table2[fnlwgt],"&gt;=300001")</f>
        <v>14</v>
      </c>
      <c r="D18" s="7">
        <f>COUNTIFS(Table2[fnlwgt],"&gt;=300001",Table2[income],1)</f>
        <v>11</v>
      </c>
      <c r="E18" s="1">
        <f>COUNTIFS(Table2[fnlwgt],"&gt;=300001",Table2[income],0)</f>
        <v>3</v>
      </c>
      <c r="F18" s="2">
        <f>(-D18/C18*LOG(D18/C18,2))+(-E18/C18*LOG(E18/C18,2))</f>
        <v>0.74959525725947995</v>
      </c>
      <c r="G18" s="3"/>
    </row>
    <row r="19" spans="1:7" x14ac:dyDescent="0.3">
      <c r="A19" s="16" t="s">
        <v>16456</v>
      </c>
      <c r="B19" s="17"/>
      <c r="C19" s="17"/>
      <c r="D19" s="17"/>
      <c r="E19" s="17"/>
      <c r="F19" s="18"/>
      <c r="G19" s="12">
        <f>$F$3-C20/$C$3*F20-C21/$C$3*F21-C22/$C$3*F22-C23/$C$3*F23-C24/$C$3*F24-C25/C3*F25-C26/C3*F26-C27/C3*F27-C28/C3*F28-C29/C3*F29-C30/C3*F30-C31/C3*F31-C32*C3*F32</f>
        <v>0.2163645400227889</v>
      </c>
    </row>
    <row r="20" spans="1:7" x14ac:dyDescent="0.3">
      <c r="A20" s="3"/>
      <c r="B20" s="5" t="s">
        <v>16</v>
      </c>
      <c r="C20" s="7">
        <f>COUNTIF(Table2[education],Sheet3!B20)</f>
        <v>17</v>
      </c>
      <c r="D20" s="7">
        <f>COUNTIFS(Table2[education],B20,Table2[income],1)</f>
        <v>10</v>
      </c>
      <c r="E20" s="1">
        <f>COUNTIFS(Table2[education],B20,Table2[income],0)</f>
        <v>7</v>
      </c>
      <c r="F20" s="2">
        <f>(-D20/C20*LOG(D20/C20,2))+(-E20/C20*LOG(E20/C20,2))</f>
        <v>0.97741781752817158</v>
      </c>
      <c r="G20" s="3"/>
    </row>
    <row r="21" spans="1:7" x14ac:dyDescent="0.3">
      <c r="A21" s="3"/>
      <c r="B21" s="15" t="s">
        <v>44</v>
      </c>
      <c r="C21" s="7">
        <f>COUNTIF(Table2[education],Sheet3!B21)</f>
        <v>20</v>
      </c>
      <c r="D21" s="7">
        <f>COUNTIFS(Table2[education],B21,Table2[income],1)</f>
        <v>14</v>
      </c>
      <c r="E21" s="1">
        <f>COUNTIFS(Table2[education],B21,Table2[income],0)</f>
        <v>6</v>
      </c>
      <c r="F21" s="2">
        <f t="shared" ref="F21:F28" si="2">(-D21/C21*LOG(D21/C21,2))+(-E21/C21*LOG(E21/C21,2))</f>
        <v>0.8812908992306927</v>
      </c>
      <c r="G21" s="3"/>
    </row>
    <row r="22" spans="1:7" x14ac:dyDescent="0.3">
      <c r="A22" s="3"/>
      <c r="B22" s="15" t="s">
        <v>32</v>
      </c>
      <c r="C22" s="7">
        <f>COUNTIF(Table2[education],Sheet3!B22)</f>
        <v>5</v>
      </c>
      <c r="D22" s="7">
        <f>COUNTIFS(Table2[education],B22,Table2[income],1)</f>
        <v>5</v>
      </c>
      <c r="E22" s="1">
        <f>COUNTIFS(Table2[education],B22,Table2[income],0)</f>
        <v>0</v>
      </c>
      <c r="F22" s="2">
        <v>0</v>
      </c>
      <c r="G22" s="3"/>
    </row>
    <row r="23" spans="1:7" x14ac:dyDescent="0.3">
      <c r="A23" s="3"/>
      <c r="B23" s="15" t="s">
        <v>29</v>
      </c>
      <c r="C23" s="7">
        <f>COUNTIF(Table2[education],Sheet3!B23)</f>
        <v>29</v>
      </c>
      <c r="D23" s="7">
        <f>COUNTIFS(Table2[education],B23,Table2[income],1)</f>
        <v>25</v>
      </c>
      <c r="E23" s="1">
        <f>COUNTIFS(Table2[education],B23,Table2[income],0)</f>
        <v>4</v>
      </c>
      <c r="F23" s="2">
        <f t="shared" si="2"/>
        <v>0.57879462463211984</v>
      </c>
      <c r="G23" s="3"/>
    </row>
    <row r="24" spans="1:7" x14ac:dyDescent="0.3">
      <c r="A24" s="3"/>
      <c r="B24" s="15" t="s">
        <v>48</v>
      </c>
      <c r="C24" s="7">
        <f>COUNTIF(Table2[education],Sheet3!B24)</f>
        <v>5</v>
      </c>
      <c r="D24" s="7">
        <f>COUNTIFS(Table2[education],B24,Table2[income],1)</f>
        <v>5</v>
      </c>
      <c r="E24" s="1">
        <f>COUNTIFS(Table2[education],B24,Table2[income],0)</f>
        <v>0</v>
      </c>
      <c r="F24" s="2">
        <v>0</v>
      </c>
      <c r="G24" s="3"/>
    </row>
    <row r="25" spans="1:7" x14ac:dyDescent="0.3">
      <c r="A25" s="3"/>
      <c r="B25" s="15" t="s">
        <v>50</v>
      </c>
      <c r="C25" s="7">
        <f>COUNTIF(Table2[education],Sheet3!B25)</f>
        <v>5</v>
      </c>
      <c r="D25" s="7">
        <f>COUNTIFS(Table2[education],B25,Table2[income],1)</f>
        <v>4</v>
      </c>
      <c r="E25" s="1">
        <f>COUNTIFS(Table2[education],B25,Table2[income],0)</f>
        <v>1</v>
      </c>
      <c r="F25" s="2">
        <f t="shared" si="2"/>
        <v>0.72192809488736231</v>
      </c>
      <c r="G25" s="3"/>
    </row>
    <row r="26" spans="1:7" x14ac:dyDescent="0.3">
      <c r="A26" s="3"/>
      <c r="B26" s="15" t="s">
        <v>39</v>
      </c>
      <c r="C26" s="7">
        <f>COUNTIF(Table2[education],Sheet3!B26)</f>
        <v>4</v>
      </c>
      <c r="D26" s="7">
        <f>COUNTIFS(Table2[education],B26,Table2[income],1)</f>
        <v>4</v>
      </c>
      <c r="E26" s="1">
        <f>COUNTIFS(Table2[education],B26,Table2[income],0)</f>
        <v>0</v>
      </c>
      <c r="F26" s="2">
        <v>0</v>
      </c>
      <c r="G26" s="3"/>
    </row>
    <row r="27" spans="1:7" x14ac:dyDescent="0.3">
      <c r="A27" s="3"/>
      <c r="B27" s="15" t="s">
        <v>53</v>
      </c>
      <c r="C27" s="7">
        <f>COUNTIF(Table2[education],Sheet3!B27)</f>
        <v>3</v>
      </c>
      <c r="D27" s="7">
        <f>COUNTIFS(Table2[education],B27,Table2[income],1)</f>
        <v>3</v>
      </c>
      <c r="E27" s="1">
        <f>COUNTIFS(Table2[education],B27,Table2[income],0)</f>
        <v>0</v>
      </c>
      <c r="F27" s="2">
        <v>0</v>
      </c>
      <c r="G27" s="3"/>
    </row>
    <row r="28" spans="1:7" x14ac:dyDescent="0.3">
      <c r="A28" s="3"/>
      <c r="B28" s="15" t="s">
        <v>38</v>
      </c>
      <c r="C28" s="7">
        <f>COUNTIF(Table2[education],Sheet3!B28)</f>
        <v>5</v>
      </c>
      <c r="D28" s="7">
        <f>COUNTIFS(Table2[education],B28,Table2[income],1)</f>
        <v>3</v>
      </c>
      <c r="E28" s="1">
        <f>COUNTIFS(Table2[education],B28,Table2[income],0)</f>
        <v>2</v>
      </c>
      <c r="F28" s="2">
        <f t="shared" si="2"/>
        <v>0.97095059445466858</v>
      </c>
      <c r="G28" s="3"/>
    </row>
    <row r="29" spans="1:7" x14ac:dyDescent="0.3">
      <c r="A29" s="3"/>
      <c r="B29" s="15" t="s">
        <v>75</v>
      </c>
      <c r="C29" s="7">
        <f>COUNTIF(Table2[education],Sheet3!B29)</f>
        <v>1</v>
      </c>
      <c r="D29" s="7">
        <f>COUNTIFS(Table2[education],B29,Table2[income],1)</f>
        <v>1</v>
      </c>
      <c r="E29" s="1">
        <f>COUNTIFS(Table2[education],B29,Table2[income],0)</f>
        <v>0</v>
      </c>
      <c r="F29" s="2">
        <v>0</v>
      </c>
      <c r="G29" s="3"/>
    </row>
    <row r="30" spans="1:7" x14ac:dyDescent="0.3">
      <c r="A30" s="3"/>
      <c r="B30" s="15" t="s">
        <v>60</v>
      </c>
      <c r="C30" s="7">
        <f>COUNTIF(Table2[education],Sheet3!B30)</f>
        <v>4</v>
      </c>
      <c r="D30" s="7">
        <f>COUNTIFS(Table2[education],B30,Table2[income],1)</f>
        <v>0</v>
      </c>
      <c r="E30" s="1">
        <f>COUNTIFS(Table2[education],B30,Table2[income],0)</f>
        <v>4</v>
      </c>
      <c r="F30" s="2">
        <v>0</v>
      </c>
      <c r="G30" s="3"/>
    </row>
    <row r="31" spans="1:7" x14ac:dyDescent="0.3">
      <c r="A31" s="3"/>
      <c r="B31" s="15" t="s">
        <v>73</v>
      </c>
      <c r="C31" s="7">
        <f>COUNTIF(Table2[education],Sheet3!B31)</f>
        <v>1</v>
      </c>
      <c r="D31" s="7">
        <f>COUNTIFS(Table2[education],B31,Table2[income],1)</f>
        <v>1</v>
      </c>
      <c r="E31" s="1">
        <f>COUNTIFS(Table2[education],B31,Table2[income],0)</f>
        <v>0</v>
      </c>
      <c r="F31" s="2">
        <v>0</v>
      </c>
      <c r="G31" s="3"/>
    </row>
    <row r="32" spans="1:7" x14ac:dyDescent="0.3">
      <c r="B32" s="25" t="s">
        <v>70</v>
      </c>
      <c r="C32" s="7">
        <f>COUNTIF(Table2[education],Sheet3!B32)</f>
        <v>1</v>
      </c>
      <c r="D32" s="7">
        <f>COUNTIFS(Table2[education],B32,Table2[income],1)</f>
        <v>0</v>
      </c>
      <c r="E32" s="1">
        <f>COUNTIFS(Table2[education],B32,Table2[income],0)</f>
        <v>1</v>
      </c>
      <c r="F32" s="2">
        <v>0</v>
      </c>
      <c r="G32" s="8"/>
    </row>
    <row r="33" spans="1:7" x14ac:dyDescent="0.3">
      <c r="A33" s="16" t="s">
        <v>16457</v>
      </c>
      <c r="B33" s="17"/>
      <c r="C33" s="17"/>
      <c r="D33" s="17"/>
      <c r="E33" s="17"/>
      <c r="F33" s="18"/>
      <c r="G33" s="12">
        <f>$F$3-C34/$C$3*F34-C35/$C$3*F35-C36/$C$3*F36-C37/$C$3*F37-C38/$C$3*F38-C39/C3*F39</f>
        <v>7.3559698622804218E-2</v>
      </c>
    </row>
    <row r="34" spans="1:7" x14ac:dyDescent="0.3">
      <c r="A34" s="3"/>
      <c r="B34" s="5" t="s">
        <v>25</v>
      </c>
      <c r="C34" s="7">
        <f>COUNTIF(Table2[marital-status],Sheet3!B34)</f>
        <v>55</v>
      </c>
      <c r="D34" s="7">
        <f>COUNTIFS(Table2[marital-status],B34,Table2[income],1)</f>
        <v>35</v>
      </c>
      <c r="E34" s="1">
        <f>COUNTIFS(Table2[marital-status],B34,Table2[income],0)</f>
        <v>20</v>
      </c>
      <c r="F34" s="2">
        <f>(-D34/C34*LOG(D34/C34,2))+(-E34/C34*LOG(E34/C34,2))</f>
        <v>0.94566030460064021</v>
      </c>
      <c r="G34" s="3"/>
    </row>
    <row r="35" spans="1:7" x14ac:dyDescent="0.3">
      <c r="A35" s="3"/>
      <c r="B35" s="5" t="s">
        <v>30</v>
      </c>
      <c r="C35" s="7">
        <f>COUNTIF(Table2[marital-status],Sheet3!B35)</f>
        <v>15</v>
      </c>
      <c r="D35" s="7">
        <f>COUNTIFS(Table2[marital-status],B35,Table2[income],1)</f>
        <v>12</v>
      </c>
      <c r="E35" s="1">
        <f>COUNTIFS(Table2[marital-status],B35,Table2[income],0)</f>
        <v>3</v>
      </c>
      <c r="F35" s="2">
        <f t="shared" ref="F35:F36" si="3">(-D35/C35*LOG(D35/C35,2))+(-E35/C35*LOG(E35/C35,2))</f>
        <v>0.72192809488736231</v>
      </c>
      <c r="G35" s="3"/>
    </row>
    <row r="36" spans="1:7" x14ac:dyDescent="0.3">
      <c r="A36" s="3"/>
      <c r="B36" s="5" t="s">
        <v>17</v>
      </c>
      <c r="C36" s="7">
        <f>COUNTIF(Table2[marital-status],Sheet3!B36)</f>
        <v>24</v>
      </c>
      <c r="D36" s="7">
        <f>COUNTIFS(Table2[marital-status],B36,Table2[income],1)</f>
        <v>22</v>
      </c>
      <c r="E36" s="1">
        <f>COUNTIFS(Table2[marital-status],B36,Table2[income],0)</f>
        <v>2</v>
      </c>
      <c r="F36" s="2">
        <f t="shared" si="3"/>
        <v>0.41381685030363374</v>
      </c>
      <c r="G36" s="3"/>
    </row>
    <row r="37" spans="1:7" x14ac:dyDescent="0.3">
      <c r="A37" s="3"/>
      <c r="B37" s="5" t="s">
        <v>61</v>
      </c>
      <c r="C37" s="7">
        <f>COUNTIF(Table2[marital-status],Sheet3!B37)</f>
        <v>3</v>
      </c>
      <c r="D37" s="7">
        <f>COUNTIFS(Table2[marital-status],B37,Table2[income],1)</f>
        <v>3</v>
      </c>
      <c r="E37" s="1">
        <f>COUNTIFS(Table2[marital-status],B37,Table2[income],0)</f>
        <v>0</v>
      </c>
      <c r="F37" s="2">
        <v>0</v>
      </c>
      <c r="G37" s="3"/>
    </row>
    <row r="38" spans="1:7" x14ac:dyDescent="0.3">
      <c r="A38" s="5"/>
      <c r="B38" s="5" t="s">
        <v>40</v>
      </c>
      <c r="C38" s="7">
        <f>COUNTIF(Table2[marital-status],Sheet3!B38)</f>
        <v>2</v>
      </c>
      <c r="D38" s="7">
        <f>COUNTIFS(Table2[marital-status],B38,Table2[income],1)</f>
        <v>2</v>
      </c>
      <c r="E38" s="1">
        <f>COUNTIFS(Table2[marital-status],B38,Table2[income],0)</f>
        <v>0</v>
      </c>
      <c r="F38" s="2">
        <v>0</v>
      </c>
      <c r="G38" s="3"/>
    </row>
    <row r="39" spans="1:7" x14ac:dyDescent="0.3">
      <c r="A39" s="8"/>
      <c r="B39" s="13" t="s">
        <v>68</v>
      </c>
      <c r="C39" s="7">
        <f>COUNTIF(Table2[marital-status],Sheet3!B39)</f>
        <v>1</v>
      </c>
      <c r="D39" s="7">
        <f>COUNTIFS(Table2[marital-status],B39,Table2[income],1)</f>
        <v>1</v>
      </c>
      <c r="E39" s="1">
        <f>COUNTIFS(Table2[marital-status],B39,Table2[income],0)</f>
        <v>0</v>
      </c>
      <c r="F39" s="2">
        <v>1</v>
      </c>
      <c r="G39" s="8"/>
    </row>
  </sheetData>
  <mergeCells count="6">
    <mergeCell ref="A33:F33"/>
    <mergeCell ref="A1:G1"/>
    <mergeCell ref="A4:F4"/>
    <mergeCell ref="A8:F8"/>
    <mergeCell ref="A16:F16"/>
    <mergeCell ref="A19:F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43B7E6-1002-48FE-9F04-C4743E7358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Data_Fiks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habban haz</dc:creator>
  <cp:lastModifiedBy>habban haz</cp:lastModifiedBy>
  <dcterms:created xsi:type="dcterms:W3CDTF">2024-06-29T13:24:01Z</dcterms:created>
  <dcterms:modified xsi:type="dcterms:W3CDTF">2024-06-29T22:44:29Z</dcterms:modified>
</cp:coreProperties>
</file>