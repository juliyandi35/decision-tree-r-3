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 SAYID RIDHO\Downloads\data mining\"/>
    </mc:Choice>
  </mc:AlternateContent>
  <bookViews>
    <workbookView xWindow="0" yWindow="0" windowWidth="9684" windowHeight="4692" firstSheet="5" activeTab="6"/>
  </bookViews>
  <sheets>
    <sheet name="data awal" sheetId="5" r:id="rId1"/>
    <sheet name="keterangan" sheetId="6" r:id="rId2"/>
    <sheet name="dataset" sheetId="1" r:id="rId3"/>
    <sheet name="skala liket" sheetId="2" r:id="rId4"/>
    <sheet name="proses" sheetId="3" r:id="rId5"/>
    <sheet name="Algoritma C4.5 &amp; Entropi, Gain" sheetId="4" r:id="rId6"/>
    <sheet name="link data" sheetId="7" r:id="rId7"/>
  </sheets>
  <definedNames>
    <definedName name="_xlnm._FilterDatabase" localSheetId="3" hidden="1">'skala liket'!$G$32:$L$132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4" i="4" l="1"/>
  <c r="C163" i="4"/>
  <c r="D164" i="4" s="1"/>
  <c r="C162" i="4"/>
  <c r="D162" i="4" s="1"/>
  <c r="B162" i="4"/>
  <c r="E162" i="4" s="1"/>
  <c r="D160" i="4"/>
  <c r="E160" i="4" s="1"/>
  <c r="B160" i="4"/>
  <c r="C159" i="4"/>
  <c r="D158" i="4"/>
  <c r="C158" i="4"/>
  <c r="B158" i="4"/>
  <c r="E158" i="4" s="1"/>
  <c r="F159" i="4" s="1"/>
  <c r="F37" i="4" s="1"/>
  <c r="C156" i="4"/>
  <c r="D156" i="4" s="1"/>
  <c r="B156" i="4"/>
  <c r="E156" i="4" s="1"/>
  <c r="C155" i="4"/>
  <c r="C154" i="4"/>
  <c r="D154" i="4" s="1"/>
  <c r="E154" i="4" s="1"/>
  <c r="B154" i="4"/>
  <c r="C152" i="4"/>
  <c r="D152" i="4" s="1"/>
  <c r="B152" i="4"/>
  <c r="C151" i="4"/>
  <c r="C150" i="4"/>
  <c r="D150" i="4" s="1"/>
  <c r="B150" i="4"/>
  <c r="E150" i="4" s="1"/>
  <c r="D148" i="4"/>
  <c r="C148" i="4"/>
  <c r="B148" i="4"/>
  <c r="E148" i="4" s="1"/>
  <c r="C147" i="4"/>
  <c r="C146" i="4"/>
  <c r="D146" i="4" s="1"/>
  <c r="B146" i="4"/>
  <c r="E146" i="4" s="1"/>
  <c r="F147" i="4" s="1"/>
  <c r="F34" i="4" s="1"/>
  <c r="D144" i="4"/>
  <c r="C144" i="4"/>
  <c r="B144" i="4"/>
  <c r="E144" i="4" s="1"/>
  <c r="C143" i="4"/>
  <c r="D142" i="4"/>
  <c r="B142" i="4"/>
  <c r="E142" i="4" s="1"/>
  <c r="F143" i="4" s="1"/>
  <c r="F32" i="4" s="1"/>
  <c r="D140" i="4"/>
  <c r="E140" i="4" s="1"/>
  <c r="B140" i="4"/>
  <c r="C139" i="4"/>
  <c r="D138" i="4"/>
  <c r="C138" i="4"/>
  <c r="B138" i="4"/>
  <c r="E138" i="4" s="1"/>
  <c r="F139" i="4" s="1"/>
  <c r="F31" i="4" s="1"/>
  <c r="D136" i="4"/>
  <c r="C136" i="4"/>
  <c r="B136" i="4"/>
  <c r="E136" i="4" s="1"/>
  <c r="C135" i="4"/>
  <c r="D134" i="4" s="1"/>
  <c r="E134" i="4" s="1"/>
  <c r="F135" i="4" s="1"/>
  <c r="F30" i="4" s="1"/>
  <c r="B134" i="4"/>
  <c r="E132" i="4"/>
  <c r="D132" i="4"/>
  <c r="B132" i="4"/>
  <c r="C131" i="4"/>
  <c r="C130" i="4"/>
  <c r="D130" i="4" s="1"/>
  <c r="B130" i="4"/>
  <c r="D128" i="4"/>
  <c r="E128" i="4" s="1"/>
  <c r="C128" i="4"/>
  <c r="B128" i="4"/>
  <c r="C127" i="4"/>
  <c r="C126" i="4"/>
  <c r="D126" i="4" s="1"/>
  <c r="E126" i="4" s="1"/>
  <c r="F127" i="4" s="1"/>
  <c r="F28" i="4" s="1"/>
  <c r="B126" i="4"/>
  <c r="B124" i="4"/>
  <c r="N123" i="4"/>
  <c r="N30" i="4" s="1"/>
  <c r="K123" i="4"/>
  <c r="L122" i="4" s="1"/>
  <c r="C123" i="4"/>
  <c r="D124" i="4" s="1"/>
  <c r="E124" i="4" s="1"/>
  <c r="C122" i="4"/>
  <c r="D122" i="4" s="1"/>
  <c r="B122" i="4"/>
  <c r="J120" i="4"/>
  <c r="B120" i="4"/>
  <c r="K119" i="4"/>
  <c r="L118" i="4" s="1"/>
  <c r="M118" i="4" s="1"/>
  <c r="C119" i="4"/>
  <c r="D118" i="4" s="1"/>
  <c r="E118" i="4" s="1"/>
  <c r="K118" i="4"/>
  <c r="J118" i="4"/>
  <c r="C118" i="4"/>
  <c r="B118" i="4"/>
  <c r="K116" i="4"/>
  <c r="L116" i="4" s="1"/>
  <c r="J116" i="4"/>
  <c r="D116" i="4"/>
  <c r="C116" i="4"/>
  <c r="B116" i="4"/>
  <c r="E116" i="4" s="1"/>
  <c r="K115" i="4"/>
  <c r="C115" i="4"/>
  <c r="M114" i="4"/>
  <c r="L114" i="4"/>
  <c r="K114" i="4"/>
  <c r="J114" i="4"/>
  <c r="C114" i="4"/>
  <c r="D114" i="4" s="1"/>
  <c r="B114" i="4"/>
  <c r="L112" i="4"/>
  <c r="K112" i="4"/>
  <c r="J112" i="4"/>
  <c r="M112" i="4" s="1"/>
  <c r="E112" i="4"/>
  <c r="D112" i="4"/>
  <c r="B112" i="4"/>
  <c r="K111" i="4"/>
  <c r="C111" i="4"/>
  <c r="K110" i="4"/>
  <c r="L110" i="4" s="1"/>
  <c r="J110" i="4"/>
  <c r="M110" i="4" s="1"/>
  <c r="N111" i="4" s="1"/>
  <c r="N27" i="4" s="1"/>
  <c r="C110" i="4"/>
  <c r="D110" i="4" s="1"/>
  <c r="B110" i="4"/>
  <c r="L108" i="4"/>
  <c r="M108" i="4" s="1"/>
  <c r="K108" i="4"/>
  <c r="J108" i="4"/>
  <c r="C108" i="4"/>
  <c r="D108" i="4" s="1"/>
  <c r="B108" i="4"/>
  <c r="K107" i="4"/>
  <c r="C107" i="4"/>
  <c r="K106" i="4"/>
  <c r="L106" i="4" s="1"/>
  <c r="J106" i="4"/>
  <c r="D106" i="4"/>
  <c r="E106" i="4" s="1"/>
  <c r="C106" i="4"/>
  <c r="B106" i="4"/>
  <c r="K104" i="4"/>
  <c r="L104" i="4" s="1"/>
  <c r="J104" i="4"/>
  <c r="M104" i="4" s="1"/>
  <c r="B104" i="4"/>
  <c r="K103" i="4"/>
  <c r="C103" i="4"/>
  <c r="D104" i="4" s="1"/>
  <c r="K102" i="4"/>
  <c r="L102" i="4" s="1"/>
  <c r="M102" i="4" s="1"/>
  <c r="N103" i="4" s="1"/>
  <c r="N24" i="4" s="1"/>
  <c r="J102" i="4"/>
  <c r="C102" i="4"/>
  <c r="D102" i="4" s="1"/>
  <c r="B102" i="4"/>
  <c r="K100" i="4"/>
  <c r="J100" i="4"/>
  <c r="C100" i="4"/>
  <c r="D100" i="4" s="1"/>
  <c r="B100" i="4"/>
  <c r="K99" i="4"/>
  <c r="L100" i="4" s="1"/>
  <c r="C99" i="4"/>
  <c r="K98" i="4"/>
  <c r="L98" i="4" s="1"/>
  <c r="J98" i="4"/>
  <c r="M98" i="4" s="1"/>
  <c r="D98" i="4"/>
  <c r="C98" i="4"/>
  <c r="B98" i="4"/>
  <c r="E98" i="4" s="1"/>
  <c r="K96" i="4"/>
  <c r="L96" i="4" s="1"/>
  <c r="J96" i="4"/>
  <c r="M96" i="4" s="1"/>
  <c r="C96" i="4"/>
  <c r="D96" i="4" s="1"/>
  <c r="E96" i="4" s="1"/>
  <c r="B96" i="4"/>
  <c r="K95" i="4"/>
  <c r="C95" i="4"/>
  <c r="L94" i="4"/>
  <c r="K94" i="4"/>
  <c r="J94" i="4"/>
  <c r="M94" i="4" s="1"/>
  <c r="C94" i="4"/>
  <c r="D94" i="4" s="1"/>
  <c r="B94" i="4"/>
  <c r="K92" i="4"/>
  <c r="L92" i="4" s="1"/>
  <c r="M92" i="4" s="1"/>
  <c r="J92" i="4"/>
  <c r="C92" i="4"/>
  <c r="D92" i="4" s="1"/>
  <c r="B92" i="4"/>
  <c r="E92" i="4" s="1"/>
  <c r="K91" i="4"/>
  <c r="C91" i="4"/>
  <c r="K90" i="4"/>
  <c r="L90" i="4" s="1"/>
  <c r="J90" i="4"/>
  <c r="C90" i="4"/>
  <c r="D90" i="4" s="1"/>
  <c r="E90" i="4" s="1"/>
  <c r="B90" i="4"/>
  <c r="K88" i="4"/>
  <c r="L88" i="4" s="1"/>
  <c r="J88" i="4"/>
  <c r="M88" i="4" s="1"/>
  <c r="C88" i="4"/>
  <c r="B88" i="4"/>
  <c r="E88" i="4" s="1"/>
  <c r="K87" i="4"/>
  <c r="C87" i="4"/>
  <c r="D88" i="4" s="1"/>
  <c r="K86" i="4"/>
  <c r="L86" i="4" s="1"/>
  <c r="M86" i="4" s="1"/>
  <c r="N87" i="4" s="1"/>
  <c r="N20" i="4" s="1"/>
  <c r="J86" i="4"/>
  <c r="C86" i="4"/>
  <c r="D86" i="4" s="1"/>
  <c r="B86" i="4"/>
  <c r="E86" i="4" s="1"/>
  <c r="F87" i="4" s="1"/>
  <c r="F17" i="4" s="1"/>
  <c r="K84" i="4"/>
  <c r="J84" i="4"/>
  <c r="M84" i="4" s="1"/>
  <c r="C84" i="4"/>
  <c r="D84" i="4" s="1"/>
  <c r="B84" i="4"/>
  <c r="K83" i="4"/>
  <c r="L84" i="4" s="1"/>
  <c r="C83" i="4"/>
  <c r="K82" i="4"/>
  <c r="L82" i="4" s="1"/>
  <c r="J82" i="4"/>
  <c r="D82" i="4"/>
  <c r="C82" i="4"/>
  <c r="B82" i="4"/>
  <c r="E82" i="4" s="1"/>
  <c r="K80" i="4"/>
  <c r="L80" i="4" s="1"/>
  <c r="J80" i="4"/>
  <c r="M80" i="4" s="1"/>
  <c r="C80" i="4"/>
  <c r="D80" i="4" s="1"/>
  <c r="E80" i="4" s="1"/>
  <c r="B80" i="4"/>
  <c r="K79" i="4"/>
  <c r="C79" i="4"/>
  <c r="L78" i="4"/>
  <c r="K78" i="4"/>
  <c r="J78" i="4"/>
  <c r="M78" i="4" s="1"/>
  <c r="C78" i="4"/>
  <c r="D78" i="4" s="1"/>
  <c r="B78" i="4"/>
  <c r="K76" i="4"/>
  <c r="L76" i="4" s="1"/>
  <c r="M76" i="4" s="1"/>
  <c r="J76" i="4"/>
  <c r="C76" i="4"/>
  <c r="D76" i="4" s="1"/>
  <c r="B76" i="4"/>
  <c r="E76" i="4" s="1"/>
  <c r="K75" i="4"/>
  <c r="C75" i="4"/>
  <c r="K74" i="4"/>
  <c r="L74" i="4" s="1"/>
  <c r="J74" i="4"/>
  <c r="C74" i="4"/>
  <c r="D74" i="4" s="1"/>
  <c r="E74" i="4" s="1"/>
  <c r="F75" i="4" s="1"/>
  <c r="F13" i="4" s="1"/>
  <c r="B74" i="4"/>
  <c r="K72" i="4"/>
  <c r="L72" i="4" s="1"/>
  <c r="J72" i="4"/>
  <c r="M72" i="4" s="1"/>
  <c r="C72" i="4"/>
  <c r="B72" i="4"/>
  <c r="E72" i="4" s="1"/>
  <c r="K71" i="4"/>
  <c r="C71" i="4"/>
  <c r="D72" i="4" s="1"/>
  <c r="K70" i="4"/>
  <c r="L70" i="4" s="1"/>
  <c r="M70" i="4" s="1"/>
  <c r="J70" i="4"/>
  <c r="C70" i="4"/>
  <c r="D70" i="4" s="1"/>
  <c r="B70" i="4"/>
  <c r="E70" i="4" s="1"/>
  <c r="F71" i="4" s="1"/>
  <c r="F12" i="4" s="1"/>
  <c r="K68" i="4"/>
  <c r="J68" i="4"/>
  <c r="C68" i="4"/>
  <c r="D68" i="4" s="1"/>
  <c r="B68" i="4"/>
  <c r="K67" i="4"/>
  <c r="L68" i="4" s="1"/>
  <c r="C67" i="4"/>
  <c r="K66" i="4"/>
  <c r="L66" i="4" s="1"/>
  <c r="J66" i="4"/>
  <c r="M66" i="4" s="1"/>
  <c r="D66" i="4"/>
  <c r="C66" i="4"/>
  <c r="B66" i="4"/>
  <c r="E66" i="4" s="1"/>
  <c r="K64" i="4"/>
  <c r="L64" i="4" s="1"/>
  <c r="J64" i="4"/>
  <c r="M64" i="4" s="1"/>
  <c r="C64" i="4"/>
  <c r="D64" i="4" s="1"/>
  <c r="E64" i="4" s="1"/>
  <c r="B64" i="4"/>
  <c r="K63" i="4"/>
  <c r="C63" i="4"/>
  <c r="L62" i="4"/>
  <c r="K62" i="4"/>
  <c r="J62" i="4"/>
  <c r="M62" i="4" s="1"/>
  <c r="N63" i="4" s="1"/>
  <c r="N12" i="4" s="1"/>
  <c r="C62" i="4"/>
  <c r="D62" i="4" s="1"/>
  <c r="B62" i="4"/>
  <c r="K60" i="4"/>
  <c r="L60" i="4" s="1"/>
  <c r="M60" i="4" s="1"/>
  <c r="J60" i="4"/>
  <c r="C60" i="4"/>
  <c r="D60" i="4" s="1"/>
  <c r="B60" i="4"/>
  <c r="K59" i="4"/>
  <c r="C59" i="4"/>
  <c r="K58" i="4"/>
  <c r="L58" i="4" s="1"/>
  <c r="J58" i="4"/>
  <c r="C58" i="4"/>
  <c r="D58" i="4" s="1"/>
  <c r="E58" i="4" s="1"/>
  <c r="B58" i="4"/>
  <c r="K56" i="4"/>
  <c r="L56" i="4" s="1"/>
  <c r="J56" i="4"/>
  <c r="M56" i="4" s="1"/>
  <c r="C56" i="4"/>
  <c r="B56" i="4"/>
  <c r="K55" i="4"/>
  <c r="C55" i="4"/>
  <c r="D56" i="4" s="1"/>
  <c r="K54" i="4"/>
  <c r="L54" i="4" s="1"/>
  <c r="M54" i="4" s="1"/>
  <c r="N55" i="4" s="1"/>
  <c r="N10" i="4" s="1"/>
  <c r="J54" i="4"/>
  <c r="C54" i="4"/>
  <c r="D54" i="4" s="1"/>
  <c r="B54" i="4"/>
  <c r="K52" i="4"/>
  <c r="J52" i="4"/>
  <c r="C52" i="4"/>
  <c r="D52" i="4" s="1"/>
  <c r="B52" i="4"/>
  <c r="K51" i="4"/>
  <c r="L52" i="4" s="1"/>
  <c r="C51" i="4"/>
  <c r="K50" i="4"/>
  <c r="L50" i="4" s="1"/>
  <c r="J50" i="4"/>
  <c r="M50" i="4" s="1"/>
  <c r="C50" i="4"/>
  <c r="D50" i="4" s="1"/>
  <c r="B50" i="4"/>
  <c r="K48" i="4"/>
  <c r="L48" i="4" s="1"/>
  <c r="J48" i="4"/>
  <c r="C48" i="4"/>
  <c r="D48" i="4" s="1"/>
  <c r="E48" i="4" s="1"/>
  <c r="B48" i="4"/>
  <c r="K47" i="4"/>
  <c r="C47" i="4"/>
  <c r="L46" i="4"/>
  <c r="K46" i="4"/>
  <c r="J46" i="4"/>
  <c r="M46" i="4" s="1"/>
  <c r="C46" i="4"/>
  <c r="D46" i="4" s="1"/>
  <c r="B46" i="4"/>
  <c r="E46" i="4" s="1"/>
  <c r="K44" i="4"/>
  <c r="L44" i="4" s="1"/>
  <c r="M44" i="4" s="1"/>
  <c r="J44" i="4"/>
  <c r="C44" i="4"/>
  <c r="D44" i="4" s="1"/>
  <c r="B44" i="4"/>
  <c r="E44" i="4" s="1"/>
  <c r="K43" i="4"/>
  <c r="C43" i="4"/>
  <c r="K42" i="4"/>
  <c r="L42" i="4" s="1"/>
  <c r="J42" i="4"/>
  <c r="M42" i="4" s="1"/>
  <c r="N43" i="4" s="1"/>
  <c r="N6" i="4" s="1"/>
  <c r="C42" i="4"/>
  <c r="D42" i="4" s="1"/>
  <c r="E42" i="4" s="1"/>
  <c r="F43" i="4" s="1"/>
  <c r="F3" i="4" s="1"/>
  <c r="B42" i="4"/>
  <c r="K40" i="4"/>
  <c r="L40" i="4" s="1"/>
  <c r="J40" i="4"/>
  <c r="K39" i="4"/>
  <c r="K38" i="4"/>
  <c r="L38" i="4" s="1"/>
  <c r="J38" i="4"/>
  <c r="M38" i="4" s="1"/>
  <c r="K36" i="4"/>
  <c r="L36" i="4" s="1"/>
  <c r="M36" i="4" s="1"/>
  <c r="J36" i="4"/>
  <c r="K35" i="4"/>
  <c r="L34" i="4" s="1"/>
  <c r="K34" i="4"/>
  <c r="J34" i="4"/>
  <c r="M34" i="4" s="1"/>
  <c r="N35" i="4" s="1"/>
  <c r="N3" i="4" s="1"/>
  <c r="G7" i="2"/>
  <c r="G8" i="2" s="1"/>
  <c r="F7" i="2"/>
  <c r="F8" i="2" s="1"/>
  <c r="E7" i="2"/>
  <c r="E8" i="2" s="1"/>
  <c r="D7" i="2"/>
  <c r="D8" i="2" s="1"/>
  <c r="C7" i="2"/>
  <c r="C8" i="2" s="1"/>
  <c r="B7" i="2"/>
  <c r="B8" i="2" s="1"/>
  <c r="G6" i="2"/>
  <c r="F6" i="2"/>
  <c r="E6" i="2"/>
  <c r="D6" i="2"/>
  <c r="C6" i="2"/>
  <c r="B6" i="2"/>
  <c r="G4" i="2"/>
  <c r="F4" i="2"/>
  <c r="E4" i="2"/>
  <c r="D4" i="2"/>
  <c r="C4" i="2"/>
  <c r="B4" i="2"/>
  <c r="E50" i="4" l="1"/>
  <c r="F51" i="4" s="1"/>
  <c r="F6" i="4" s="1"/>
  <c r="M48" i="4"/>
  <c r="N47" i="4" s="1"/>
  <c r="N7" i="4" s="1"/>
  <c r="E110" i="4"/>
  <c r="F111" i="4" s="1"/>
  <c r="F24" i="4" s="1"/>
  <c r="F155" i="4"/>
  <c r="F36" i="4" s="1"/>
  <c r="E62" i="4"/>
  <c r="F63" i="4" s="1"/>
  <c r="F10" i="4" s="1"/>
  <c r="E104" i="4"/>
  <c r="E122" i="4"/>
  <c r="F123" i="4" s="1"/>
  <c r="F27" i="4" s="1"/>
  <c r="B172" i="4"/>
  <c r="G16" i="4" s="1"/>
  <c r="N67" i="4"/>
  <c r="N13" i="4" s="1"/>
  <c r="E56" i="4"/>
  <c r="E68" i="4"/>
  <c r="F67" i="4" s="1"/>
  <c r="F11" i="4" s="1"/>
  <c r="M74" i="4"/>
  <c r="N75" i="4" s="1"/>
  <c r="N15" i="4" s="1"/>
  <c r="M68" i="4"/>
  <c r="E94" i="4"/>
  <c r="F95" i="4" s="1"/>
  <c r="F20" i="4" s="1"/>
  <c r="B174" i="4" s="1"/>
  <c r="G19" i="4" s="1"/>
  <c r="F107" i="4"/>
  <c r="F23" i="4" s="1"/>
  <c r="F47" i="4"/>
  <c r="F5" i="4" s="1"/>
  <c r="N95" i="4"/>
  <c r="N22" i="4" s="1"/>
  <c r="E100" i="4"/>
  <c r="F99" i="4" s="1"/>
  <c r="F21" i="4" s="1"/>
  <c r="M106" i="4"/>
  <c r="N107" i="4" s="1"/>
  <c r="N26" i="4" s="1"/>
  <c r="M116" i="4"/>
  <c r="N115" i="4" s="1"/>
  <c r="N28" i="4" s="1"/>
  <c r="E52" i="4"/>
  <c r="M58" i="4"/>
  <c r="N59" i="4" s="1"/>
  <c r="N11" i="4" s="1"/>
  <c r="M82" i="4"/>
  <c r="N83" i="4" s="1"/>
  <c r="N18" i="4" s="1"/>
  <c r="J132" i="4" s="1"/>
  <c r="O16" i="4" s="1"/>
  <c r="M100" i="4"/>
  <c r="N99" i="4" s="1"/>
  <c r="N23" i="4" s="1"/>
  <c r="N71" i="4"/>
  <c r="N14" i="4" s="1"/>
  <c r="F163" i="4"/>
  <c r="F38" i="4" s="1"/>
  <c r="M40" i="4"/>
  <c r="N39" i="4" s="1"/>
  <c r="N5" i="4" s="1"/>
  <c r="J128" i="4" s="1"/>
  <c r="O4" i="4" s="1"/>
  <c r="M52" i="4"/>
  <c r="N51" i="4" s="1"/>
  <c r="N9" i="4" s="1"/>
  <c r="J130" i="4" s="1"/>
  <c r="O8" i="4" s="1"/>
  <c r="E78" i="4"/>
  <c r="F79" i="4" s="1"/>
  <c r="F14" i="4" s="1"/>
  <c r="E102" i="4"/>
  <c r="F103" i="4" s="1"/>
  <c r="F22" i="4" s="1"/>
  <c r="E108" i="4"/>
  <c r="F91" i="4"/>
  <c r="F18" i="4" s="1"/>
  <c r="E114" i="4"/>
  <c r="F115" i="4" s="1"/>
  <c r="F25" i="4" s="1"/>
  <c r="E54" i="4"/>
  <c r="F55" i="4" s="1"/>
  <c r="F7" i="4" s="1"/>
  <c r="E60" i="4"/>
  <c r="F59" i="4" s="1"/>
  <c r="F9" i="4" s="1"/>
  <c r="N79" i="4"/>
  <c r="N17" i="4" s="1"/>
  <c r="E84" i="4"/>
  <c r="F83" i="4" s="1"/>
  <c r="F15" i="4" s="1"/>
  <c r="M90" i="4"/>
  <c r="N91" i="4" s="1"/>
  <c r="N21" i="4" s="1"/>
  <c r="E130" i="4"/>
  <c r="F131" i="4" s="1"/>
  <c r="F29" i="4" s="1"/>
  <c r="E152" i="4"/>
  <c r="F151" i="4" s="1"/>
  <c r="F35" i="4" s="1"/>
  <c r="B176" i="4" s="1"/>
  <c r="G33" i="4" s="1"/>
  <c r="E164" i="4"/>
  <c r="D120" i="4"/>
  <c r="E120" i="4" s="1"/>
  <c r="F119" i="4" s="1"/>
  <c r="F26" i="4" s="1"/>
  <c r="L124" i="4"/>
  <c r="L120" i="4"/>
  <c r="M120" i="4" s="1"/>
  <c r="N119" i="4" s="1"/>
  <c r="N29" i="4" s="1"/>
  <c r="J136" i="4" s="1"/>
  <c r="O25" i="4" s="1"/>
  <c r="B168" i="4" l="1"/>
  <c r="G4" i="4" s="1"/>
  <c r="J134" i="4"/>
  <c r="O19" i="4" s="1"/>
  <c r="B170" i="4"/>
  <c r="G8" i="4" s="1"/>
</calcChain>
</file>

<file path=xl/sharedStrings.xml><?xml version="1.0" encoding="utf-8"?>
<sst xmlns="http://schemas.openxmlformats.org/spreadsheetml/2006/main" count="2971" uniqueCount="235">
  <si>
    <t>Age</t>
  </si>
  <si>
    <t>Work_Class</t>
  </si>
  <si>
    <t>Final_Weight</t>
  </si>
  <si>
    <t>Education</t>
  </si>
  <si>
    <t>Marital_Status</t>
  </si>
  <si>
    <t>Income</t>
  </si>
  <si>
    <t>Middle-aged</t>
  </si>
  <si>
    <t xml:space="preserve"> State-gov</t>
  </si>
  <si>
    <t>Low Weight</t>
  </si>
  <si>
    <t xml:space="preserve"> Bachelors</t>
  </si>
  <si>
    <t xml:space="preserve"> Never-married</t>
  </si>
  <si>
    <t xml:space="preserve"> &lt;=50K</t>
  </si>
  <si>
    <t xml:space="preserve"> Self-emp-not-inc</t>
  </si>
  <si>
    <t xml:space="preserve"> Married-civ-spouse</t>
  </si>
  <si>
    <t>Senior</t>
  </si>
  <si>
    <t xml:space="preserve"> Private</t>
  </si>
  <si>
    <t xml:space="preserve"> HS-grad</t>
  </si>
  <si>
    <t xml:space="preserve"> Divorced</t>
  </si>
  <si>
    <t>Young Adult</t>
  </si>
  <si>
    <t xml:space="preserve"> 11th</t>
  </si>
  <si>
    <t>Medium Weight</t>
  </si>
  <si>
    <t xml:space="preserve"> Masters</t>
  </si>
  <si>
    <t>?</t>
  </si>
  <si>
    <t xml:space="preserve"> 9th</t>
  </si>
  <si>
    <t xml:space="preserve"> Married-spouse-absent</t>
  </si>
  <si>
    <t>Federal-gov</t>
  </si>
  <si>
    <t xml:space="preserve"> &gt;50K</t>
  </si>
  <si>
    <t>Local-gov</t>
  </si>
  <si>
    <t>Private</t>
  </si>
  <si>
    <t>Self-emp-inc</t>
  </si>
  <si>
    <t xml:space="preserve"> Some-college</t>
  </si>
  <si>
    <t>Self-emp-not-inc</t>
  </si>
  <si>
    <t>State-gov</t>
  </si>
  <si>
    <t xml:space="preserve"> Assoc-acdm</t>
  </si>
  <si>
    <t xml:space="preserve"> Assoc-voc</t>
  </si>
  <si>
    <t xml:space="preserve"> 7th-8th</t>
  </si>
  <si>
    <t>Bachelors</t>
  </si>
  <si>
    <t>Some-college</t>
  </si>
  <si>
    <t>11th</t>
  </si>
  <si>
    <t xml:space="preserve"> Doctorate</t>
  </si>
  <si>
    <t>HS-grad</t>
  </si>
  <si>
    <t xml:space="preserve"> Separated</t>
  </si>
  <si>
    <t>Assoc-acdm</t>
  </si>
  <si>
    <t xml:space="preserve"> Federal-gov</t>
  </si>
  <si>
    <t>Assoc-voc</t>
  </si>
  <si>
    <t>9th</t>
  </si>
  <si>
    <t>7th-8th</t>
  </si>
  <si>
    <t xml:space="preserve"> Local-gov</t>
  </si>
  <si>
    <t>Masters</t>
  </si>
  <si>
    <t>10th</t>
  </si>
  <si>
    <t xml:space="preserve"> ?</t>
  </si>
  <si>
    <t>Doctorate</t>
  </si>
  <si>
    <t>5th-6th</t>
  </si>
  <si>
    <t xml:space="preserve"> Prof-school</t>
  </si>
  <si>
    <t>Married-civ-spouse</t>
  </si>
  <si>
    <t>Divorced</t>
  </si>
  <si>
    <t>Never-married</t>
  </si>
  <si>
    <t>Separated</t>
  </si>
  <si>
    <t>Married-spouse-absent</t>
  </si>
  <si>
    <t xml:space="preserve"> Married-AF-spouse</t>
  </si>
  <si>
    <t xml:space="preserve"> Self-emp-inc</t>
  </si>
  <si>
    <t xml:space="preserve"> 5th-6th</t>
  </si>
  <si>
    <t xml:space="preserve"> 10th</t>
  </si>
  <si>
    <t>Total</t>
  </si>
  <si>
    <t>Skor Tinggi</t>
  </si>
  <si>
    <t>Skor Rendah</t>
  </si>
  <si>
    <t>Range</t>
  </si>
  <si>
    <t>Kategori</t>
  </si>
  <si>
    <t>Interval</t>
  </si>
  <si>
    <t>H Interval</t>
  </si>
  <si>
    <t>Kriteria Penilaian</t>
  </si>
  <si>
    <t>Kriteria Penilaian (Memadai, Cukup, Tidak memadai)</t>
  </si>
  <si>
    <t>Memadai</t>
  </si>
  <si>
    <t>&gt;34</t>
  </si>
  <si>
    <t>&gt;57</t>
  </si>
  <si>
    <t>&gt;63</t>
  </si>
  <si>
    <t>&gt;25</t>
  </si>
  <si>
    <t>&gt;26</t>
  </si>
  <si>
    <t>Terpenuhi</t>
  </si>
  <si>
    <t>&gt;6250</t>
  </si>
  <si>
    <t>Cukup</t>
  </si>
  <si>
    <t>30-33</t>
  </si>
  <si>
    <t>53-56</t>
  </si>
  <si>
    <t>59-62</t>
  </si>
  <si>
    <t>21-24</t>
  </si>
  <si>
    <t>22-25</t>
  </si>
  <si>
    <t>Tidak Terpenuhi</t>
  </si>
  <si>
    <t>&lt;6250</t>
  </si>
  <si>
    <t>Tidak Memadai</t>
  </si>
  <si>
    <t>&lt;30</t>
  </si>
  <si>
    <t>&lt;53</t>
  </si>
  <si>
    <t>&lt;59</t>
  </si>
  <si>
    <t>&lt;21</t>
  </si>
  <si>
    <t>&lt;22</t>
  </si>
  <si>
    <t xml:space="preserve">DT Training </t>
  </si>
  <si>
    <t>DT Testing</t>
  </si>
  <si>
    <t>DT Training</t>
  </si>
  <si>
    <t>P1</t>
  </si>
  <si>
    <t>P2</t>
  </si>
  <si>
    <t>p3</t>
  </si>
  <si>
    <t>no.</t>
  </si>
  <si>
    <t>Algoritma C4.5</t>
  </si>
  <si>
    <t>Atribut</t>
  </si>
  <si>
    <t>&lt;=50K / s1</t>
  </si>
  <si>
    <t>&gt;50K /   s2</t>
  </si>
  <si>
    <t>Entropy</t>
  </si>
  <si>
    <t>Gain</t>
  </si>
  <si>
    <t>Atribut Education</t>
  </si>
  <si>
    <t>Rumus Mencari Entropy</t>
  </si>
  <si>
    <t>Entropy  Total</t>
  </si>
  <si>
    <t>s1/s</t>
  </si>
  <si>
    <t>log2</t>
  </si>
  <si>
    <t>s2/s</t>
  </si>
  <si>
    <t>Entropy Age Young Adult</t>
  </si>
  <si>
    <t>Entropy Age Middle-aged</t>
  </si>
  <si>
    <t>Entropy Age Senior</t>
  </si>
  <si>
    <t>Entropy Work_Class ?</t>
  </si>
  <si>
    <t>Entropy Work_Class Federal-gov</t>
  </si>
  <si>
    <t>Entropy Work_Class Local-gov</t>
  </si>
  <si>
    <t>Entropy Work_Class Private</t>
  </si>
  <si>
    <t>Entropy Work_Class Self-emp-inc</t>
  </si>
  <si>
    <t>Entropy Work_Class Self-emp-not-inc</t>
  </si>
  <si>
    <t>Entropy Work_Class State-gov</t>
  </si>
  <si>
    <t>Entropy Final_Weight  Low Weight</t>
  </si>
  <si>
    <t>Entropy Final_Weight Medium Weight</t>
  </si>
  <si>
    <t>Entropy  Education Bachelors</t>
  </si>
  <si>
    <t>Entropy  Education Some-college</t>
  </si>
  <si>
    <t>Entropy  Education HS-grad</t>
  </si>
  <si>
    <t>Entropy  Education Assoc-voc</t>
  </si>
  <si>
    <t>Entropy  Education 11th</t>
  </si>
  <si>
    <t>Entropy  Education Masters</t>
  </si>
  <si>
    <t>Entropy  Marital_Status Married-civ-spouse</t>
  </si>
  <si>
    <t>Entropy  Education Assoc-acdm</t>
  </si>
  <si>
    <t>Entropy  Marital_Status Divorced</t>
  </si>
  <si>
    <t>Entropy  Marital_Status Never-married</t>
  </si>
  <si>
    <t>Entropy  Education 9th</t>
  </si>
  <si>
    <t>Entropy  Marital_Status Separated</t>
  </si>
  <si>
    <t>Entropy  Education 7th-8th</t>
  </si>
  <si>
    <t>Entropy  Marital_Status Married-spouse-absent</t>
  </si>
  <si>
    <t>Rumus Mencari Gain</t>
  </si>
  <si>
    <t>Gain Age</t>
  </si>
  <si>
    <t>Entropy  Education 10th</t>
  </si>
  <si>
    <t>Gain Work_Class</t>
  </si>
  <si>
    <t>Gain  Final_Weight</t>
  </si>
  <si>
    <t>Entropy  Education Doctorate</t>
  </si>
  <si>
    <t>Gain  Education</t>
  </si>
  <si>
    <t>Gain Marital_Status</t>
  </si>
  <si>
    <t>Entropy  Education 5th-6th</t>
  </si>
  <si>
    <t>Entropy  Education  Prof-school</t>
  </si>
  <si>
    <t>Proporsi Class</t>
  </si>
  <si>
    <t>P1(Memadai)</t>
  </si>
  <si>
    <t>P2(Cukup)</t>
  </si>
  <si>
    <t>P3(Tidak Memadai)</t>
  </si>
  <si>
    <t xml:space="preserve"> </t>
  </si>
  <si>
    <t>Education_Numeric</t>
  </si>
  <si>
    <t>Occupation</t>
  </si>
  <si>
    <t>Relationship</t>
  </si>
  <si>
    <t>Race</t>
  </si>
  <si>
    <t>Sex</t>
  </si>
  <si>
    <t>Capital_Gain</t>
  </si>
  <si>
    <t>Capital_Loss</t>
  </si>
  <si>
    <t>Hours_Per_Week</t>
  </si>
  <si>
    <t>Native_Country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</si>
  <si>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</si>
  <si>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</si>
  <si>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</si>
  <si>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</si>
  <si>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</si>
  <si>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Exec-managerial</t>
  </si>
  <si>
    <t xml:space="preserve"> Husband</t>
  </si>
  <si>
    <t xml:space="preserve"> Handlers-cleaners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</si>
  <si>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</si>
  <si>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</si>
  <si>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</si>
  <si>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</si>
  <si>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</si>
  <si>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Other-service</t>
  </si>
  <si>
    <t xml:space="preserve"> Jamaica</t>
  </si>
  <si>
    <t xml:space="preserve"> Asian-Pac-Islander</t>
  </si>
  <si>
    <t xml:space="preserve"> India</t>
  </si>
  <si>
    <t xml:space="preserve"> Own-child</t>
  </si>
  <si>
    <t xml:space="preserve"> Sales</t>
  </si>
  <si>
    <t xml:space="preserve"> Craft-repair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</si>
  <si>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</si>
  <si>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</si>
  <si>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</si>
  <si>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</si>
  <si>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</si>
  <si>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</si>
  <si>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Tech-support</t>
  </si>
  <si>
    <t xml:space="preserve"> South</t>
  </si>
  <si>
    <t xml:space="preserve"> Protective-serv</t>
  </si>
  <si>
    <t xml:space="preserve"> Puerto-Rico</t>
  </si>
  <si>
    <t xml:space="preserve"> Other</t>
  </si>
  <si>
    <t xml:space="preserve"> Honduras</t>
  </si>
  <si>
    <t xml:space="preserve"> Other-relative</t>
  </si>
  <si>
    <t xml:space="preserve"> England</t>
  </si>
  <si>
    <t>The Data gathered contains some Continous Integer Variable or Parameter, namely:</t>
  </si>
  <si>
    <t>Variable</t>
  </si>
  <si>
    <t>Notes</t>
  </si>
  <si>
    <t>Max</t>
  </si>
  <si>
    <t>Min</t>
  </si>
  <si>
    <t>Ages of the Individual recorded in the dataset</t>
  </si>
  <si>
    <t>Final Weight</t>
  </si>
  <si>
    <t>Sampling weight assigned to each record in the dataset</t>
  </si>
  <si>
    <t>Capital Gain</t>
  </si>
  <si>
    <t>Total Increase in value for Asset sales of each Individual recorded in the dataset</t>
  </si>
  <si>
    <t>Capital Loss</t>
  </si>
  <si>
    <t>Total Decrease in value for Asset sales of each Individual recorded in the dataset</t>
  </si>
  <si>
    <t>Hours Per Week</t>
  </si>
  <si>
    <t>The hours an individual has reported to work per week</t>
  </si>
  <si>
    <t>The data needs to be categorized to minimize the variation of the dataset, with Criteria as Belows:</t>
  </si>
  <si>
    <t>Category</t>
  </si>
  <si>
    <t>17 - 30 years</t>
  </si>
  <si>
    <t>31 - 50 years</t>
  </si>
  <si>
    <t>51 - 90 years</t>
  </si>
  <si>
    <t>12285 - 300000</t>
  </si>
  <si>
    <t>300001 - 600000</t>
  </si>
  <si>
    <t>High Weight</t>
  </si>
  <si>
    <t>600001 - 1484705</t>
  </si>
  <si>
    <t>Zero</t>
  </si>
  <si>
    <t>Low</t>
  </si>
  <si>
    <t>1 - 1000</t>
  </si>
  <si>
    <t>Medium</t>
  </si>
  <si>
    <t>1001 - 5000</t>
  </si>
  <si>
    <t>High</t>
  </si>
  <si>
    <t>5001 - 99999</t>
  </si>
  <si>
    <t>Part-time</t>
  </si>
  <si>
    <t>1 - 30 hours</t>
  </si>
  <si>
    <t>Full-time</t>
  </si>
  <si>
    <t>31 - 40 hours</t>
  </si>
  <si>
    <t>Over-time</t>
  </si>
  <si>
    <t>41 - 99 hours</t>
  </si>
  <si>
    <t>and Column Education numerical is a duplicates with Education, so it should be dropped</t>
  </si>
  <si>
    <t>LINK : https://archive.ics.uci.edu/dataset/2/adult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</si>
</sst>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2" borderId="2" xfId="0" applyFont="1" applyFill="1" applyBorder="1" applyAlignment="1">
      <alignment horizontal="center"/>
    </xf>
    <xf numFmtId="0" fontId="3" fillId="0" borderId="1" xfId="0" applyFont="1" applyBorder="1"/>
    <xf numFmtId="0" fontId="0" fillId="0" borderId="2" xfId="0" applyBorder="1"/>
    <xf numFmtId="0" fontId="3" fillId="0" borderId="2" xfId="0" applyFont="1" applyBorder="1"/>
    <xf numFmtId="0" fontId="3" fillId="0" borderId="2" xfId="0" applyFont="1" applyFill="1" applyBorder="1"/>
    <xf numFmtId="0" fontId="3" fillId="0" borderId="2" xfId="1" applyFont="1" applyFill="1" applyBorder="1"/>
    <xf numFmtId="0" fontId="0" fillId="0" borderId="0" xfId="0" applyNumberFormat="1"/>
    <xf numFmtId="0" fontId="4" fillId="0" borderId="2" xfId="1" applyFont="1" applyFill="1" applyBorder="1" applyAlignment="1"/>
    <xf numFmtId="0" fontId="0" fillId="0" borderId="0" xfId="0" applyNumberFormat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3" fillId="0" borderId="4" xfId="0" applyFont="1" applyBorder="1"/>
    <xf numFmtId="0" fontId="4" fillId="0" borderId="2" xfId="1" applyFont="1" applyFill="1" applyBorder="1" applyAlignment="1">
      <alignment horizontal="center"/>
    </xf>
    <xf numFmtId="0" fontId="3" fillId="0" borderId="3" xfId="1" applyFont="1" applyFill="1" applyBorder="1"/>
    <xf numFmtId="0" fontId="4" fillId="0" borderId="2" xfId="1" applyFont="1" applyFill="1" applyBorder="1" applyAlignment="1">
      <alignment horizontal="center" wrapText="1"/>
    </xf>
    <xf numFmtId="0" fontId="4" fillId="0" borderId="2" xfId="1" applyFont="1" applyFill="1" applyBorder="1" applyAlignment="1">
      <alignment wrapText="1"/>
    </xf>
    <xf numFmtId="0" fontId="0" fillId="0" borderId="2" xfId="0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5" fillId="0" borderId="2" xfId="1" applyFont="1" applyFill="1" applyBorder="1" applyAlignment="1"/>
    <xf numFmtId="0" fontId="4" fillId="0" borderId="0" xfId="1" applyFont="1" applyAlignment="1"/>
    <xf numFmtId="0" fontId="0" fillId="0" borderId="0" xfId="0" applyFill="1"/>
    <xf numFmtId="0" fontId="4" fillId="0" borderId="3" xfId="1" applyFont="1" applyFill="1" applyBorder="1" applyAlignment="1">
      <alignment horizontal="center"/>
    </xf>
    <xf numFmtId="0" fontId="0" fillId="0" borderId="2" xfId="0" applyFill="1" applyBorder="1"/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9" xfId="0" applyFont="1" applyBorder="1"/>
    <xf numFmtId="0" fontId="6" fillId="0" borderId="8" xfId="0" applyFont="1" applyBorder="1"/>
    <xf numFmtId="0" fontId="3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9" xfId="0" applyFont="1" applyFill="1" applyBorder="1"/>
    <xf numFmtId="0" fontId="6" fillId="0" borderId="8" xfId="0" applyFont="1" applyFill="1" applyBorder="1"/>
    <xf numFmtId="0" fontId="3" fillId="4" borderId="4" xfId="0" applyFont="1" applyFill="1" applyBorder="1" applyAlignment="1">
      <alignment horizontal="center"/>
    </xf>
    <xf numFmtId="0" fontId="3" fillId="0" borderId="4" xfId="0" applyFont="1" applyFill="1" applyBorder="1"/>
    <xf numFmtId="0" fontId="1" fillId="0" borderId="4" xfId="0" applyFont="1" applyFill="1" applyBorder="1" applyAlignment="1">
      <alignment horizontal="center"/>
    </xf>
    <xf numFmtId="0" fontId="4" fillId="0" borderId="0" xfId="0" applyFont="1"/>
    <xf numFmtId="0" fontId="0" fillId="0" borderId="0" xfId="0" applyFont="1" applyAlignment="1"/>
    <xf numFmtId="0" fontId="1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4" fillId="0" borderId="5" xfId="1" applyFont="1" applyFill="1" applyBorder="1" applyAlignment="1">
      <alignment horizontal="center" wrapText="1"/>
    </xf>
    <xf numFmtId="0" fontId="4" fillId="0" borderId="6" xfId="1" applyFont="1" applyFill="1" applyBorder="1" applyAlignment="1">
      <alignment horizontal="center" wrapText="1"/>
    </xf>
    <xf numFmtId="0" fontId="4" fillId="0" borderId="7" xfId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workbookViewId="0">
      <selection activeCell="A17" sqref="A17"/>
    </sheetView>
  </sheetViews>
  <sheetFormatPr defaultRowHeight="14.4" x14ac:dyDescent="0.3"/>
  <cols>
    <col min="1" max="1" width="4.21875" bestFit="1" customWidth="1"/>
    <col min="2" max="2" width="15.21875" bestFit="1" customWidth="1"/>
    <col min="3" max="3" width="11.88671875" bestFit="1" customWidth="1"/>
    <col min="4" max="4" width="12.44140625" bestFit="1" customWidth="1"/>
    <col min="5" max="5" width="17.77734375" bestFit="1" customWidth="1"/>
    <col min="6" max="6" width="20.5546875" bestFit="1" customWidth="1"/>
    <col min="7" max="7" width="16.77734375" bestFit="1" customWidth="1"/>
    <col min="8" max="8" width="12.88671875" bestFit="1" customWidth="1"/>
    <col min="9" max="9" width="18.109375" bestFit="1" customWidth="1"/>
    <col min="10" max="10" width="7.33203125" bestFit="1" customWidth="1"/>
    <col min="11" max="11" width="11.5546875" bestFit="1" customWidth="1"/>
    <col min="12" max="12" width="11.33203125" bestFit="1" customWidth="1"/>
    <col min="13" max="13" width="15.5546875" bestFit="1" customWidth="1"/>
    <col min="14" max="14" width="14.33203125" bestFit="1" customWidth="1"/>
    <col min="15" max="15" width="7.33203125" bestFit="1" customWidth="1"/>
  </cols>
  <sheetData>
    <row r="1" spans="1:15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154</v>
      </c>
      <c r="F1" s="12" t="s">
        <v>4</v>
      </c>
      <c r="G1" s="12" t="s">
        <v>155</v>
      </c>
      <c r="H1" s="12" t="s">
        <v>156</v>
      </c>
      <c r="I1" s="12" t="s">
        <v>157</v>
      </c>
      <c r="J1" s="12" t="s">
        <v>158</v>
      </c>
      <c r="K1" s="12" t="s">
        <v>159</v>
      </c>
      <c r="L1" s="12" t="s">
        <v>160</v>
      </c>
      <c r="M1" s="12" t="s">
        <v>161</v>
      </c>
      <c r="N1" s="12" t="s">
        <v>162</v>
      </c>
      <c r="O1" s="12" t="s">
        <v>5</v>
      </c>
    </row>
    <row r="2" spans="1:15" x14ac:dyDescent="0.3">
      <c r="A2" s="13">
        <v>39</v>
      </c>
      <c r="B2" s="13" t="s">
        <v>7</v>
      </c>
      <c r="C2" s="13">
        <v>77516</v>
      </c>
      <c r="D2" s="13" t="s">
        <v>9</v>
      </c>
      <c r="E2" s="13">
        <v>13</v>
      </c>
      <c r="F2" s="13" t="s">
        <v>10</v>
      </c>
      <c r="G2" s="13" t="s">
        <v>163</v>
      </c>
      <c r="H2" s="13" t="s">
        <v>164</v>
      </c>
      <c r="I2" s="13" t="s">
        <v>165</v>
      </c>
      <c r="J2" s="13" t="s">
        <v>166</v>
      </c>
      <c r="K2" s="13">
        <v>2174</v>
      </c>
      <c r="L2" s="13">
        <v>0</v>
      </c>
      <c r="M2" s="13">
        <v>40</v>
      </c>
      <c r="N2" s="13" t="s">
        <v>167</v>
      </c>
      <c r="O2" s="13" t="s">
        <v>11</v>
      </c>
    </row>
    <row r="3" spans="1:15" x14ac:dyDescent="0.3">
      <c r="A3" s="13">
        <v>50</v>
      </c>
      <c r="B3" s="13" t="s">
        <v>12</v>
      </c>
      <c r="C3" s="13">
        <v>83311</v>
      </c>
      <c r="D3" s="13" t="s">
        <v>9</v>
      </c>
      <c r="E3" s="13">
        <v>13</v>
      </c>
      <c r="F3" s="13" t="s">
        <v>13</v>
      </c>
      <c r="G3" s="13" t="s">
        <v>168</v>
      </c>
      <c r="H3" s="13" t="s">
        <v>169</v>
      </c>
      <c r="I3" s="13" t="s">
        <v>165</v>
      </c>
      <c r="J3" s="13" t="s">
        <v>166</v>
      </c>
      <c r="K3" s="13">
        <v>0</v>
      </c>
      <c r="L3" s="13">
        <v>0</v>
      </c>
      <c r="M3" s="13">
        <v>13</v>
      </c>
      <c r="N3" s="13" t="s">
        <v>167</v>
      </c>
      <c r="O3" s="13" t="s">
        <v>11</v>
      </c>
    </row>
    <row r="4" spans="1:15" x14ac:dyDescent="0.3">
      <c r="A4" s="13">
        <v>38</v>
      </c>
      <c r="B4" s="13" t="s">
        <v>15</v>
      </c>
      <c r="C4" s="13">
        <v>215646</v>
      </c>
      <c r="D4" s="13" t="s">
        <v>16</v>
      </c>
      <c r="E4" s="13">
        <v>9</v>
      </c>
      <c r="F4" s="13" t="s">
        <v>17</v>
      </c>
      <c r="G4" s="13" t="s">
        <v>170</v>
      </c>
      <c r="H4" s="13" t="s">
        <v>164</v>
      </c>
      <c r="I4" s="13" t="s">
        <v>165</v>
      </c>
      <c r="J4" s="13" t="s">
        <v>166</v>
      </c>
      <c r="K4" s="13">
        <v>0</v>
      </c>
      <c r="L4" s="13">
        <v>0</v>
      </c>
      <c r="M4" s="13">
        <v>40</v>
      </c>
      <c r="N4" s="13" t="s">
        <v>167</v>
      </c>
      <c r="O4" s="13" t="s">
        <v>11</v>
      </c>
    </row>
    <row r="5" spans="1:15" x14ac:dyDescent="0.3">
      <c r="A5" s="13">
        <v>53</v>
      </c>
      <c r="B5" s="13" t="s">
        <v>15</v>
      </c>
      <c r="C5" s="13">
        <v>234721</v>
      </c>
      <c r="D5" s="13" t="s">
        <v>19</v>
      </c>
      <c r="E5" s="13">
        <v>7</v>
      </c>
      <c r="F5" s="13" t="s">
        <v>13</v>
      </c>
      <c r="G5" s="13" t="s">
        <v>170</v>
      </c>
      <c r="H5" s="13" t="s">
        <v>169</v>
      </c>
      <c r="I5" s="13" t="s">
        <v>171</v>
      </c>
      <c r="J5" s="13" t="s">
        <v>166</v>
      </c>
      <c r="K5" s="13">
        <v>0</v>
      </c>
      <c r="L5" s="13">
        <v>0</v>
      </c>
      <c r="M5" s="13">
        <v>40</v>
      </c>
      <c r="N5" s="13" t="s">
        <v>167</v>
      </c>
      <c r="O5" s="13" t="s">
        <v>11</v>
      </c>
    </row>
    <row r="6" spans="1:15" x14ac:dyDescent="0.3">
      <c r="A6" s="13">
        <v>28</v>
      </c>
      <c r="B6" s="13" t="s">
        <v>15</v>
      </c>
      <c r="C6" s="13">
        <v>338409</v>
      </c>
      <c r="D6" s="13" t="s">
        <v>9</v>
      </c>
      <c r="E6" s="13">
        <v>13</v>
      </c>
      <c r="F6" s="13" t="s">
        <v>13</v>
      </c>
      <c r="G6" s="13" t="s">
        <v>172</v>
      </c>
      <c r="H6" s="13" t="s">
        <v>173</v>
      </c>
      <c r="I6" s="13" t="s">
        <v>171</v>
      </c>
      <c r="J6" s="13" t="s">
        <v>174</v>
      </c>
      <c r="K6" s="13">
        <v>0</v>
      </c>
      <c r="L6" s="13">
        <v>0</v>
      </c>
      <c r="M6" s="13">
        <v>40</v>
      </c>
      <c r="N6" s="13" t="s">
        <v>175</v>
      </c>
      <c r="O6" s="13" t="s">
        <v>11</v>
      </c>
    </row>
    <row r="7" spans="1:15" x14ac:dyDescent="0.3">
      <c r="A7" s="13">
        <v>37</v>
      </c>
      <c r="B7" s="13" t="s">
        <v>15</v>
      </c>
      <c r="C7" s="13">
        <v>284582</v>
      </c>
      <c r="D7" s="13" t="s">
        <v>21</v>
      </c>
      <c r="E7" s="13">
        <v>14</v>
      </c>
      <c r="F7" s="13" t="s">
        <v>13</v>
      </c>
      <c r="G7" s="13" t="s">
        <v>168</v>
      </c>
      <c r="H7" s="13" t="s">
        <v>173</v>
      </c>
      <c r="I7" s="13" t="s">
        <v>165</v>
      </c>
      <c r="J7" s="13" t="s">
        <v>174</v>
      </c>
      <c r="K7" s="13">
        <v>0</v>
      </c>
      <c r="L7" s="13">
        <v>0</v>
      </c>
      <c r="M7" s="13">
        <v>40</v>
      </c>
      <c r="N7" s="13" t="s">
        <v>167</v>
      </c>
      <c r="O7" s="13" t="s">
        <v>11</v>
      </c>
    </row>
    <row r="8" spans="1:15" x14ac:dyDescent="0.3">
      <c r="A8" s="13">
        <v>49</v>
      </c>
      <c r="B8" s="13" t="s">
        <v>15</v>
      </c>
      <c r="C8" s="13">
        <v>160187</v>
      </c>
      <c r="D8" s="13" t="s">
        <v>23</v>
      </c>
      <c r="E8" s="13">
        <v>5</v>
      </c>
      <c r="F8" s="13" t="s">
        <v>24</v>
      </c>
      <c r="G8" s="13" t="s">
        <v>176</v>
      </c>
      <c r="H8" s="13" t="s">
        <v>164</v>
      </c>
      <c r="I8" s="13" t="s">
        <v>171</v>
      </c>
      <c r="J8" s="13" t="s">
        <v>174</v>
      </c>
      <c r="K8" s="13">
        <v>0</v>
      </c>
      <c r="L8" s="13">
        <v>0</v>
      </c>
      <c r="M8" s="13">
        <v>16</v>
      </c>
      <c r="N8" s="13" t="s">
        <v>177</v>
      </c>
      <c r="O8" s="13" t="s">
        <v>11</v>
      </c>
    </row>
    <row r="9" spans="1:15" x14ac:dyDescent="0.3">
      <c r="A9" s="13">
        <v>52</v>
      </c>
      <c r="B9" s="13" t="s">
        <v>12</v>
      </c>
      <c r="C9" s="13">
        <v>209642</v>
      </c>
      <c r="D9" s="13" t="s">
        <v>16</v>
      </c>
      <c r="E9" s="13">
        <v>9</v>
      </c>
      <c r="F9" s="13" t="s">
        <v>13</v>
      </c>
      <c r="G9" s="13" t="s">
        <v>168</v>
      </c>
      <c r="H9" s="13" t="s">
        <v>169</v>
      </c>
      <c r="I9" s="13" t="s">
        <v>165</v>
      </c>
      <c r="J9" s="13" t="s">
        <v>166</v>
      </c>
      <c r="K9" s="13">
        <v>0</v>
      </c>
      <c r="L9" s="13">
        <v>0</v>
      </c>
      <c r="M9" s="13">
        <v>45</v>
      </c>
      <c r="N9" s="13" t="s">
        <v>167</v>
      </c>
      <c r="O9" s="13" t="s">
        <v>26</v>
      </c>
    </row>
    <row r="10" spans="1:15" x14ac:dyDescent="0.3">
      <c r="A10" s="13">
        <v>31</v>
      </c>
      <c r="B10" s="13" t="s">
        <v>15</v>
      </c>
      <c r="C10" s="13">
        <v>45781</v>
      </c>
      <c r="D10" s="13" t="s">
        <v>21</v>
      </c>
      <c r="E10" s="13">
        <v>14</v>
      </c>
      <c r="F10" s="13" t="s">
        <v>10</v>
      </c>
      <c r="G10" s="13" t="s">
        <v>172</v>
      </c>
      <c r="H10" s="13" t="s">
        <v>164</v>
      </c>
      <c r="I10" s="13" t="s">
        <v>165</v>
      </c>
      <c r="J10" s="13" t="s">
        <v>174</v>
      </c>
      <c r="K10" s="13">
        <v>14084</v>
      </c>
      <c r="L10" s="13">
        <v>0</v>
      </c>
      <c r="M10" s="13">
        <v>50</v>
      </c>
      <c r="N10" s="13" t="s">
        <v>167</v>
      </c>
      <c r="O10" s="13" t="s">
        <v>26</v>
      </c>
    </row>
    <row r="11" spans="1:15" x14ac:dyDescent="0.3">
      <c r="A11" s="13">
        <v>42</v>
      </c>
      <c r="B11" s="13" t="s">
        <v>15</v>
      </c>
      <c r="C11" s="13">
        <v>159449</v>
      </c>
      <c r="D11" s="13" t="s">
        <v>9</v>
      </c>
      <c r="E11" s="13">
        <v>13</v>
      </c>
      <c r="F11" s="13" t="s">
        <v>13</v>
      </c>
      <c r="G11" s="13" t="s">
        <v>168</v>
      </c>
      <c r="H11" s="13" t="s">
        <v>169</v>
      </c>
      <c r="I11" s="13" t="s">
        <v>165</v>
      </c>
      <c r="J11" s="13" t="s">
        <v>166</v>
      </c>
      <c r="K11" s="13">
        <v>5178</v>
      </c>
      <c r="L11" s="13">
        <v>0</v>
      </c>
      <c r="M11" s="13">
        <v>40</v>
      </c>
      <c r="N11" s="13" t="s">
        <v>167</v>
      </c>
      <c r="O11" s="13" t="s">
        <v>26</v>
      </c>
    </row>
    <row r="12" spans="1:15" x14ac:dyDescent="0.3">
      <c r="A12" s="13">
        <v>37</v>
      </c>
      <c r="B12" s="13" t="s">
        <v>15</v>
      </c>
      <c r="C12" s="13">
        <v>280464</v>
      </c>
      <c r="D12" s="13" t="s">
        <v>30</v>
      </c>
      <c r="E12" s="13">
        <v>10</v>
      </c>
      <c r="F12" s="13" t="s">
        <v>13</v>
      </c>
      <c r="G12" s="13" t="s">
        <v>168</v>
      </c>
      <c r="H12" s="13" t="s">
        <v>169</v>
      </c>
      <c r="I12" s="13" t="s">
        <v>171</v>
      </c>
      <c r="J12" s="13" t="s">
        <v>166</v>
      </c>
      <c r="K12" s="13">
        <v>0</v>
      </c>
      <c r="L12" s="13">
        <v>0</v>
      </c>
      <c r="M12" s="13">
        <v>80</v>
      </c>
      <c r="N12" s="13" t="s">
        <v>167</v>
      </c>
      <c r="O12" s="13" t="s">
        <v>26</v>
      </c>
    </row>
    <row r="13" spans="1:15" x14ac:dyDescent="0.3">
      <c r="A13" s="13">
        <v>30</v>
      </c>
      <c r="B13" s="13" t="s">
        <v>7</v>
      </c>
      <c r="C13" s="13">
        <v>141297</v>
      </c>
      <c r="D13" s="13" t="s">
        <v>9</v>
      </c>
      <c r="E13" s="13">
        <v>13</v>
      </c>
      <c r="F13" s="13" t="s">
        <v>13</v>
      </c>
      <c r="G13" s="13" t="s">
        <v>172</v>
      </c>
      <c r="H13" s="13" t="s">
        <v>169</v>
      </c>
      <c r="I13" s="13" t="s">
        <v>178</v>
      </c>
      <c r="J13" s="13" t="s">
        <v>166</v>
      </c>
      <c r="K13" s="13">
        <v>0</v>
      </c>
      <c r="L13" s="13">
        <v>0</v>
      </c>
      <c r="M13" s="13">
        <v>40</v>
      </c>
      <c r="N13" s="13" t="s">
        <v>179</v>
      </c>
      <c r="O13" s="13" t="s">
        <v>26</v>
      </c>
    </row>
    <row r="14" spans="1:15" x14ac:dyDescent="0.3">
      <c r="A14" s="13">
        <v>23</v>
      </c>
      <c r="B14" s="13" t="s">
        <v>15</v>
      </c>
      <c r="C14" s="13">
        <v>122272</v>
      </c>
      <c r="D14" s="13" t="s">
        <v>9</v>
      </c>
      <c r="E14" s="13">
        <v>13</v>
      </c>
      <c r="F14" s="13" t="s">
        <v>10</v>
      </c>
      <c r="G14" s="13" t="s">
        <v>163</v>
      </c>
      <c r="H14" s="13" t="s">
        <v>180</v>
      </c>
      <c r="I14" s="13" t="s">
        <v>165</v>
      </c>
      <c r="J14" s="13" t="s">
        <v>174</v>
      </c>
      <c r="K14" s="13">
        <v>0</v>
      </c>
      <c r="L14" s="13">
        <v>0</v>
      </c>
      <c r="M14" s="13">
        <v>30</v>
      </c>
      <c r="N14" s="13" t="s">
        <v>167</v>
      </c>
      <c r="O14" s="13" t="s">
        <v>11</v>
      </c>
    </row>
    <row r="15" spans="1:15" x14ac:dyDescent="0.3">
      <c r="A15" s="13">
        <v>32</v>
      </c>
      <c r="B15" s="13" t="s">
        <v>15</v>
      </c>
      <c r="C15" s="13">
        <v>205019</v>
      </c>
      <c r="D15" s="13" t="s">
        <v>33</v>
      </c>
      <c r="E15" s="13">
        <v>12</v>
      </c>
      <c r="F15" s="13" t="s">
        <v>10</v>
      </c>
      <c r="G15" s="13" t="s">
        <v>181</v>
      </c>
      <c r="H15" s="13" t="s">
        <v>164</v>
      </c>
      <c r="I15" s="13" t="s">
        <v>171</v>
      </c>
      <c r="J15" s="13" t="s">
        <v>166</v>
      </c>
      <c r="K15" s="13">
        <v>0</v>
      </c>
      <c r="L15" s="13">
        <v>0</v>
      </c>
      <c r="M15" s="13">
        <v>50</v>
      </c>
      <c r="N15" s="13" t="s">
        <v>167</v>
      </c>
      <c r="O15" s="13" t="s">
        <v>11</v>
      </c>
    </row>
    <row r="16" spans="1:15" x14ac:dyDescent="0.3">
      <c r="A16" s="13">
        <v>40</v>
      </c>
      <c r="B16" s="13" t="s">
        <v>15</v>
      </c>
      <c r="C16" s="13">
        <v>121772</v>
      </c>
      <c r="D16" s="13" t="s">
        <v>34</v>
      </c>
      <c r="E16" s="13">
        <v>11</v>
      </c>
      <c r="F16" s="13" t="s">
        <v>13</v>
      </c>
      <c r="G16" s="13" t="s">
        <v>182</v>
      </c>
      <c r="H16" s="13" t="s">
        <v>169</v>
      </c>
      <c r="I16" s="13" t="s">
        <v>178</v>
      </c>
      <c r="J16" s="13" t="s">
        <v>166</v>
      </c>
      <c r="K16" s="13">
        <v>0</v>
      </c>
      <c r="L16" s="13">
        <v>0</v>
      </c>
      <c r="M16" s="13">
        <v>40</v>
      </c>
      <c r="N16" s="13" t="s">
        <v>50</v>
      </c>
      <c r="O16" s="13" t="s">
        <v>26</v>
      </c>
    </row>
    <row r="17" spans="1:15" x14ac:dyDescent="0.3">
      <c r="A17" s="13">
        <v>34</v>
      </c>
      <c r="B17" s="13" t="s">
        <v>15</v>
      </c>
      <c r="C17" s="13">
        <v>245487</v>
      </c>
      <c r="D17" s="13" t="s">
        <v>35</v>
      </c>
      <c r="E17" s="13">
        <v>4</v>
      </c>
      <c r="F17" s="13" t="s">
        <v>13</v>
      </c>
      <c r="G17" s="13" t="s">
        <v>183</v>
      </c>
      <c r="H17" s="13" t="s">
        <v>169</v>
      </c>
      <c r="I17" s="13" t="s">
        <v>184</v>
      </c>
      <c r="J17" s="13" t="s">
        <v>166</v>
      </c>
      <c r="K17" s="13">
        <v>0</v>
      </c>
      <c r="L17" s="13">
        <v>0</v>
      </c>
      <c r="M17" s="13">
        <v>45</v>
      </c>
      <c r="N17" s="13" t="s">
        <v>185</v>
      </c>
      <c r="O17" s="13" t="s">
        <v>11</v>
      </c>
    </row>
    <row r="18" spans="1:15" x14ac:dyDescent="0.3">
      <c r="A18" s="13">
        <v>25</v>
      </c>
      <c r="B18" s="13" t="s">
        <v>12</v>
      </c>
      <c r="C18" s="13">
        <v>176756</v>
      </c>
      <c r="D18" s="13" t="s">
        <v>16</v>
      </c>
      <c r="E18" s="13">
        <v>9</v>
      </c>
      <c r="F18" s="13" t="s">
        <v>10</v>
      </c>
      <c r="G18" s="13" t="s">
        <v>186</v>
      </c>
      <c r="H18" s="13" t="s">
        <v>180</v>
      </c>
      <c r="I18" s="13" t="s">
        <v>165</v>
      </c>
      <c r="J18" s="13" t="s">
        <v>166</v>
      </c>
      <c r="K18" s="13">
        <v>0</v>
      </c>
      <c r="L18" s="13">
        <v>0</v>
      </c>
      <c r="M18" s="13">
        <v>35</v>
      </c>
      <c r="N18" s="13" t="s">
        <v>167</v>
      </c>
      <c r="O18" s="13" t="s">
        <v>11</v>
      </c>
    </row>
    <row r="19" spans="1:15" x14ac:dyDescent="0.3">
      <c r="A19" s="13">
        <v>32</v>
      </c>
      <c r="B19" s="13" t="s">
        <v>15</v>
      </c>
      <c r="C19" s="13">
        <v>186824</v>
      </c>
      <c r="D19" s="13" t="s">
        <v>16</v>
      </c>
      <c r="E19" s="13">
        <v>9</v>
      </c>
      <c r="F19" s="13" t="s">
        <v>10</v>
      </c>
      <c r="G19" s="13" t="s">
        <v>187</v>
      </c>
      <c r="H19" s="13" t="s">
        <v>188</v>
      </c>
      <c r="I19" s="13" t="s">
        <v>165</v>
      </c>
      <c r="J19" s="13" t="s">
        <v>166</v>
      </c>
      <c r="K19" s="13">
        <v>0</v>
      </c>
      <c r="L19" s="13">
        <v>0</v>
      </c>
      <c r="M19" s="13">
        <v>40</v>
      </c>
      <c r="N19" s="13" t="s">
        <v>167</v>
      </c>
      <c r="O19" s="13" t="s">
        <v>11</v>
      </c>
    </row>
    <row r="20" spans="1:15" x14ac:dyDescent="0.3">
      <c r="A20" s="13">
        <v>38</v>
      </c>
      <c r="B20" s="13" t="s">
        <v>15</v>
      </c>
      <c r="C20" s="13">
        <v>28887</v>
      </c>
      <c r="D20" s="13" t="s">
        <v>19</v>
      </c>
      <c r="E20" s="13">
        <v>7</v>
      </c>
      <c r="F20" s="13" t="s">
        <v>13</v>
      </c>
      <c r="G20" s="13" t="s">
        <v>181</v>
      </c>
      <c r="H20" s="13" t="s">
        <v>169</v>
      </c>
      <c r="I20" s="13" t="s">
        <v>165</v>
      </c>
      <c r="J20" s="13" t="s">
        <v>166</v>
      </c>
      <c r="K20" s="13">
        <v>0</v>
      </c>
      <c r="L20" s="13">
        <v>0</v>
      </c>
      <c r="M20" s="13">
        <v>50</v>
      </c>
      <c r="N20" s="13" t="s">
        <v>167</v>
      </c>
      <c r="O20" s="13" t="s">
        <v>11</v>
      </c>
    </row>
    <row r="21" spans="1:15" x14ac:dyDescent="0.3">
      <c r="A21" s="13">
        <v>43</v>
      </c>
      <c r="B21" s="13" t="s">
        <v>12</v>
      </c>
      <c r="C21" s="13">
        <v>292175</v>
      </c>
      <c r="D21" s="13" t="s">
        <v>21</v>
      </c>
      <c r="E21" s="13">
        <v>14</v>
      </c>
      <c r="F21" s="13" t="s">
        <v>17</v>
      </c>
      <c r="G21" s="13" t="s">
        <v>168</v>
      </c>
      <c r="H21" s="13" t="s">
        <v>188</v>
      </c>
      <c r="I21" s="13" t="s">
        <v>165</v>
      </c>
      <c r="J21" s="13" t="s">
        <v>174</v>
      </c>
      <c r="K21" s="13">
        <v>0</v>
      </c>
      <c r="L21" s="13">
        <v>0</v>
      </c>
      <c r="M21" s="13">
        <v>45</v>
      </c>
      <c r="N21" s="13" t="s">
        <v>167</v>
      </c>
      <c r="O21" s="13" t="s">
        <v>26</v>
      </c>
    </row>
    <row r="22" spans="1:15" x14ac:dyDescent="0.3">
      <c r="A22" s="13">
        <v>40</v>
      </c>
      <c r="B22" s="13" t="s">
        <v>15</v>
      </c>
      <c r="C22" s="13">
        <v>193524</v>
      </c>
      <c r="D22" s="13" t="s">
        <v>39</v>
      </c>
      <c r="E22" s="13">
        <v>16</v>
      </c>
      <c r="F22" s="13" t="s">
        <v>13</v>
      </c>
      <c r="G22" s="13" t="s">
        <v>172</v>
      </c>
      <c r="H22" s="13" t="s">
        <v>169</v>
      </c>
      <c r="I22" s="13" t="s">
        <v>165</v>
      </c>
      <c r="J22" s="13" t="s">
        <v>166</v>
      </c>
      <c r="K22" s="13">
        <v>0</v>
      </c>
      <c r="L22" s="13">
        <v>0</v>
      </c>
      <c r="M22" s="13">
        <v>60</v>
      </c>
      <c r="N22" s="13" t="s">
        <v>167</v>
      </c>
      <c r="O22" s="13" t="s">
        <v>26</v>
      </c>
    </row>
    <row r="23" spans="1:15" x14ac:dyDescent="0.3">
      <c r="A23" s="13">
        <v>54</v>
      </c>
      <c r="B23" s="13" t="s">
        <v>15</v>
      </c>
      <c r="C23" s="13">
        <v>302146</v>
      </c>
      <c r="D23" s="13" t="s">
        <v>16</v>
      </c>
      <c r="E23" s="13">
        <v>9</v>
      </c>
      <c r="F23" s="13" t="s">
        <v>41</v>
      </c>
      <c r="G23" s="13" t="s">
        <v>176</v>
      </c>
      <c r="H23" s="13" t="s">
        <v>188</v>
      </c>
      <c r="I23" s="13" t="s">
        <v>171</v>
      </c>
      <c r="J23" s="13" t="s">
        <v>174</v>
      </c>
      <c r="K23" s="13">
        <v>0</v>
      </c>
      <c r="L23" s="13">
        <v>0</v>
      </c>
      <c r="M23" s="13">
        <v>20</v>
      </c>
      <c r="N23" s="13" t="s">
        <v>167</v>
      </c>
      <c r="O23" s="13" t="s">
        <v>11</v>
      </c>
    </row>
    <row r="24" spans="1:15" x14ac:dyDescent="0.3">
      <c r="A24" s="13">
        <v>35</v>
      </c>
      <c r="B24" s="13" t="s">
        <v>43</v>
      </c>
      <c r="C24" s="13">
        <v>76845</v>
      </c>
      <c r="D24" s="13" t="s">
        <v>23</v>
      </c>
      <c r="E24" s="13">
        <v>5</v>
      </c>
      <c r="F24" s="13" t="s">
        <v>13</v>
      </c>
      <c r="G24" s="13" t="s">
        <v>186</v>
      </c>
      <c r="H24" s="13" t="s">
        <v>169</v>
      </c>
      <c r="I24" s="13" t="s">
        <v>171</v>
      </c>
      <c r="J24" s="13" t="s">
        <v>166</v>
      </c>
      <c r="K24" s="13">
        <v>0</v>
      </c>
      <c r="L24" s="13">
        <v>0</v>
      </c>
      <c r="M24" s="13">
        <v>40</v>
      </c>
      <c r="N24" s="13" t="s">
        <v>167</v>
      </c>
      <c r="O24" s="13" t="s">
        <v>11</v>
      </c>
    </row>
    <row r="25" spans="1:15" x14ac:dyDescent="0.3">
      <c r="A25" s="13">
        <v>43</v>
      </c>
      <c r="B25" s="13" t="s">
        <v>15</v>
      </c>
      <c r="C25" s="13">
        <v>117037</v>
      </c>
      <c r="D25" s="13" t="s">
        <v>19</v>
      </c>
      <c r="E25" s="13">
        <v>7</v>
      </c>
      <c r="F25" s="13" t="s">
        <v>13</v>
      </c>
      <c r="G25" s="13" t="s">
        <v>183</v>
      </c>
      <c r="H25" s="13" t="s">
        <v>169</v>
      </c>
      <c r="I25" s="13" t="s">
        <v>165</v>
      </c>
      <c r="J25" s="13" t="s">
        <v>166</v>
      </c>
      <c r="K25" s="13">
        <v>0</v>
      </c>
      <c r="L25" s="13">
        <v>2042</v>
      </c>
      <c r="M25" s="13">
        <v>40</v>
      </c>
      <c r="N25" s="13" t="s">
        <v>167</v>
      </c>
      <c r="O25" s="13" t="s">
        <v>11</v>
      </c>
    </row>
    <row r="26" spans="1:15" x14ac:dyDescent="0.3">
      <c r="A26" s="13">
        <v>59</v>
      </c>
      <c r="B26" s="13" t="s">
        <v>15</v>
      </c>
      <c r="C26" s="13">
        <v>109015</v>
      </c>
      <c r="D26" s="13" t="s">
        <v>16</v>
      </c>
      <c r="E26" s="13">
        <v>9</v>
      </c>
      <c r="F26" s="13" t="s">
        <v>17</v>
      </c>
      <c r="G26" s="13" t="s">
        <v>189</v>
      </c>
      <c r="H26" s="13" t="s">
        <v>188</v>
      </c>
      <c r="I26" s="13" t="s">
        <v>165</v>
      </c>
      <c r="J26" s="13" t="s">
        <v>174</v>
      </c>
      <c r="K26" s="13">
        <v>0</v>
      </c>
      <c r="L26" s="13">
        <v>0</v>
      </c>
      <c r="M26" s="13">
        <v>40</v>
      </c>
      <c r="N26" s="13" t="s">
        <v>167</v>
      </c>
      <c r="O26" s="13" t="s">
        <v>11</v>
      </c>
    </row>
    <row r="27" spans="1:15" x14ac:dyDescent="0.3">
      <c r="A27" s="13">
        <v>56</v>
      </c>
      <c r="B27" s="13" t="s">
        <v>47</v>
      </c>
      <c r="C27" s="13">
        <v>216851</v>
      </c>
      <c r="D27" s="13" t="s">
        <v>9</v>
      </c>
      <c r="E27" s="13">
        <v>13</v>
      </c>
      <c r="F27" s="13" t="s">
        <v>13</v>
      </c>
      <c r="G27" s="13" t="s">
        <v>189</v>
      </c>
      <c r="H27" s="13" t="s">
        <v>169</v>
      </c>
      <c r="I27" s="13" t="s">
        <v>165</v>
      </c>
      <c r="J27" s="13" t="s">
        <v>166</v>
      </c>
      <c r="K27" s="13">
        <v>0</v>
      </c>
      <c r="L27" s="13">
        <v>0</v>
      </c>
      <c r="M27" s="13">
        <v>40</v>
      </c>
      <c r="N27" s="13" t="s">
        <v>167</v>
      </c>
      <c r="O27" s="13" t="s">
        <v>26</v>
      </c>
    </row>
    <row r="28" spans="1:15" x14ac:dyDescent="0.3">
      <c r="A28" s="13">
        <v>19</v>
      </c>
      <c r="B28" s="13" t="s">
        <v>15</v>
      </c>
      <c r="C28" s="13">
        <v>168294</v>
      </c>
      <c r="D28" s="13" t="s">
        <v>16</v>
      </c>
      <c r="E28" s="13">
        <v>9</v>
      </c>
      <c r="F28" s="13" t="s">
        <v>10</v>
      </c>
      <c r="G28" s="13" t="s">
        <v>182</v>
      </c>
      <c r="H28" s="13" t="s">
        <v>180</v>
      </c>
      <c r="I28" s="13" t="s">
        <v>165</v>
      </c>
      <c r="J28" s="13" t="s">
        <v>166</v>
      </c>
      <c r="K28" s="13">
        <v>0</v>
      </c>
      <c r="L28" s="13">
        <v>0</v>
      </c>
      <c r="M28" s="13">
        <v>40</v>
      </c>
      <c r="N28" s="13" t="s">
        <v>167</v>
      </c>
      <c r="O28" s="13" t="s">
        <v>11</v>
      </c>
    </row>
    <row r="29" spans="1:15" x14ac:dyDescent="0.3">
      <c r="A29" s="13">
        <v>54</v>
      </c>
      <c r="B29" s="13" t="s">
        <v>50</v>
      </c>
      <c r="C29" s="13">
        <v>180211</v>
      </c>
      <c r="D29" s="13" t="s">
        <v>30</v>
      </c>
      <c r="E29" s="13">
        <v>10</v>
      </c>
      <c r="F29" s="13" t="s">
        <v>13</v>
      </c>
      <c r="G29" s="13" t="s">
        <v>50</v>
      </c>
      <c r="H29" s="13" t="s">
        <v>169</v>
      </c>
      <c r="I29" s="13" t="s">
        <v>178</v>
      </c>
      <c r="J29" s="13" t="s">
        <v>166</v>
      </c>
      <c r="K29" s="13">
        <v>0</v>
      </c>
      <c r="L29" s="13">
        <v>0</v>
      </c>
      <c r="M29" s="13">
        <v>60</v>
      </c>
      <c r="N29" s="13" t="s">
        <v>190</v>
      </c>
      <c r="O29" s="13" t="s">
        <v>26</v>
      </c>
    </row>
    <row r="30" spans="1:15" x14ac:dyDescent="0.3">
      <c r="A30" s="13">
        <v>39</v>
      </c>
      <c r="B30" s="13" t="s">
        <v>15</v>
      </c>
      <c r="C30" s="13">
        <v>367260</v>
      </c>
      <c r="D30" s="13" t="s">
        <v>16</v>
      </c>
      <c r="E30" s="13">
        <v>9</v>
      </c>
      <c r="F30" s="13" t="s">
        <v>17</v>
      </c>
      <c r="G30" s="13" t="s">
        <v>168</v>
      </c>
      <c r="H30" s="13" t="s">
        <v>164</v>
      </c>
      <c r="I30" s="13" t="s">
        <v>165</v>
      </c>
      <c r="J30" s="13" t="s">
        <v>166</v>
      </c>
      <c r="K30" s="13">
        <v>0</v>
      </c>
      <c r="L30" s="13">
        <v>0</v>
      </c>
      <c r="M30" s="13">
        <v>80</v>
      </c>
      <c r="N30" s="13" t="s">
        <v>167</v>
      </c>
      <c r="O30" s="13" t="s">
        <v>11</v>
      </c>
    </row>
    <row r="31" spans="1:15" x14ac:dyDescent="0.3">
      <c r="A31" s="13">
        <v>49</v>
      </c>
      <c r="B31" s="13" t="s">
        <v>15</v>
      </c>
      <c r="C31" s="13">
        <v>193366</v>
      </c>
      <c r="D31" s="13" t="s">
        <v>16</v>
      </c>
      <c r="E31" s="13">
        <v>9</v>
      </c>
      <c r="F31" s="13" t="s">
        <v>13</v>
      </c>
      <c r="G31" s="13" t="s">
        <v>182</v>
      </c>
      <c r="H31" s="13" t="s">
        <v>169</v>
      </c>
      <c r="I31" s="13" t="s">
        <v>165</v>
      </c>
      <c r="J31" s="13" t="s">
        <v>166</v>
      </c>
      <c r="K31" s="13">
        <v>0</v>
      </c>
      <c r="L31" s="13">
        <v>0</v>
      </c>
      <c r="M31" s="13">
        <v>40</v>
      </c>
      <c r="N31" s="13" t="s">
        <v>167</v>
      </c>
      <c r="O31" s="13" t="s">
        <v>11</v>
      </c>
    </row>
    <row r="32" spans="1:15" x14ac:dyDescent="0.3">
      <c r="A32" s="13">
        <v>23</v>
      </c>
      <c r="B32" s="13" t="s">
        <v>47</v>
      </c>
      <c r="C32" s="13">
        <v>190709</v>
      </c>
      <c r="D32" s="13" t="s">
        <v>33</v>
      </c>
      <c r="E32" s="13">
        <v>12</v>
      </c>
      <c r="F32" s="13" t="s">
        <v>10</v>
      </c>
      <c r="G32" s="13" t="s">
        <v>191</v>
      </c>
      <c r="H32" s="13" t="s">
        <v>164</v>
      </c>
      <c r="I32" s="13" t="s">
        <v>165</v>
      </c>
      <c r="J32" s="13" t="s">
        <v>166</v>
      </c>
      <c r="K32" s="13">
        <v>0</v>
      </c>
      <c r="L32" s="13">
        <v>0</v>
      </c>
      <c r="M32" s="13">
        <v>52</v>
      </c>
      <c r="N32" s="13" t="s">
        <v>167</v>
      </c>
      <c r="O32" s="13" t="s">
        <v>11</v>
      </c>
    </row>
    <row r="33" spans="1:15" x14ac:dyDescent="0.3">
      <c r="A33" s="13">
        <v>20</v>
      </c>
      <c r="B33" s="13" t="s">
        <v>15</v>
      </c>
      <c r="C33" s="13">
        <v>266015</v>
      </c>
      <c r="D33" s="13" t="s">
        <v>30</v>
      </c>
      <c r="E33" s="13">
        <v>10</v>
      </c>
      <c r="F33" s="13" t="s">
        <v>10</v>
      </c>
      <c r="G33" s="13" t="s">
        <v>181</v>
      </c>
      <c r="H33" s="13" t="s">
        <v>180</v>
      </c>
      <c r="I33" s="13" t="s">
        <v>171</v>
      </c>
      <c r="J33" s="13" t="s">
        <v>166</v>
      </c>
      <c r="K33" s="13">
        <v>0</v>
      </c>
      <c r="L33" s="13">
        <v>0</v>
      </c>
      <c r="M33" s="13">
        <v>44</v>
      </c>
      <c r="N33" s="13" t="s">
        <v>167</v>
      </c>
      <c r="O33" s="13" t="s">
        <v>11</v>
      </c>
    </row>
    <row r="34" spans="1:15" x14ac:dyDescent="0.3">
      <c r="A34" s="13">
        <v>45</v>
      </c>
      <c r="B34" s="13" t="s">
        <v>15</v>
      </c>
      <c r="C34" s="13">
        <v>386940</v>
      </c>
      <c r="D34" s="13" t="s">
        <v>9</v>
      </c>
      <c r="E34" s="13">
        <v>13</v>
      </c>
      <c r="F34" s="13" t="s">
        <v>17</v>
      </c>
      <c r="G34" s="13" t="s">
        <v>168</v>
      </c>
      <c r="H34" s="13" t="s">
        <v>180</v>
      </c>
      <c r="I34" s="13" t="s">
        <v>165</v>
      </c>
      <c r="J34" s="13" t="s">
        <v>166</v>
      </c>
      <c r="K34" s="13">
        <v>0</v>
      </c>
      <c r="L34" s="13">
        <v>1408</v>
      </c>
      <c r="M34" s="13">
        <v>40</v>
      </c>
      <c r="N34" s="13" t="s">
        <v>167</v>
      </c>
      <c r="O34" s="13" t="s">
        <v>11</v>
      </c>
    </row>
    <row r="35" spans="1:15" x14ac:dyDescent="0.3">
      <c r="A35" s="13">
        <v>30</v>
      </c>
      <c r="B35" s="13" t="s">
        <v>43</v>
      </c>
      <c r="C35" s="13">
        <v>59951</v>
      </c>
      <c r="D35" s="13" t="s">
        <v>30</v>
      </c>
      <c r="E35" s="13">
        <v>10</v>
      </c>
      <c r="F35" s="13" t="s">
        <v>13</v>
      </c>
      <c r="G35" s="13" t="s">
        <v>163</v>
      </c>
      <c r="H35" s="13" t="s">
        <v>180</v>
      </c>
      <c r="I35" s="13" t="s">
        <v>165</v>
      </c>
      <c r="J35" s="13" t="s">
        <v>166</v>
      </c>
      <c r="K35" s="13">
        <v>0</v>
      </c>
      <c r="L35" s="13">
        <v>0</v>
      </c>
      <c r="M35" s="13">
        <v>40</v>
      </c>
      <c r="N35" s="13" t="s">
        <v>167</v>
      </c>
      <c r="O35" s="13" t="s">
        <v>11</v>
      </c>
    </row>
    <row r="36" spans="1:15" x14ac:dyDescent="0.3">
      <c r="A36" s="13">
        <v>22</v>
      </c>
      <c r="B36" s="13" t="s">
        <v>7</v>
      </c>
      <c r="C36" s="13">
        <v>311512</v>
      </c>
      <c r="D36" s="13" t="s">
        <v>30</v>
      </c>
      <c r="E36" s="13">
        <v>10</v>
      </c>
      <c r="F36" s="13" t="s">
        <v>13</v>
      </c>
      <c r="G36" s="13" t="s">
        <v>176</v>
      </c>
      <c r="H36" s="13" t="s">
        <v>169</v>
      </c>
      <c r="I36" s="13" t="s">
        <v>171</v>
      </c>
      <c r="J36" s="13" t="s">
        <v>166</v>
      </c>
      <c r="K36" s="13">
        <v>0</v>
      </c>
      <c r="L36" s="13">
        <v>0</v>
      </c>
      <c r="M36" s="13">
        <v>15</v>
      </c>
      <c r="N36" s="13" t="s">
        <v>167</v>
      </c>
      <c r="O36" s="13" t="s">
        <v>11</v>
      </c>
    </row>
    <row r="37" spans="1:15" x14ac:dyDescent="0.3">
      <c r="A37" s="13">
        <v>48</v>
      </c>
      <c r="B37" s="13" t="s">
        <v>15</v>
      </c>
      <c r="C37" s="13">
        <v>242406</v>
      </c>
      <c r="D37" s="13" t="s">
        <v>19</v>
      </c>
      <c r="E37" s="13">
        <v>7</v>
      </c>
      <c r="F37" s="13" t="s">
        <v>10</v>
      </c>
      <c r="G37" s="13" t="s">
        <v>187</v>
      </c>
      <c r="H37" s="13" t="s">
        <v>188</v>
      </c>
      <c r="I37" s="13" t="s">
        <v>165</v>
      </c>
      <c r="J37" s="13" t="s">
        <v>166</v>
      </c>
      <c r="K37" s="13">
        <v>0</v>
      </c>
      <c r="L37" s="13">
        <v>0</v>
      </c>
      <c r="M37" s="13">
        <v>40</v>
      </c>
      <c r="N37" s="13" t="s">
        <v>192</v>
      </c>
      <c r="O37" s="13" t="s">
        <v>11</v>
      </c>
    </row>
    <row r="38" spans="1:15" x14ac:dyDescent="0.3">
      <c r="A38" s="13">
        <v>21</v>
      </c>
      <c r="B38" s="13" t="s">
        <v>15</v>
      </c>
      <c r="C38" s="13">
        <v>197200</v>
      </c>
      <c r="D38" s="13" t="s">
        <v>30</v>
      </c>
      <c r="E38" s="13">
        <v>10</v>
      </c>
      <c r="F38" s="13" t="s">
        <v>10</v>
      </c>
      <c r="G38" s="13" t="s">
        <v>187</v>
      </c>
      <c r="H38" s="13" t="s">
        <v>180</v>
      </c>
      <c r="I38" s="13" t="s">
        <v>165</v>
      </c>
      <c r="J38" s="13" t="s">
        <v>166</v>
      </c>
      <c r="K38" s="13">
        <v>0</v>
      </c>
      <c r="L38" s="13">
        <v>0</v>
      </c>
      <c r="M38" s="13">
        <v>40</v>
      </c>
      <c r="N38" s="13" t="s">
        <v>167</v>
      </c>
      <c r="O38" s="13" t="s">
        <v>11</v>
      </c>
    </row>
    <row r="39" spans="1:15" x14ac:dyDescent="0.3">
      <c r="A39" s="13">
        <v>19</v>
      </c>
      <c r="B39" s="13" t="s">
        <v>15</v>
      </c>
      <c r="C39" s="13">
        <v>544091</v>
      </c>
      <c r="D39" s="13" t="s">
        <v>16</v>
      </c>
      <c r="E39" s="13">
        <v>9</v>
      </c>
      <c r="F39" s="13" t="s">
        <v>59</v>
      </c>
      <c r="G39" s="13" t="s">
        <v>163</v>
      </c>
      <c r="H39" s="13" t="s">
        <v>173</v>
      </c>
      <c r="I39" s="13" t="s">
        <v>165</v>
      </c>
      <c r="J39" s="13" t="s">
        <v>174</v>
      </c>
      <c r="K39" s="13">
        <v>0</v>
      </c>
      <c r="L39" s="13">
        <v>0</v>
      </c>
      <c r="M39" s="13">
        <v>25</v>
      </c>
      <c r="N39" s="13" t="s">
        <v>167</v>
      </c>
      <c r="O39" s="13" t="s">
        <v>11</v>
      </c>
    </row>
    <row r="40" spans="1:15" x14ac:dyDescent="0.3">
      <c r="A40" s="13">
        <v>31</v>
      </c>
      <c r="B40" s="13" t="s">
        <v>15</v>
      </c>
      <c r="C40" s="13">
        <v>84154</v>
      </c>
      <c r="D40" s="13" t="s">
        <v>30</v>
      </c>
      <c r="E40" s="13">
        <v>10</v>
      </c>
      <c r="F40" s="13" t="s">
        <v>13</v>
      </c>
      <c r="G40" s="13" t="s">
        <v>181</v>
      </c>
      <c r="H40" s="13" t="s">
        <v>169</v>
      </c>
      <c r="I40" s="13" t="s">
        <v>165</v>
      </c>
      <c r="J40" s="13" t="s">
        <v>166</v>
      </c>
      <c r="K40" s="13">
        <v>0</v>
      </c>
      <c r="L40" s="13">
        <v>0</v>
      </c>
      <c r="M40" s="13">
        <v>38</v>
      </c>
      <c r="N40" s="13" t="s">
        <v>50</v>
      </c>
      <c r="O40" s="13" t="s">
        <v>26</v>
      </c>
    </row>
    <row r="41" spans="1:15" x14ac:dyDescent="0.3">
      <c r="A41" s="13">
        <v>48</v>
      </c>
      <c r="B41" s="13" t="s">
        <v>12</v>
      </c>
      <c r="C41" s="13">
        <v>265477</v>
      </c>
      <c r="D41" s="13" t="s">
        <v>33</v>
      </c>
      <c r="E41" s="13">
        <v>12</v>
      </c>
      <c r="F41" s="13" t="s">
        <v>13</v>
      </c>
      <c r="G41" s="13" t="s">
        <v>172</v>
      </c>
      <c r="H41" s="13" t="s">
        <v>169</v>
      </c>
      <c r="I41" s="13" t="s">
        <v>165</v>
      </c>
      <c r="J41" s="13" t="s">
        <v>166</v>
      </c>
      <c r="K41" s="13">
        <v>0</v>
      </c>
      <c r="L41" s="13">
        <v>0</v>
      </c>
      <c r="M41" s="13">
        <v>40</v>
      </c>
      <c r="N41" s="13" t="s">
        <v>167</v>
      </c>
      <c r="O41" s="13" t="s">
        <v>11</v>
      </c>
    </row>
    <row r="42" spans="1:15" x14ac:dyDescent="0.3">
      <c r="A42" s="13">
        <v>31</v>
      </c>
      <c r="B42" s="13" t="s">
        <v>15</v>
      </c>
      <c r="C42" s="13">
        <v>507875</v>
      </c>
      <c r="D42" s="13" t="s">
        <v>23</v>
      </c>
      <c r="E42" s="13">
        <v>5</v>
      </c>
      <c r="F42" s="13" t="s">
        <v>13</v>
      </c>
      <c r="G42" s="13" t="s">
        <v>187</v>
      </c>
      <c r="H42" s="13" t="s">
        <v>169</v>
      </c>
      <c r="I42" s="13" t="s">
        <v>165</v>
      </c>
      <c r="J42" s="13" t="s">
        <v>166</v>
      </c>
      <c r="K42" s="13">
        <v>0</v>
      </c>
      <c r="L42" s="13">
        <v>0</v>
      </c>
      <c r="M42" s="13">
        <v>43</v>
      </c>
      <c r="N42" s="13" t="s">
        <v>167</v>
      </c>
      <c r="O42" s="13" t="s">
        <v>11</v>
      </c>
    </row>
    <row r="43" spans="1:15" x14ac:dyDescent="0.3">
      <c r="A43" s="13">
        <v>53</v>
      </c>
      <c r="B43" s="13" t="s">
        <v>12</v>
      </c>
      <c r="C43" s="13">
        <v>88506</v>
      </c>
      <c r="D43" s="13" t="s">
        <v>9</v>
      </c>
      <c r="E43" s="13">
        <v>13</v>
      </c>
      <c r="F43" s="13" t="s">
        <v>13</v>
      </c>
      <c r="G43" s="13" t="s">
        <v>172</v>
      </c>
      <c r="H43" s="13" t="s">
        <v>169</v>
      </c>
      <c r="I43" s="13" t="s">
        <v>165</v>
      </c>
      <c r="J43" s="13" t="s">
        <v>166</v>
      </c>
      <c r="K43" s="13">
        <v>0</v>
      </c>
      <c r="L43" s="13">
        <v>0</v>
      </c>
      <c r="M43" s="13">
        <v>40</v>
      </c>
      <c r="N43" s="13" t="s">
        <v>167</v>
      </c>
      <c r="O43" s="13" t="s">
        <v>11</v>
      </c>
    </row>
    <row r="44" spans="1:15" x14ac:dyDescent="0.3">
      <c r="A44" s="13">
        <v>24</v>
      </c>
      <c r="B44" s="13" t="s">
        <v>15</v>
      </c>
      <c r="C44" s="13">
        <v>172987</v>
      </c>
      <c r="D44" s="13" t="s">
        <v>9</v>
      </c>
      <c r="E44" s="13">
        <v>13</v>
      </c>
      <c r="F44" s="13" t="s">
        <v>13</v>
      </c>
      <c r="G44" s="13" t="s">
        <v>189</v>
      </c>
      <c r="H44" s="13" t="s">
        <v>169</v>
      </c>
      <c r="I44" s="13" t="s">
        <v>165</v>
      </c>
      <c r="J44" s="13" t="s">
        <v>166</v>
      </c>
      <c r="K44" s="13">
        <v>0</v>
      </c>
      <c r="L44" s="13">
        <v>0</v>
      </c>
      <c r="M44" s="13">
        <v>50</v>
      </c>
      <c r="N44" s="13" t="s">
        <v>167</v>
      </c>
      <c r="O44" s="13" t="s">
        <v>11</v>
      </c>
    </row>
    <row r="45" spans="1:15" x14ac:dyDescent="0.3">
      <c r="A45" s="13">
        <v>49</v>
      </c>
      <c r="B45" s="13" t="s">
        <v>15</v>
      </c>
      <c r="C45" s="13">
        <v>94638</v>
      </c>
      <c r="D45" s="13" t="s">
        <v>16</v>
      </c>
      <c r="E45" s="13">
        <v>9</v>
      </c>
      <c r="F45" s="13" t="s">
        <v>41</v>
      </c>
      <c r="G45" s="13" t="s">
        <v>163</v>
      </c>
      <c r="H45" s="13" t="s">
        <v>188</v>
      </c>
      <c r="I45" s="13" t="s">
        <v>165</v>
      </c>
      <c r="J45" s="13" t="s">
        <v>174</v>
      </c>
      <c r="K45" s="13">
        <v>0</v>
      </c>
      <c r="L45" s="13">
        <v>0</v>
      </c>
      <c r="M45" s="13">
        <v>40</v>
      </c>
      <c r="N45" s="13" t="s">
        <v>167</v>
      </c>
      <c r="O45" s="13" t="s">
        <v>11</v>
      </c>
    </row>
    <row r="46" spans="1:15" x14ac:dyDescent="0.3">
      <c r="A46" s="13">
        <v>25</v>
      </c>
      <c r="B46" s="13" t="s">
        <v>15</v>
      </c>
      <c r="C46" s="13">
        <v>289980</v>
      </c>
      <c r="D46" s="13" t="s">
        <v>16</v>
      </c>
      <c r="E46" s="13">
        <v>9</v>
      </c>
      <c r="F46" s="13" t="s">
        <v>10</v>
      </c>
      <c r="G46" s="13" t="s">
        <v>170</v>
      </c>
      <c r="H46" s="13" t="s">
        <v>164</v>
      </c>
      <c r="I46" s="13" t="s">
        <v>165</v>
      </c>
      <c r="J46" s="13" t="s">
        <v>166</v>
      </c>
      <c r="K46" s="13">
        <v>0</v>
      </c>
      <c r="L46" s="13">
        <v>0</v>
      </c>
      <c r="M46" s="13">
        <v>35</v>
      </c>
      <c r="N46" s="13" t="s">
        <v>167</v>
      </c>
      <c r="O46" s="13" t="s">
        <v>11</v>
      </c>
    </row>
    <row r="47" spans="1:15" x14ac:dyDescent="0.3">
      <c r="A47" s="13">
        <v>57</v>
      </c>
      <c r="B47" s="13" t="s">
        <v>43</v>
      </c>
      <c r="C47" s="13">
        <v>337895</v>
      </c>
      <c r="D47" s="13" t="s">
        <v>9</v>
      </c>
      <c r="E47" s="13">
        <v>13</v>
      </c>
      <c r="F47" s="13" t="s">
        <v>13</v>
      </c>
      <c r="G47" s="13" t="s">
        <v>172</v>
      </c>
      <c r="H47" s="13" t="s">
        <v>169</v>
      </c>
      <c r="I47" s="13" t="s">
        <v>171</v>
      </c>
      <c r="J47" s="13" t="s">
        <v>166</v>
      </c>
      <c r="K47" s="13">
        <v>0</v>
      </c>
      <c r="L47" s="13">
        <v>0</v>
      </c>
      <c r="M47" s="13">
        <v>40</v>
      </c>
      <c r="N47" s="13" t="s">
        <v>167</v>
      </c>
      <c r="O47" s="13" t="s">
        <v>26</v>
      </c>
    </row>
    <row r="48" spans="1:15" x14ac:dyDescent="0.3">
      <c r="A48" s="13">
        <v>53</v>
      </c>
      <c r="B48" s="13" t="s">
        <v>15</v>
      </c>
      <c r="C48" s="13">
        <v>144361</v>
      </c>
      <c r="D48" s="13" t="s">
        <v>16</v>
      </c>
      <c r="E48" s="13">
        <v>9</v>
      </c>
      <c r="F48" s="13" t="s">
        <v>13</v>
      </c>
      <c r="G48" s="13" t="s">
        <v>187</v>
      </c>
      <c r="H48" s="13" t="s">
        <v>169</v>
      </c>
      <c r="I48" s="13" t="s">
        <v>165</v>
      </c>
      <c r="J48" s="13" t="s">
        <v>166</v>
      </c>
      <c r="K48" s="13">
        <v>0</v>
      </c>
      <c r="L48" s="13">
        <v>0</v>
      </c>
      <c r="M48" s="13">
        <v>38</v>
      </c>
      <c r="N48" s="13" t="s">
        <v>167</v>
      </c>
      <c r="O48" s="13" t="s">
        <v>11</v>
      </c>
    </row>
    <row r="49" spans="1:15" x14ac:dyDescent="0.3">
      <c r="A49" s="13">
        <v>44</v>
      </c>
      <c r="B49" s="13" t="s">
        <v>15</v>
      </c>
      <c r="C49" s="13">
        <v>128354</v>
      </c>
      <c r="D49" s="13" t="s">
        <v>21</v>
      </c>
      <c r="E49" s="13">
        <v>14</v>
      </c>
      <c r="F49" s="13" t="s">
        <v>17</v>
      </c>
      <c r="G49" s="13" t="s">
        <v>168</v>
      </c>
      <c r="H49" s="13" t="s">
        <v>188</v>
      </c>
      <c r="I49" s="13" t="s">
        <v>165</v>
      </c>
      <c r="J49" s="13" t="s">
        <v>174</v>
      </c>
      <c r="K49" s="13">
        <v>0</v>
      </c>
      <c r="L49" s="13">
        <v>0</v>
      </c>
      <c r="M49" s="13">
        <v>40</v>
      </c>
      <c r="N49" s="13" t="s">
        <v>167</v>
      </c>
      <c r="O49" s="13" t="s">
        <v>11</v>
      </c>
    </row>
    <row r="50" spans="1:15" x14ac:dyDescent="0.3">
      <c r="A50" s="13">
        <v>41</v>
      </c>
      <c r="B50" s="13" t="s">
        <v>7</v>
      </c>
      <c r="C50" s="13">
        <v>101603</v>
      </c>
      <c r="D50" s="13" t="s">
        <v>34</v>
      </c>
      <c r="E50" s="13">
        <v>11</v>
      </c>
      <c r="F50" s="13" t="s">
        <v>13</v>
      </c>
      <c r="G50" s="13" t="s">
        <v>182</v>
      </c>
      <c r="H50" s="13" t="s">
        <v>169</v>
      </c>
      <c r="I50" s="13" t="s">
        <v>165</v>
      </c>
      <c r="J50" s="13" t="s">
        <v>166</v>
      </c>
      <c r="K50" s="13">
        <v>0</v>
      </c>
      <c r="L50" s="13">
        <v>0</v>
      </c>
      <c r="M50" s="13">
        <v>40</v>
      </c>
      <c r="N50" s="13" t="s">
        <v>167</v>
      </c>
      <c r="O50" s="13" t="s">
        <v>11</v>
      </c>
    </row>
    <row r="51" spans="1:15" x14ac:dyDescent="0.3">
      <c r="A51" s="13">
        <v>29</v>
      </c>
      <c r="B51" s="13" t="s">
        <v>15</v>
      </c>
      <c r="C51" s="13">
        <v>271466</v>
      </c>
      <c r="D51" s="13" t="s">
        <v>34</v>
      </c>
      <c r="E51" s="13">
        <v>11</v>
      </c>
      <c r="F51" s="13" t="s">
        <v>10</v>
      </c>
      <c r="G51" s="13" t="s">
        <v>172</v>
      </c>
      <c r="H51" s="13" t="s">
        <v>164</v>
      </c>
      <c r="I51" s="13" t="s">
        <v>165</v>
      </c>
      <c r="J51" s="13" t="s">
        <v>166</v>
      </c>
      <c r="K51" s="13">
        <v>0</v>
      </c>
      <c r="L51" s="13">
        <v>0</v>
      </c>
      <c r="M51" s="13">
        <v>43</v>
      </c>
      <c r="N51" s="13" t="s">
        <v>167</v>
      </c>
      <c r="O51" s="13" t="s">
        <v>11</v>
      </c>
    </row>
    <row r="52" spans="1:15" x14ac:dyDescent="0.3">
      <c r="A52" s="13">
        <v>25</v>
      </c>
      <c r="B52" s="13" t="s">
        <v>15</v>
      </c>
      <c r="C52" s="13">
        <v>32275</v>
      </c>
      <c r="D52" s="13" t="s">
        <v>30</v>
      </c>
      <c r="E52" s="13">
        <v>10</v>
      </c>
      <c r="F52" s="13" t="s">
        <v>13</v>
      </c>
      <c r="G52" s="13" t="s">
        <v>168</v>
      </c>
      <c r="H52" s="13" t="s">
        <v>173</v>
      </c>
      <c r="I52" s="13" t="s">
        <v>193</v>
      </c>
      <c r="J52" s="13" t="s">
        <v>174</v>
      </c>
      <c r="K52" s="13">
        <v>0</v>
      </c>
      <c r="L52" s="13">
        <v>0</v>
      </c>
      <c r="M52" s="13">
        <v>40</v>
      </c>
      <c r="N52" s="13" t="s">
        <v>167</v>
      </c>
      <c r="O52" s="13" t="s">
        <v>11</v>
      </c>
    </row>
    <row r="53" spans="1:15" x14ac:dyDescent="0.3">
      <c r="A53" s="13">
        <v>18</v>
      </c>
      <c r="B53" s="13" t="s">
        <v>15</v>
      </c>
      <c r="C53" s="13">
        <v>226956</v>
      </c>
      <c r="D53" s="13" t="s">
        <v>16</v>
      </c>
      <c r="E53" s="13">
        <v>9</v>
      </c>
      <c r="F53" s="13" t="s">
        <v>10</v>
      </c>
      <c r="G53" s="13" t="s">
        <v>176</v>
      </c>
      <c r="H53" s="13" t="s">
        <v>180</v>
      </c>
      <c r="I53" s="13" t="s">
        <v>165</v>
      </c>
      <c r="J53" s="13" t="s">
        <v>174</v>
      </c>
      <c r="K53" s="13">
        <v>0</v>
      </c>
      <c r="L53" s="13">
        <v>0</v>
      </c>
      <c r="M53" s="13">
        <v>30</v>
      </c>
      <c r="N53" s="13" t="s">
        <v>50</v>
      </c>
      <c r="O53" s="13" t="s">
        <v>11</v>
      </c>
    </row>
    <row r="54" spans="1:15" x14ac:dyDescent="0.3">
      <c r="A54" s="13">
        <v>47</v>
      </c>
      <c r="B54" s="13" t="s">
        <v>15</v>
      </c>
      <c r="C54" s="13">
        <v>51835</v>
      </c>
      <c r="D54" s="13" t="s">
        <v>53</v>
      </c>
      <c r="E54" s="13">
        <v>15</v>
      </c>
      <c r="F54" s="13" t="s">
        <v>13</v>
      </c>
      <c r="G54" s="13" t="s">
        <v>172</v>
      </c>
      <c r="H54" s="13" t="s">
        <v>173</v>
      </c>
      <c r="I54" s="13" t="s">
        <v>165</v>
      </c>
      <c r="J54" s="13" t="s">
        <v>174</v>
      </c>
      <c r="K54" s="13">
        <v>0</v>
      </c>
      <c r="L54" s="13">
        <v>1902</v>
      </c>
      <c r="M54" s="13">
        <v>60</v>
      </c>
      <c r="N54" s="13" t="s">
        <v>194</v>
      </c>
      <c r="O54" s="13" t="s">
        <v>26</v>
      </c>
    </row>
    <row r="55" spans="1:15" x14ac:dyDescent="0.3">
      <c r="A55" s="13">
        <v>50</v>
      </c>
      <c r="B55" s="13" t="s">
        <v>43</v>
      </c>
      <c r="C55" s="13">
        <v>251585</v>
      </c>
      <c r="D55" s="13" t="s">
        <v>9</v>
      </c>
      <c r="E55" s="13">
        <v>13</v>
      </c>
      <c r="F55" s="13" t="s">
        <v>17</v>
      </c>
      <c r="G55" s="13" t="s">
        <v>168</v>
      </c>
      <c r="H55" s="13" t="s">
        <v>164</v>
      </c>
      <c r="I55" s="13" t="s">
        <v>165</v>
      </c>
      <c r="J55" s="13" t="s">
        <v>166</v>
      </c>
      <c r="K55" s="13">
        <v>0</v>
      </c>
      <c r="L55" s="13">
        <v>0</v>
      </c>
      <c r="M55" s="13">
        <v>55</v>
      </c>
      <c r="N55" s="13" t="s">
        <v>167</v>
      </c>
      <c r="O55" s="13" t="s">
        <v>26</v>
      </c>
    </row>
    <row r="56" spans="1:15" x14ac:dyDescent="0.3">
      <c r="A56" s="13">
        <v>47</v>
      </c>
      <c r="B56" s="13" t="s">
        <v>60</v>
      </c>
      <c r="C56" s="13">
        <v>109832</v>
      </c>
      <c r="D56" s="13" t="s">
        <v>16</v>
      </c>
      <c r="E56" s="13">
        <v>9</v>
      </c>
      <c r="F56" s="13" t="s">
        <v>17</v>
      </c>
      <c r="G56" s="13" t="s">
        <v>168</v>
      </c>
      <c r="H56" s="13" t="s">
        <v>164</v>
      </c>
      <c r="I56" s="13" t="s">
        <v>165</v>
      </c>
      <c r="J56" s="13" t="s">
        <v>166</v>
      </c>
      <c r="K56" s="13">
        <v>0</v>
      </c>
      <c r="L56" s="13">
        <v>0</v>
      </c>
      <c r="M56" s="13">
        <v>60</v>
      </c>
      <c r="N56" s="13" t="s">
        <v>167</v>
      </c>
      <c r="O56" s="13" t="s">
        <v>11</v>
      </c>
    </row>
    <row r="57" spans="1:15" x14ac:dyDescent="0.3">
      <c r="A57" s="13">
        <v>43</v>
      </c>
      <c r="B57" s="13" t="s">
        <v>15</v>
      </c>
      <c r="C57" s="13">
        <v>237993</v>
      </c>
      <c r="D57" s="13" t="s">
        <v>30</v>
      </c>
      <c r="E57" s="13">
        <v>10</v>
      </c>
      <c r="F57" s="13" t="s">
        <v>13</v>
      </c>
      <c r="G57" s="13" t="s">
        <v>189</v>
      </c>
      <c r="H57" s="13" t="s">
        <v>169</v>
      </c>
      <c r="I57" s="13" t="s">
        <v>165</v>
      </c>
      <c r="J57" s="13" t="s">
        <v>166</v>
      </c>
      <c r="K57" s="13">
        <v>0</v>
      </c>
      <c r="L57" s="13">
        <v>0</v>
      </c>
      <c r="M57" s="13">
        <v>40</v>
      </c>
      <c r="N57" s="13" t="s">
        <v>167</v>
      </c>
      <c r="O57" s="13" t="s">
        <v>26</v>
      </c>
    </row>
    <row r="58" spans="1:15" x14ac:dyDescent="0.3">
      <c r="A58" s="13">
        <v>46</v>
      </c>
      <c r="B58" s="13" t="s">
        <v>15</v>
      </c>
      <c r="C58" s="13">
        <v>216666</v>
      </c>
      <c r="D58" s="13" t="s">
        <v>61</v>
      </c>
      <c r="E58" s="13">
        <v>3</v>
      </c>
      <c r="F58" s="13" t="s">
        <v>13</v>
      </c>
      <c r="G58" s="13" t="s">
        <v>187</v>
      </c>
      <c r="H58" s="13" t="s">
        <v>169</v>
      </c>
      <c r="I58" s="13" t="s">
        <v>165</v>
      </c>
      <c r="J58" s="13" t="s">
        <v>166</v>
      </c>
      <c r="K58" s="13">
        <v>0</v>
      </c>
      <c r="L58" s="13">
        <v>0</v>
      </c>
      <c r="M58" s="13">
        <v>40</v>
      </c>
      <c r="N58" s="13" t="s">
        <v>185</v>
      </c>
      <c r="O58" s="13" t="s">
        <v>11</v>
      </c>
    </row>
    <row r="59" spans="1:15" x14ac:dyDescent="0.3">
      <c r="A59" s="13">
        <v>35</v>
      </c>
      <c r="B59" s="13" t="s">
        <v>15</v>
      </c>
      <c r="C59" s="13">
        <v>56352</v>
      </c>
      <c r="D59" s="13" t="s">
        <v>34</v>
      </c>
      <c r="E59" s="13">
        <v>11</v>
      </c>
      <c r="F59" s="13" t="s">
        <v>13</v>
      </c>
      <c r="G59" s="13" t="s">
        <v>176</v>
      </c>
      <c r="H59" s="13" t="s">
        <v>169</v>
      </c>
      <c r="I59" s="13" t="s">
        <v>165</v>
      </c>
      <c r="J59" s="13" t="s">
        <v>166</v>
      </c>
      <c r="K59" s="13">
        <v>0</v>
      </c>
      <c r="L59" s="13">
        <v>0</v>
      </c>
      <c r="M59" s="13">
        <v>40</v>
      </c>
      <c r="N59" s="13" t="s">
        <v>192</v>
      </c>
      <c r="O59" s="13" t="s">
        <v>11</v>
      </c>
    </row>
    <row r="60" spans="1:15" x14ac:dyDescent="0.3">
      <c r="A60" s="13">
        <v>41</v>
      </c>
      <c r="B60" s="13" t="s">
        <v>15</v>
      </c>
      <c r="C60" s="13">
        <v>147372</v>
      </c>
      <c r="D60" s="13" t="s">
        <v>16</v>
      </c>
      <c r="E60" s="13">
        <v>9</v>
      </c>
      <c r="F60" s="13" t="s">
        <v>13</v>
      </c>
      <c r="G60" s="13" t="s">
        <v>163</v>
      </c>
      <c r="H60" s="13" t="s">
        <v>169</v>
      </c>
      <c r="I60" s="13" t="s">
        <v>165</v>
      </c>
      <c r="J60" s="13" t="s">
        <v>166</v>
      </c>
      <c r="K60" s="13">
        <v>0</v>
      </c>
      <c r="L60" s="13">
        <v>0</v>
      </c>
      <c r="M60" s="13">
        <v>48</v>
      </c>
      <c r="N60" s="13" t="s">
        <v>167</v>
      </c>
      <c r="O60" s="13" t="s">
        <v>11</v>
      </c>
    </row>
    <row r="61" spans="1:15" x14ac:dyDescent="0.3">
      <c r="A61" s="13">
        <v>30</v>
      </c>
      <c r="B61" s="13" t="s">
        <v>15</v>
      </c>
      <c r="C61" s="13">
        <v>188146</v>
      </c>
      <c r="D61" s="13" t="s">
        <v>16</v>
      </c>
      <c r="E61" s="13">
        <v>9</v>
      </c>
      <c r="F61" s="13" t="s">
        <v>13</v>
      </c>
      <c r="G61" s="13" t="s">
        <v>187</v>
      </c>
      <c r="H61" s="13" t="s">
        <v>169</v>
      </c>
      <c r="I61" s="13" t="s">
        <v>165</v>
      </c>
      <c r="J61" s="13" t="s">
        <v>166</v>
      </c>
      <c r="K61" s="13">
        <v>5013</v>
      </c>
      <c r="L61" s="13">
        <v>0</v>
      </c>
      <c r="M61" s="13">
        <v>40</v>
      </c>
      <c r="N61" s="13" t="s">
        <v>167</v>
      </c>
      <c r="O61" s="13" t="s">
        <v>11</v>
      </c>
    </row>
    <row r="62" spans="1:15" x14ac:dyDescent="0.3">
      <c r="A62" s="13">
        <v>30</v>
      </c>
      <c r="B62" s="13" t="s">
        <v>15</v>
      </c>
      <c r="C62" s="13">
        <v>59496</v>
      </c>
      <c r="D62" s="13" t="s">
        <v>9</v>
      </c>
      <c r="E62" s="13">
        <v>13</v>
      </c>
      <c r="F62" s="13" t="s">
        <v>13</v>
      </c>
      <c r="G62" s="13" t="s">
        <v>181</v>
      </c>
      <c r="H62" s="13" t="s">
        <v>169</v>
      </c>
      <c r="I62" s="13" t="s">
        <v>165</v>
      </c>
      <c r="J62" s="13" t="s">
        <v>166</v>
      </c>
      <c r="K62" s="13">
        <v>2407</v>
      </c>
      <c r="L62" s="13">
        <v>0</v>
      </c>
      <c r="M62" s="13">
        <v>40</v>
      </c>
      <c r="N62" s="13" t="s">
        <v>167</v>
      </c>
      <c r="O62" s="13" t="s">
        <v>11</v>
      </c>
    </row>
    <row r="63" spans="1:15" x14ac:dyDescent="0.3">
      <c r="A63" s="13">
        <v>32</v>
      </c>
      <c r="B63" s="13" t="s">
        <v>50</v>
      </c>
      <c r="C63" s="13">
        <v>293936</v>
      </c>
      <c r="D63" s="13" t="s">
        <v>35</v>
      </c>
      <c r="E63" s="13">
        <v>4</v>
      </c>
      <c r="F63" s="13" t="s">
        <v>24</v>
      </c>
      <c r="G63" s="13" t="s">
        <v>50</v>
      </c>
      <c r="H63" s="13" t="s">
        <v>164</v>
      </c>
      <c r="I63" s="13" t="s">
        <v>165</v>
      </c>
      <c r="J63" s="13" t="s">
        <v>166</v>
      </c>
      <c r="K63" s="13">
        <v>0</v>
      </c>
      <c r="L63" s="13">
        <v>0</v>
      </c>
      <c r="M63" s="13">
        <v>40</v>
      </c>
      <c r="N63" s="13" t="s">
        <v>50</v>
      </c>
      <c r="O63" s="13" t="s">
        <v>11</v>
      </c>
    </row>
    <row r="64" spans="1:15" x14ac:dyDescent="0.3">
      <c r="A64" s="13">
        <v>48</v>
      </c>
      <c r="B64" s="13" t="s">
        <v>15</v>
      </c>
      <c r="C64" s="13">
        <v>149640</v>
      </c>
      <c r="D64" s="13" t="s">
        <v>16</v>
      </c>
      <c r="E64" s="13">
        <v>9</v>
      </c>
      <c r="F64" s="13" t="s">
        <v>13</v>
      </c>
      <c r="G64" s="13" t="s">
        <v>183</v>
      </c>
      <c r="H64" s="13" t="s">
        <v>169</v>
      </c>
      <c r="I64" s="13" t="s">
        <v>165</v>
      </c>
      <c r="J64" s="13" t="s">
        <v>166</v>
      </c>
      <c r="K64" s="13">
        <v>0</v>
      </c>
      <c r="L64" s="13">
        <v>0</v>
      </c>
      <c r="M64" s="13">
        <v>40</v>
      </c>
      <c r="N64" s="13" t="s">
        <v>167</v>
      </c>
      <c r="O64" s="13" t="s">
        <v>11</v>
      </c>
    </row>
    <row r="65" spans="1:15" x14ac:dyDescent="0.3">
      <c r="A65" s="13">
        <v>42</v>
      </c>
      <c r="B65" s="13" t="s">
        <v>15</v>
      </c>
      <c r="C65" s="13">
        <v>116632</v>
      </c>
      <c r="D65" s="13" t="s">
        <v>39</v>
      </c>
      <c r="E65" s="13">
        <v>16</v>
      </c>
      <c r="F65" s="13" t="s">
        <v>13</v>
      </c>
      <c r="G65" s="13" t="s">
        <v>172</v>
      </c>
      <c r="H65" s="13" t="s">
        <v>169</v>
      </c>
      <c r="I65" s="13" t="s">
        <v>165</v>
      </c>
      <c r="J65" s="13" t="s">
        <v>166</v>
      </c>
      <c r="K65" s="13">
        <v>0</v>
      </c>
      <c r="L65" s="13">
        <v>0</v>
      </c>
      <c r="M65" s="13">
        <v>45</v>
      </c>
      <c r="N65" s="13" t="s">
        <v>167</v>
      </c>
      <c r="O65" s="13" t="s">
        <v>26</v>
      </c>
    </row>
    <row r="66" spans="1:15" x14ac:dyDescent="0.3">
      <c r="A66" s="13">
        <v>29</v>
      </c>
      <c r="B66" s="13" t="s">
        <v>15</v>
      </c>
      <c r="C66" s="13">
        <v>105598</v>
      </c>
      <c r="D66" s="13" t="s">
        <v>30</v>
      </c>
      <c r="E66" s="13">
        <v>10</v>
      </c>
      <c r="F66" s="13" t="s">
        <v>17</v>
      </c>
      <c r="G66" s="13" t="s">
        <v>189</v>
      </c>
      <c r="H66" s="13" t="s">
        <v>164</v>
      </c>
      <c r="I66" s="13" t="s">
        <v>165</v>
      </c>
      <c r="J66" s="13" t="s">
        <v>166</v>
      </c>
      <c r="K66" s="13">
        <v>0</v>
      </c>
      <c r="L66" s="13">
        <v>0</v>
      </c>
      <c r="M66" s="13">
        <v>58</v>
      </c>
      <c r="N66" s="13" t="s">
        <v>167</v>
      </c>
      <c r="O66" s="13" t="s">
        <v>11</v>
      </c>
    </row>
    <row r="67" spans="1:15" x14ac:dyDescent="0.3">
      <c r="A67" s="13">
        <v>36</v>
      </c>
      <c r="B67" s="13" t="s">
        <v>15</v>
      </c>
      <c r="C67" s="13">
        <v>155537</v>
      </c>
      <c r="D67" s="13" t="s">
        <v>16</v>
      </c>
      <c r="E67" s="13">
        <v>9</v>
      </c>
      <c r="F67" s="13" t="s">
        <v>13</v>
      </c>
      <c r="G67" s="13" t="s">
        <v>182</v>
      </c>
      <c r="H67" s="13" t="s">
        <v>169</v>
      </c>
      <c r="I67" s="13" t="s">
        <v>165</v>
      </c>
      <c r="J67" s="13" t="s">
        <v>166</v>
      </c>
      <c r="K67" s="13">
        <v>0</v>
      </c>
      <c r="L67" s="13">
        <v>0</v>
      </c>
      <c r="M67" s="13">
        <v>40</v>
      </c>
      <c r="N67" s="13" t="s">
        <v>167</v>
      </c>
      <c r="O67" s="13" t="s">
        <v>11</v>
      </c>
    </row>
    <row r="68" spans="1:15" x14ac:dyDescent="0.3">
      <c r="A68" s="13">
        <v>28</v>
      </c>
      <c r="B68" s="13" t="s">
        <v>15</v>
      </c>
      <c r="C68" s="13">
        <v>183175</v>
      </c>
      <c r="D68" s="13" t="s">
        <v>30</v>
      </c>
      <c r="E68" s="13">
        <v>10</v>
      </c>
      <c r="F68" s="13" t="s">
        <v>17</v>
      </c>
      <c r="G68" s="13" t="s">
        <v>163</v>
      </c>
      <c r="H68" s="13" t="s">
        <v>164</v>
      </c>
      <c r="I68" s="13" t="s">
        <v>165</v>
      </c>
      <c r="J68" s="13" t="s">
        <v>174</v>
      </c>
      <c r="K68" s="13">
        <v>0</v>
      </c>
      <c r="L68" s="13">
        <v>0</v>
      </c>
      <c r="M68" s="13">
        <v>40</v>
      </c>
      <c r="N68" s="13" t="s">
        <v>167</v>
      </c>
      <c r="O68" s="13" t="s">
        <v>11</v>
      </c>
    </row>
    <row r="69" spans="1:15" x14ac:dyDescent="0.3">
      <c r="A69" s="13">
        <v>53</v>
      </c>
      <c r="B69" s="13" t="s">
        <v>15</v>
      </c>
      <c r="C69" s="13">
        <v>169846</v>
      </c>
      <c r="D69" s="13" t="s">
        <v>16</v>
      </c>
      <c r="E69" s="13">
        <v>9</v>
      </c>
      <c r="F69" s="13" t="s">
        <v>13</v>
      </c>
      <c r="G69" s="13" t="s">
        <v>163</v>
      </c>
      <c r="H69" s="13" t="s">
        <v>173</v>
      </c>
      <c r="I69" s="13" t="s">
        <v>165</v>
      </c>
      <c r="J69" s="13" t="s">
        <v>174</v>
      </c>
      <c r="K69" s="13">
        <v>0</v>
      </c>
      <c r="L69" s="13">
        <v>0</v>
      </c>
      <c r="M69" s="13">
        <v>40</v>
      </c>
      <c r="N69" s="13" t="s">
        <v>167</v>
      </c>
      <c r="O69" s="13" t="s">
        <v>26</v>
      </c>
    </row>
    <row r="70" spans="1:15" x14ac:dyDescent="0.3">
      <c r="A70" s="13">
        <v>49</v>
      </c>
      <c r="B70" s="13" t="s">
        <v>60</v>
      </c>
      <c r="C70" s="13">
        <v>191681</v>
      </c>
      <c r="D70" s="13" t="s">
        <v>30</v>
      </c>
      <c r="E70" s="13">
        <v>10</v>
      </c>
      <c r="F70" s="13" t="s">
        <v>13</v>
      </c>
      <c r="G70" s="13" t="s">
        <v>168</v>
      </c>
      <c r="H70" s="13" t="s">
        <v>169</v>
      </c>
      <c r="I70" s="13" t="s">
        <v>165</v>
      </c>
      <c r="J70" s="13" t="s">
        <v>166</v>
      </c>
      <c r="K70" s="13">
        <v>0</v>
      </c>
      <c r="L70" s="13">
        <v>0</v>
      </c>
      <c r="M70" s="13">
        <v>50</v>
      </c>
      <c r="N70" s="13" t="s">
        <v>167</v>
      </c>
      <c r="O70" s="13" t="s">
        <v>26</v>
      </c>
    </row>
    <row r="71" spans="1:15" x14ac:dyDescent="0.3">
      <c r="A71" s="13">
        <v>25</v>
      </c>
      <c r="B71" s="13" t="s">
        <v>50</v>
      </c>
      <c r="C71" s="13">
        <v>200681</v>
      </c>
      <c r="D71" s="13" t="s">
        <v>30</v>
      </c>
      <c r="E71" s="13">
        <v>10</v>
      </c>
      <c r="F71" s="13" t="s">
        <v>10</v>
      </c>
      <c r="G71" s="13" t="s">
        <v>50</v>
      </c>
      <c r="H71" s="13" t="s">
        <v>180</v>
      </c>
      <c r="I71" s="13" t="s">
        <v>165</v>
      </c>
      <c r="J71" s="13" t="s">
        <v>166</v>
      </c>
      <c r="K71" s="13">
        <v>0</v>
      </c>
      <c r="L71" s="13">
        <v>0</v>
      </c>
      <c r="M71" s="13">
        <v>40</v>
      </c>
      <c r="N71" s="13" t="s">
        <v>167</v>
      </c>
      <c r="O71" s="13" t="s">
        <v>11</v>
      </c>
    </row>
    <row r="72" spans="1:15" x14ac:dyDescent="0.3">
      <c r="A72" s="13">
        <v>19</v>
      </c>
      <c r="B72" s="13" t="s">
        <v>15</v>
      </c>
      <c r="C72" s="13">
        <v>101509</v>
      </c>
      <c r="D72" s="13" t="s">
        <v>30</v>
      </c>
      <c r="E72" s="13">
        <v>10</v>
      </c>
      <c r="F72" s="13" t="s">
        <v>10</v>
      </c>
      <c r="G72" s="13" t="s">
        <v>172</v>
      </c>
      <c r="H72" s="13" t="s">
        <v>180</v>
      </c>
      <c r="I72" s="13" t="s">
        <v>165</v>
      </c>
      <c r="J72" s="13" t="s">
        <v>166</v>
      </c>
      <c r="K72" s="13">
        <v>0</v>
      </c>
      <c r="L72" s="13">
        <v>0</v>
      </c>
      <c r="M72" s="13">
        <v>32</v>
      </c>
      <c r="N72" s="13" t="s">
        <v>167</v>
      </c>
      <c r="O72" s="13" t="s">
        <v>11</v>
      </c>
    </row>
    <row r="73" spans="1:15" x14ac:dyDescent="0.3">
      <c r="A73" s="13">
        <v>31</v>
      </c>
      <c r="B73" s="13" t="s">
        <v>15</v>
      </c>
      <c r="C73" s="13">
        <v>309974</v>
      </c>
      <c r="D73" s="13" t="s">
        <v>9</v>
      </c>
      <c r="E73" s="13">
        <v>13</v>
      </c>
      <c r="F73" s="13" t="s">
        <v>41</v>
      </c>
      <c r="G73" s="13" t="s">
        <v>181</v>
      </c>
      <c r="H73" s="13" t="s">
        <v>180</v>
      </c>
      <c r="I73" s="13" t="s">
        <v>171</v>
      </c>
      <c r="J73" s="13" t="s">
        <v>174</v>
      </c>
      <c r="K73" s="13">
        <v>0</v>
      </c>
      <c r="L73" s="13">
        <v>0</v>
      </c>
      <c r="M73" s="13">
        <v>40</v>
      </c>
      <c r="N73" s="13" t="s">
        <v>167</v>
      </c>
      <c r="O73" s="13" t="s">
        <v>11</v>
      </c>
    </row>
    <row r="74" spans="1:15" x14ac:dyDescent="0.3">
      <c r="A74" s="13">
        <v>29</v>
      </c>
      <c r="B74" s="13" t="s">
        <v>12</v>
      </c>
      <c r="C74" s="13">
        <v>162298</v>
      </c>
      <c r="D74" s="13" t="s">
        <v>9</v>
      </c>
      <c r="E74" s="13">
        <v>13</v>
      </c>
      <c r="F74" s="13" t="s">
        <v>13</v>
      </c>
      <c r="G74" s="13" t="s">
        <v>181</v>
      </c>
      <c r="H74" s="13" t="s">
        <v>169</v>
      </c>
      <c r="I74" s="13" t="s">
        <v>165</v>
      </c>
      <c r="J74" s="13" t="s">
        <v>166</v>
      </c>
      <c r="K74" s="13">
        <v>0</v>
      </c>
      <c r="L74" s="13">
        <v>0</v>
      </c>
      <c r="M74" s="13">
        <v>70</v>
      </c>
      <c r="N74" s="13" t="s">
        <v>167</v>
      </c>
      <c r="O74" s="13" t="s">
        <v>26</v>
      </c>
    </row>
    <row r="75" spans="1:15" x14ac:dyDescent="0.3">
      <c r="A75" s="13">
        <v>23</v>
      </c>
      <c r="B75" s="13" t="s">
        <v>15</v>
      </c>
      <c r="C75" s="13">
        <v>211678</v>
      </c>
      <c r="D75" s="13" t="s">
        <v>30</v>
      </c>
      <c r="E75" s="13">
        <v>10</v>
      </c>
      <c r="F75" s="13" t="s">
        <v>10</v>
      </c>
      <c r="G75" s="13" t="s">
        <v>187</v>
      </c>
      <c r="H75" s="13" t="s">
        <v>164</v>
      </c>
      <c r="I75" s="13" t="s">
        <v>165</v>
      </c>
      <c r="J75" s="13" t="s">
        <v>166</v>
      </c>
      <c r="K75" s="13">
        <v>0</v>
      </c>
      <c r="L75" s="13">
        <v>0</v>
      </c>
      <c r="M75" s="13">
        <v>40</v>
      </c>
      <c r="N75" s="13" t="s">
        <v>167</v>
      </c>
      <c r="O75" s="13" t="s">
        <v>11</v>
      </c>
    </row>
    <row r="76" spans="1:15" x14ac:dyDescent="0.3">
      <c r="A76" s="13">
        <v>79</v>
      </c>
      <c r="B76" s="13" t="s">
        <v>15</v>
      </c>
      <c r="C76" s="13">
        <v>124744</v>
      </c>
      <c r="D76" s="13" t="s">
        <v>30</v>
      </c>
      <c r="E76" s="13">
        <v>10</v>
      </c>
      <c r="F76" s="13" t="s">
        <v>13</v>
      </c>
      <c r="G76" s="13" t="s">
        <v>172</v>
      </c>
      <c r="H76" s="13" t="s">
        <v>195</v>
      </c>
      <c r="I76" s="13" t="s">
        <v>165</v>
      </c>
      <c r="J76" s="13" t="s">
        <v>166</v>
      </c>
      <c r="K76" s="13">
        <v>0</v>
      </c>
      <c r="L76" s="13">
        <v>0</v>
      </c>
      <c r="M76" s="13">
        <v>20</v>
      </c>
      <c r="N76" s="13" t="s">
        <v>167</v>
      </c>
      <c r="O76" s="13" t="s">
        <v>11</v>
      </c>
    </row>
    <row r="77" spans="1:15" x14ac:dyDescent="0.3">
      <c r="A77" s="13">
        <v>27</v>
      </c>
      <c r="B77" s="13" t="s">
        <v>15</v>
      </c>
      <c r="C77" s="13">
        <v>213921</v>
      </c>
      <c r="D77" s="13" t="s">
        <v>16</v>
      </c>
      <c r="E77" s="13">
        <v>9</v>
      </c>
      <c r="F77" s="13" t="s">
        <v>10</v>
      </c>
      <c r="G77" s="13" t="s">
        <v>176</v>
      </c>
      <c r="H77" s="13" t="s">
        <v>180</v>
      </c>
      <c r="I77" s="13" t="s">
        <v>165</v>
      </c>
      <c r="J77" s="13" t="s">
        <v>166</v>
      </c>
      <c r="K77" s="13">
        <v>0</v>
      </c>
      <c r="L77" s="13">
        <v>0</v>
      </c>
      <c r="M77" s="13">
        <v>40</v>
      </c>
      <c r="N77" s="13" t="s">
        <v>185</v>
      </c>
      <c r="O77" s="13" t="s">
        <v>11</v>
      </c>
    </row>
    <row r="78" spans="1:15" x14ac:dyDescent="0.3">
      <c r="A78" s="13">
        <v>40</v>
      </c>
      <c r="B78" s="13" t="s">
        <v>15</v>
      </c>
      <c r="C78" s="13">
        <v>32214</v>
      </c>
      <c r="D78" s="13" t="s">
        <v>33</v>
      </c>
      <c r="E78" s="13">
        <v>12</v>
      </c>
      <c r="F78" s="13" t="s">
        <v>13</v>
      </c>
      <c r="G78" s="13" t="s">
        <v>163</v>
      </c>
      <c r="H78" s="13" t="s">
        <v>169</v>
      </c>
      <c r="I78" s="13" t="s">
        <v>165</v>
      </c>
      <c r="J78" s="13" t="s">
        <v>166</v>
      </c>
      <c r="K78" s="13">
        <v>0</v>
      </c>
      <c r="L78" s="13">
        <v>0</v>
      </c>
      <c r="M78" s="13">
        <v>40</v>
      </c>
      <c r="N78" s="13" t="s">
        <v>167</v>
      </c>
      <c r="O78" s="13" t="s">
        <v>11</v>
      </c>
    </row>
    <row r="79" spans="1:15" x14ac:dyDescent="0.3">
      <c r="A79" s="13">
        <v>67</v>
      </c>
      <c r="B79" s="13" t="s">
        <v>50</v>
      </c>
      <c r="C79" s="13">
        <v>212759</v>
      </c>
      <c r="D79" s="13" t="s">
        <v>62</v>
      </c>
      <c r="E79" s="13">
        <v>6</v>
      </c>
      <c r="F79" s="13" t="s">
        <v>13</v>
      </c>
      <c r="G79" s="13" t="s">
        <v>50</v>
      </c>
      <c r="H79" s="13" t="s">
        <v>169</v>
      </c>
      <c r="I79" s="13" t="s">
        <v>165</v>
      </c>
      <c r="J79" s="13" t="s">
        <v>166</v>
      </c>
      <c r="K79" s="13">
        <v>0</v>
      </c>
      <c r="L79" s="13">
        <v>0</v>
      </c>
      <c r="M79" s="13">
        <v>2</v>
      </c>
      <c r="N79" s="13" t="s">
        <v>167</v>
      </c>
      <c r="O79" s="13" t="s">
        <v>11</v>
      </c>
    </row>
    <row r="80" spans="1:15" x14ac:dyDescent="0.3">
      <c r="A80" s="13">
        <v>18</v>
      </c>
      <c r="B80" s="13" t="s">
        <v>15</v>
      </c>
      <c r="C80" s="13">
        <v>309634</v>
      </c>
      <c r="D80" s="13" t="s">
        <v>19</v>
      </c>
      <c r="E80" s="13">
        <v>7</v>
      </c>
      <c r="F80" s="13" t="s">
        <v>10</v>
      </c>
      <c r="G80" s="13" t="s">
        <v>176</v>
      </c>
      <c r="H80" s="13" t="s">
        <v>180</v>
      </c>
      <c r="I80" s="13" t="s">
        <v>165</v>
      </c>
      <c r="J80" s="13" t="s">
        <v>174</v>
      </c>
      <c r="K80" s="13">
        <v>0</v>
      </c>
      <c r="L80" s="13">
        <v>0</v>
      </c>
      <c r="M80" s="13">
        <v>22</v>
      </c>
      <c r="N80" s="13" t="s">
        <v>167</v>
      </c>
      <c r="O80" s="13" t="s">
        <v>11</v>
      </c>
    </row>
    <row r="81" spans="1:15" x14ac:dyDescent="0.3">
      <c r="A81" s="13">
        <v>31</v>
      </c>
      <c r="B81" s="13" t="s">
        <v>47</v>
      </c>
      <c r="C81" s="13">
        <v>125927</v>
      </c>
      <c r="D81" s="13" t="s">
        <v>35</v>
      </c>
      <c r="E81" s="13">
        <v>4</v>
      </c>
      <c r="F81" s="13" t="s">
        <v>13</v>
      </c>
      <c r="G81" s="13" t="s">
        <v>186</v>
      </c>
      <c r="H81" s="13" t="s">
        <v>169</v>
      </c>
      <c r="I81" s="13" t="s">
        <v>165</v>
      </c>
      <c r="J81" s="13" t="s">
        <v>166</v>
      </c>
      <c r="K81" s="13">
        <v>0</v>
      </c>
      <c r="L81" s="13">
        <v>0</v>
      </c>
      <c r="M81" s="13">
        <v>40</v>
      </c>
      <c r="N81" s="13" t="s">
        <v>167</v>
      </c>
      <c r="O81" s="13" t="s">
        <v>11</v>
      </c>
    </row>
    <row r="82" spans="1:15" x14ac:dyDescent="0.3">
      <c r="A82" s="13">
        <v>18</v>
      </c>
      <c r="B82" s="13" t="s">
        <v>15</v>
      </c>
      <c r="C82" s="13">
        <v>446839</v>
      </c>
      <c r="D82" s="13" t="s">
        <v>16</v>
      </c>
      <c r="E82" s="13">
        <v>9</v>
      </c>
      <c r="F82" s="13" t="s">
        <v>10</v>
      </c>
      <c r="G82" s="13" t="s">
        <v>181</v>
      </c>
      <c r="H82" s="13" t="s">
        <v>164</v>
      </c>
      <c r="I82" s="13" t="s">
        <v>165</v>
      </c>
      <c r="J82" s="13" t="s">
        <v>166</v>
      </c>
      <c r="K82" s="13">
        <v>0</v>
      </c>
      <c r="L82" s="13">
        <v>0</v>
      </c>
      <c r="M82" s="13">
        <v>30</v>
      </c>
      <c r="N82" s="13" t="s">
        <v>167</v>
      </c>
      <c r="O82" s="13" t="s">
        <v>11</v>
      </c>
    </row>
    <row r="83" spans="1:15" x14ac:dyDescent="0.3">
      <c r="A83" s="13">
        <v>52</v>
      </c>
      <c r="B83" s="13" t="s">
        <v>15</v>
      </c>
      <c r="C83" s="13">
        <v>276515</v>
      </c>
      <c r="D83" s="13" t="s">
        <v>9</v>
      </c>
      <c r="E83" s="13">
        <v>13</v>
      </c>
      <c r="F83" s="13" t="s">
        <v>13</v>
      </c>
      <c r="G83" s="13" t="s">
        <v>176</v>
      </c>
      <c r="H83" s="13" t="s">
        <v>169</v>
      </c>
      <c r="I83" s="13" t="s">
        <v>165</v>
      </c>
      <c r="J83" s="13" t="s">
        <v>166</v>
      </c>
      <c r="K83" s="13">
        <v>0</v>
      </c>
      <c r="L83" s="13">
        <v>0</v>
      </c>
      <c r="M83" s="13">
        <v>40</v>
      </c>
      <c r="N83" s="13" t="s">
        <v>175</v>
      </c>
      <c r="O83" s="13" t="s">
        <v>11</v>
      </c>
    </row>
    <row r="84" spans="1:15" x14ac:dyDescent="0.3">
      <c r="A84" s="13">
        <v>46</v>
      </c>
      <c r="B84" s="13" t="s">
        <v>15</v>
      </c>
      <c r="C84" s="13">
        <v>51618</v>
      </c>
      <c r="D84" s="13" t="s">
        <v>16</v>
      </c>
      <c r="E84" s="13">
        <v>9</v>
      </c>
      <c r="F84" s="13" t="s">
        <v>13</v>
      </c>
      <c r="G84" s="13" t="s">
        <v>176</v>
      </c>
      <c r="H84" s="13" t="s">
        <v>173</v>
      </c>
      <c r="I84" s="13" t="s">
        <v>165</v>
      </c>
      <c r="J84" s="13" t="s">
        <v>174</v>
      </c>
      <c r="K84" s="13">
        <v>0</v>
      </c>
      <c r="L84" s="13">
        <v>0</v>
      </c>
      <c r="M84" s="13">
        <v>40</v>
      </c>
      <c r="N84" s="13" t="s">
        <v>167</v>
      </c>
      <c r="O84" s="13" t="s">
        <v>11</v>
      </c>
    </row>
    <row r="85" spans="1:15" x14ac:dyDescent="0.3">
      <c r="A85" s="13">
        <v>59</v>
      </c>
      <c r="B85" s="13" t="s">
        <v>15</v>
      </c>
      <c r="C85" s="13">
        <v>159937</v>
      </c>
      <c r="D85" s="13" t="s">
        <v>16</v>
      </c>
      <c r="E85" s="13">
        <v>9</v>
      </c>
      <c r="F85" s="13" t="s">
        <v>13</v>
      </c>
      <c r="G85" s="13" t="s">
        <v>181</v>
      </c>
      <c r="H85" s="13" t="s">
        <v>169</v>
      </c>
      <c r="I85" s="13" t="s">
        <v>165</v>
      </c>
      <c r="J85" s="13" t="s">
        <v>166</v>
      </c>
      <c r="K85" s="13">
        <v>0</v>
      </c>
      <c r="L85" s="13">
        <v>0</v>
      </c>
      <c r="M85" s="13">
        <v>48</v>
      </c>
      <c r="N85" s="13" t="s">
        <v>167</v>
      </c>
      <c r="O85" s="13" t="s">
        <v>11</v>
      </c>
    </row>
    <row r="86" spans="1:15" x14ac:dyDescent="0.3">
      <c r="A86" s="13">
        <v>44</v>
      </c>
      <c r="B86" s="13" t="s">
        <v>15</v>
      </c>
      <c r="C86" s="13">
        <v>343591</v>
      </c>
      <c r="D86" s="13" t="s">
        <v>16</v>
      </c>
      <c r="E86" s="13">
        <v>9</v>
      </c>
      <c r="F86" s="13" t="s">
        <v>17</v>
      </c>
      <c r="G86" s="13" t="s">
        <v>182</v>
      </c>
      <c r="H86" s="13" t="s">
        <v>164</v>
      </c>
      <c r="I86" s="13" t="s">
        <v>165</v>
      </c>
      <c r="J86" s="13" t="s">
        <v>174</v>
      </c>
      <c r="K86" s="13">
        <v>14344</v>
      </c>
      <c r="L86" s="13">
        <v>0</v>
      </c>
      <c r="M86" s="13">
        <v>40</v>
      </c>
      <c r="N86" s="13" t="s">
        <v>167</v>
      </c>
      <c r="O86" s="13" t="s">
        <v>26</v>
      </c>
    </row>
    <row r="87" spans="1:15" x14ac:dyDescent="0.3">
      <c r="A87" s="13">
        <v>53</v>
      </c>
      <c r="B87" s="13" t="s">
        <v>15</v>
      </c>
      <c r="C87" s="13">
        <v>346253</v>
      </c>
      <c r="D87" s="13" t="s">
        <v>16</v>
      </c>
      <c r="E87" s="13">
        <v>9</v>
      </c>
      <c r="F87" s="13" t="s">
        <v>17</v>
      </c>
      <c r="G87" s="13" t="s">
        <v>181</v>
      </c>
      <c r="H87" s="13" t="s">
        <v>180</v>
      </c>
      <c r="I87" s="13" t="s">
        <v>165</v>
      </c>
      <c r="J87" s="13" t="s">
        <v>174</v>
      </c>
      <c r="K87" s="13">
        <v>0</v>
      </c>
      <c r="L87" s="13">
        <v>0</v>
      </c>
      <c r="M87" s="13">
        <v>35</v>
      </c>
      <c r="N87" s="13" t="s">
        <v>167</v>
      </c>
      <c r="O87" s="13" t="s">
        <v>11</v>
      </c>
    </row>
    <row r="88" spans="1:15" x14ac:dyDescent="0.3">
      <c r="A88" s="13">
        <v>49</v>
      </c>
      <c r="B88" s="13" t="s">
        <v>47</v>
      </c>
      <c r="C88" s="13">
        <v>268234</v>
      </c>
      <c r="D88" s="13" t="s">
        <v>16</v>
      </c>
      <c r="E88" s="13">
        <v>9</v>
      </c>
      <c r="F88" s="13" t="s">
        <v>13</v>
      </c>
      <c r="G88" s="13" t="s">
        <v>191</v>
      </c>
      <c r="H88" s="13" t="s">
        <v>169</v>
      </c>
      <c r="I88" s="13" t="s">
        <v>165</v>
      </c>
      <c r="J88" s="13" t="s">
        <v>166</v>
      </c>
      <c r="K88" s="13">
        <v>0</v>
      </c>
      <c r="L88" s="13">
        <v>0</v>
      </c>
      <c r="M88" s="13">
        <v>40</v>
      </c>
      <c r="N88" s="13" t="s">
        <v>167</v>
      </c>
      <c r="O88" s="13" t="s">
        <v>26</v>
      </c>
    </row>
    <row r="89" spans="1:15" x14ac:dyDescent="0.3">
      <c r="A89" s="13">
        <v>33</v>
      </c>
      <c r="B89" s="13" t="s">
        <v>15</v>
      </c>
      <c r="C89" s="13">
        <v>202051</v>
      </c>
      <c r="D89" s="13" t="s">
        <v>21</v>
      </c>
      <c r="E89" s="13">
        <v>14</v>
      </c>
      <c r="F89" s="13" t="s">
        <v>13</v>
      </c>
      <c r="G89" s="13" t="s">
        <v>172</v>
      </c>
      <c r="H89" s="13" t="s">
        <v>169</v>
      </c>
      <c r="I89" s="13" t="s">
        <v>165</v>
      </c>
      <c r="J89" s="13" t="s">
        <v>166</v>
      </c>
      <c r="K89" s="13">
        <v>0</v>
      </c>
      <c r="L89" s="13">
        <v>0</v>
      </c>
      <c r="M89" s="13">
        <v>50</v>
      </c>
      <c r="N89" s="13" t="s">
        <v>167</v>
      </c>
      <c r="O89" s="13" t="s">
        <v>11</v>
      </c>
    </row>
    <row r="90" spans="1:15" x14ac:dyDescent="0.3">
      <c r="A90" s="13">
        <v>30</v>
      </c>
      <c r="B90" s="13" t="s">
        <v>15</v>
      </c>
      <c r="C90" s="13">
        <v>54334</v>
      </c>
      <c r="D90" s="13" t="s">
        <v>23</v>
      </c>
      <c r="E90" s="13">
        <v>5</v>
      </c>
      <c r="F90" s="13" t="s">
        <v>10</v>
      </c>
      <c r="G90" s="13" t="s">
        <v>181</v>
      </c>
      <c r="H90" s="13" t="s">
        <v>164</v>
      </c>
      <c r="I90" s="13" t="s">
        <v>165</v>
      </c>
      <c r="J90" s="13" t="s">
        <v>166</v>
      </c>
      <c r="K90" s="13">
        <v>0</v>
      </c>
      <c r="L90" s="13">
        <v>0</v>
      </c>
      <c r="M90" s="13">
        <v>40</v>
      </c>
      <c r="N90" s="13" t="s">
        <v>167</v>
      </c>
      <c r="O90" s="13" t="s">
        <v>11</v>
      </c>
    </row>
    <row r="91" spans="1:15" x14ac:dyDescent="0.3">
      <c r="A91" s="13">
        <v>43</v>
      </c>
      <c r="B91" s="13" t="s">
        <v>43</v>
      </c>
      <c r="C91" s="13">
        <v>410867</v>
      </c>
      <c r="D91" s="13" t="s">
        <v>39</v>
      </c>
      <c r="E91" s="13">
        <v>16</v>
      </c>
      <c r="F91" s="13" t="s">
        <v>10</v>
      </c>
      <c r="G91" s="13" t="s">
        <v>172</v>
      </c>
      <c r="H91" s="13" t="s">
        <v>164</v>
      </c>
      <c r="I91" s="13" t="s">
        <v>165</v>
      </c>
      <c r="J91" s="13" t="s">
        <v>174</v>
      </c>
      <c r="K91" s="13">
        <v>0</v>
      </c>
      <c r="L91" s="13">
        <v>0</v>
      </c>
      <c r="M91" s="13">
        <v>50</v>
      </c>
      <c r="N91" s="13" t="s">
        <v>167</v>
      </c>
      <c r="O91" s="13" t="s">
        <v>26</v>
      </c>
    </row>
    <row r="92" spans="1:15" x14ac:dyDescent="0.3">
      <c r="A92" s="13">
        <v>57</v>
      </c>
      <c r="B92" s="13" t="s">
        <v>15</v>
      </c>
      <c r="C92" s="13">
        <v>249977</v>
      </c>
      <c r="D92" s="13" t="s">
        <v>34</v>
      </c>
      <c r="E92" s="13">
        <v>11</v>
      </c>
      <c r="F92" s="13" t="s">
        <v>13</v>
      </c>
      <c r="G92" s="13" t="s">
        <v>172</v>
      </c>
      <c r="H92" s="13" t="s">
        <v>169</v>
      </c>
      <c r="I92" s="13" t="s">
        <v>165</v>
      </c>
      <c r="J92" s="13" t="s">
        <v>166</v>
      </c>
      <c r="K92" s="13">
        <v>0</v>
      </c>
      <c r="L92" s="13">
        <v>0</v>
      </c>
      <c r="M92" s="13">
        <v>40</v>
      </c>
      <c r="N92" s="13" t="s">
        <v>167</v>
      </c>
      <c r="O92" s="13" t="s">
        <v>11</v>
      </c>
    </row>
    <row r="93" spans="1:15" x14ac:dyDescent="0.3">
      <c r="A93" s="13">
        <v>37</v>
      </c>
      <c r="B93" s="13" t="s">
        <v>15</v>
      </c>
      <c r="C93" s="13">
        <v>286730</v>
      </c>
      <c r="D93" s="13" t="s">
        <v>30</v>
      </c>
      <c r="E93" s="13">
        <v>10</v>
      </c>
      <c r="F93" s="13" t="s">
        <v>17</v>
      </c>
      <c r="G93" s="13" t="s">
        <v>182</v>
      </c>
      <c r="H93" s="13" t="s">
        <v>188</v>
      </c>
      <c r="I93" s="13" t="s">
        <v>165</v>
      </c>
      <c r="J93" s="13" t="s">
        <v>174</v>
      </c>
      <c r="K93" s="13">
        <v>0</v>
      </c>
      <c r="L93" s="13">
        <v>0</v>
      </c>
      <c r="M93" s="13">
        <v>40</v>
      </c>
      <c r="N93" s="13" t="s">
        <v>167</v>
      </c>
      <c r="O93" s="13" t="s">
        <v>11</v>
      </c>
    </row>
    <row r="94" spans="1:15" x14ac:dyDescent="0.3">
      <c r="A94" s="13">
        <v>28</v>
      </c>
      <c r="B94" s="13" t="s">
        <v>15</v>
      </c>
      <c r="C94" s="13">
        <v>212563</v>
      </c>
      <c r="D94" s="13" t="s">
        <v>30</v>
      </c>
      <c r="E94" s="13">
        <v>10</v>
      </c>
      <c r="F94" s="13" t="s">
        <v>17</v>
      </c>
      <c r="G94" s="13" t="s">
        <v>187</v>
      </c>
      <c r="H94" s="13" t="s">
        <v>188</v>
      </c>
      <c r="I94" s="13" t="s">
        <v>171</v>
      </c>
      <c r="J94" s="13" t="s">
        <v>174</v>
      </c>
      <c r="K94" s="13">
        <v>0</v>
      </c>
      <c r="L94" s="13">
        <v>0</v>
      </c>
      <c r="M94" s="13">
        <v>25</v>
      </c>
      <c r="N94" s="13" t="s">
        <v>167</v>
      </c>
      <c r="O94" s="13" t="s">
        <v>11</v>
      </c>
    </row>
    <row r="95" spans="1:15" x14ac:dyDescent="0.3">
      <c r="A95" s="13">
        <v>30</v>
      </c>
      <c r="B95" s="13" t="s">
        <v>15</v>
      </c>
      <c r="C95" s="13">
        <v>117747</v>
      </c>
      <c r="D95" s="13" t="s">
        <v>16</v>
      </c>
      <c r="E95" s="13">
        <v>9</v>
      </c>
      <c r="F95" s="13" t="s">
        <v>13</v>
      </c>
      <c r="G95" s="13" t="s">
        <v>181</v>
      </c>
      <c r="H95" s="13" t="s">
        <v>173</v>
      </c>
      <c r="I95" s="13" t="s">
        <v>178</v>
      </c>
      <c r="J95" s="13" t="s">
        <v>174</v>
      </c>
      <c r="K95" s="13">
        <v>0</v>
      </c>
      <c r="L95" s="13">
        <v>1573</v>
      </c>
      <c r="M95" s="13">
        <v>35</v>
      </c>
      <c r="N95" s="13" t="s">
        <v>50</v>
      </c>
      <c r="O95" s="13" t="s">
        <v>11</v>
      </c>
    </row>
    <row r="96" spans="1:15" x14ac:dyDescent="0.3">
      <c r="A96" s="13">
        <v>34</v>
      </c>
      <c r="B96" s="13" t="s">
        <v>47</v>
      </c>
      <c r="C96" s="13">
        <v>226296</v>
      </c>
      <c r="D96" s="13" t="s">
        <v>9</v>
      </c>
      <c r="E96" s="13">
        <v>13</v>
      </c>
      <c r="F96" s="13" t="s">
        <v>13</v>
      </c>
      <c r="G96" s="13" t="s">
        <v>191</v>
      </c>
      <c r="H96" s="13" t="s">
        <v>169</v>
      </c>
      <c r="I96" s="13" t="s">
        <v>165</v>
      </c>
      <c r="J96" s="13" t="s">
        <v>166</v>
      </c>
      <c r="K96" s="13">
        <v>0</v>
      </c>
      <c r="L96" s="13">
        <v>0</v>
      </c>
      <c r="M96" s="13">
        <v>40</v>
      </c>
      <c r="N96" s="13" t="s">
        <v>167</v>
      </c>
      <c r="O96" s="13" t="s">
        <v>26</v>
      </c>
    </row>
    <row r="97" spans="1:15" x14ac:dyDescent="0.3">
      <c r="A97" s="13">
        <v>29</v>
      </c>
      <c r="B97" s="13" t="s">
        <v>47</v>
      </c>
      <c r="C97" s="13">
        <v>115585</v>
      </c>
      <c r="D97" s="13" t="s">
        <v>30</v>
      </c>
      <c r="E97" s="13">
        <v>10</v>
      </c>
      <c r="F97" s="13" t="s">
        <v>10</v>
      </c>
      <c r="G97" s="13" t="s">
        <v>170</v>
      </c>
      <c r="H97" s="13" t="s">
        <v>164</v>
      </c>
      <c r="I97" s="13" t="s">
        <v>165</v>
      </c>
      <c r="J97" s="13" t="s">
        <v>166</v>
      </c>
      <c r="K97" s="13">
        <v>0</v>
      </c>
      <c r="L97" s="13">
        <v>0</v>
      </c>
      <c r="M97" s="13">
        <v>50</v>
      </c>
      <c r="N97" s="13" t="s">
        <v>167</v>
      </c>
      <c r="O97" s="13" t="s">
        <v>11</v>
      </c>
    </row>
    <row r="98" spans="1:15" x14ac:dyDescent="0.3">
      <c r="A98" s="13">
        <v>48</v>
      </c>
      <c r="B98" s="13" t="s">
        <v>12</v>
      </c>
      <c r="C98" s="13">
        <v>191277</v>
      </c>
      <c r="D98" s="13" t="s">
        <v>39</v>
      </c>
      <c r="E98" s="13">
        <v>16</v>
      </c>
      <c r="F98" s="13" t="s">
        <v>13</v>
      </c>
      <c r="G98" s="13" t="s">
        <v>172</v>
      </c>
      <c r="H98" s="13" t="s">
        <v>169</v>
      </c>
      <c r="I98" s="13" t="s">
        <v>165</v>
      </c>
      <c r="J98" s="13" t="s">
        <v>166</v>
      </c>
      <c r="K98" s="13">
        <v>0</v>
      </c>
      <c r="L98" s="13">
        <v>1902</v>
      </c>
      <c r="M98" s="13">
        <v>60</v>
      </c>
      <c r="N98" s="13" t="s">
        <v>167</v>
      </c>
      <c r="O98" s="13" t="s">
        <v>26</v>
      </c>
    </row>
    <row r="99" spans="1:15" x14ac:dyDescent="0.3">
      <c r="A99" s="13">
        <v>37</v>
      </c>
      <c r="B99" s="13" t="s">
        <v>15</v>
      </c>
      <c r="C99" s="13">
        <v>202683</v>
      </c>
      <c r="D99" s="13" t="s">
        <v>30</v>
      </c>
      <c r="E99" s="13">
        <v>10</v>
      </c>
      <c r="F99" s="13" t="s">
        <v>13</v>
      </c>
      <c r="G99" s="13" t="s">
        <v>181</v>
      </c>
      <c r="H99" s="13" t="s">
        <v>169</v>
      </c>
      <c r="I99" s="13" t="s">
        <v>165</v>
      </c>
      <c r="J99" s="13" t="s">
        <v>166</v>
      </c>
      <c r="K99" s="13">
        <v>0</v>
      </c>
      <c r="L99" s="13">
        <v>0</v>
      </c>
      <c r="M99" s="13">
        <v>48</v>
      </c>
      <c r="N99" s="13" t="s">
        <v>167</v>
      </c>
      <c r="O99" s="13" t="s">
        <v>26</v>
      </c>
    </row>
    <row r="100" spans="1:15" x14ac:dyDescent="0.3">
      <c r="A100" s="13">
        <v>48</v>
      </c>
      <c r="B100" s="13" t="s">
        <v>15</v>
      </c>
      <c r="C100" s="13">
        <v>171095</v>
      </c>
      <c r="D100" s="13" t="s">
        <v>33</v>
      </c>
      <c r="E100" s="13">
        <v>12</v>
      </c>
      <c r="F100" s="13" t="s">
        <v>17</v>
      </c>
      <c r="G100" s="13" t="s">
        <v>168</v>
      </c>
      <c r="H100" s="13" t="s">
        <v>188</v>
      </c>
      <c r="I100" s="13" t="s">
        <v>165</v>
      </c>
      <c r="J100" s="13" t="s">
        <v>174</v>
      </c>
      <c r="K100" s="13">
        <v>0</v>
      </c>
      <c r="L100" s="13">
        <v>0</v>
      </c>
      <c r="M100" s="13">
        <v>40</v>
      </c>
      <c r="N100" s="13" t="s">
        <v>196</v>
      </c>
      <c r="O100" s="13" t="s">
        <v>11</v>
      </c>
    </row>
    <row r="101" spans="1:15" x14ac:dyDescent="0.3">
      <c r="A101" s="13">
        <v>32</v>
      </c>
      <c r="B101" s="13" t="s">
        <v>43</v>
      </c>
      <c r="C101" s="13">
        <v>249409</v>
      </c>
      <c r="D101" s="13" t="s">
        <v>16</v>
      </c>
      <c r="E101" s="13">
        <v>9</v>
      </c>
      <c r="F101" s="13" t="s">
        <v>10</v>
      </c>
      <c r="G101" s="13" t="s">
        <v>176</v>
      </c>
      <c r="H101" s="13" t="s">
        <v>180</v>
      </c>
      <c r="I101" s="13" t="s">
        <v>171</v>
      </c>
      <c r="J101" s="13" t="s">
        <v>166</v>
      </c>
      <c r="K101" s="13">
        <v>0</v>
      </c>
      <c r="L101" s="13">
        <v>0</v>
      </c>
      <c r="M101" s="13">
        <v>40</v>
      </c>
      <c r="N101" s="13" t="s">
        <v>167</v>
      </c>
      <c r="O101" s="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="63" workbookViewId="0">
      <selection activeCell="A29" sqref="A29"/>
    </sheetView>
  </sheetViews>
  <sheetFormatPr defaultRowHeight="14.4" x14ac:dyDescent="0.3"/>
  <cols>
    <col min="1" max="1" width="82.33203125" bestFit="1" customWidth="1"/>
    <col min="2" max="2" width="67.6640625" bestFit="1" customWidth="1"/>
    <col min="3" max="3" width="15.6640625" bestFit="1" customWidth="1"/>
    <col min="4" max="4" width="6.44140625" bestFit="1" customWidth="1"/>
  </cols>
  <sheetData>
    <row r="1" spans="1:4" x14ac:dyDescent="0.3">
      <c r="A1" s="36" t="s">
        <v>197</v>
      </c>
      <c r="B1" s="37"/>
      <c r="C1" s="37"/>
      <c r="D1" s="37"/>
    </row>
    <row r="2" spans="1:4" x14ac:dyDescent="0.3">
      <c r="A2" s="51" t="s">
        <v>198</v>
      </c>
      <c r="B2" s="52" t="s">
        <v>199</v>
      </c>
      <c r="C2" s="52" t="s">
        <v>200</v>
      </c>
      <c r="D2" s="52" t="s">
        <v>201</v>
      </c>
    </row>
    <row r="3" spans="1:4" x14ac:dyDescent="0.3">
      <c r="A3" s="4" t="s">
        <v>0</v>
      </c>
      <c r="B3" s="6" t="s">
        <v>202</v>
      </c>
      <c r="C3" s="5">
        <v>90</v>
      </c>
      <c r="D3" s="5">
        <v>17</v>
      </c>
    </row>
    <row r="4" spans="1:4" x14ac:dyDescent="0.3">
      <c r="A4" s="4" t="s">
        <v>203</v>
      </c>
      <c r="B4" s="6" t="s">
        <v>204</v>
      </c>
      <c r="C4" s="5">
        <v>1484705</v>
      </c>
      <c r="D4" s="5">
        <v>12285</v>
      </c>
    </row>
    <row r="5" spans="1:4" x14ac:dyDescent="0.3">
      <c r="A5" s="4" t="s">
        <v>205</v>
      </c>
      <c r="B5" s="6" t="s">
        <v>206</v>
      </c>
      <c r="C5" s="5">
        <v>99999</v>
      </c>
      <c r="D5" s="5">
        <v>0</v>
      </c>
    </row>
    <row r="6" spans="1:4" x14ac:dyDescent="0.3">
      <c r="A6" s="4" t="s">
        <v>207</v>
      </c>
      <c r="B6" s="6" t="s">
        <v>208</v>
      </c>
      <c r="C6" s="5">
        <v>4356</v>
      </c>
      <c r="D6" s="5">
        <v>0</v>
      </c>
    </row>
    <row r="7" spans="1:4" x14ac:dyDescent="0.3">
      <c r="A7" s="4" t="s">
        <v>209</v>
      </c>
      <c r="B7" s="6" t="s">
        <v>210</v>
      </c>
      <c r="C7" s="5">
        <v>99</v>
      </c>
      <c r="D7" s="5">
        <v>1</v>
      </c>
    </row>
    <row r="8" spans="1:4" x14ac:dyDescent="0.3">
      <c r="A8" s="37"/>
      <c r="B8" s="37"/>
      <c r="C8" s="37"/>
      <c r="D8" s="37"/>
    </row>
    <row r="9" spans="1:4" x14ac:dyDescent="0.3">
      <c r="A9" s="36" t="s">
        <v>211</v>
      </c>
      <c r="B9" s="37"/>
      <c r="C9" s="37"/>
      <c r="D9" s="37"/>
    </row>
    <row r="10" spans="1:4" x14ac:dyDescent="0.3">
      <c r="A10" s="38" t="s">
        <v>198</v>
      </c>
      <c r="B10" s="38" t="s">
        <v>212</v>
      </c>
      <c r="C10" s="38" t="s">
        <v>66</v>
      </c>
      <c r="D10" s="37"/>
    </row>
    <row r="11" spans="1:4" x14ac:dyDescent="0.3">
      <c r="A11" s="13" t="s">
        <v>0</v>
      </c>
      <c r="B11" s="13" t="s">
        <v>18</v>
      </c>
      <c r="C11" s="13" t="s">
        <v>213</v>
      </c>
      <c r="D11" s="37"/>
    </row>
    <row r="12" spans="1:4" x14ac:dyDescent="0.3">
      <c r="A12" s="13"/>
      <c r="B12" s="13" t="s">
        <v>6</v>
      </c>
      <c r="C12" s="13" t="s">
        <v>214</v>
      </c>
      <c r="D12" s="37"/>
    </row>
    <row r="13" spans="1:4" x14ac:dyDescent="0.3">
      <c r="A13" s="13"/>
      <c r="B13" s="13" t="s">
        <v>14</v>
      </c>
      <c r="C13" s="13" t="s">
        <v>215</v>
      </c>
      <c r="D13" s="37"/>
    </row>
    <row r="14" spans="1:4" x14ac:dyDescent="0.3">
      <c r="A14" s="13" t="s">
        <v>203</v>
      </c>
      <c r="B14" s="13" t="s">
        <v>8</v>
      </c>
      <c r="C14" s="13" t="s">
        <v>216</v>
      </c>
      <c r="D14" s="37"/>
    </row>
    <row r="15" spans="1:4" x14ac:dyDescent="0.3">
      <c r="A15" s="13"/>
      <c r="B15" s="13" t="s">
        <v>20</v>
      </c>
      <c r="C15" s="13" t="s">
        <v>217</v>
      </c>
      <c r="D15" s="37"/>
    </row>
    <row r="16" spans="1:4" x14ac:dyDescent="0.3">
      <c r="A16" s="13"/>
      <c r="B16" s="13" t="s">
        <v>218</v>
      </c>
      <c r="C16" s="13" t="s">
        <v>219</v>
      </c>
      <c r="D16" s="37"/>
    </row>
    <row r="17" spans="1:4" x14ac:dyDescent="0.3">
      <c r="A17" s="13" t="s">
        <v>205</v>
      </c>
      <c r="B17" s="13" t="s">
        <v>220</v>
      </c>
      <c r="C17" s="13">
        <v>0</v>
      </c>
      <c r="D17" s="37"/>
    </row>
    <row r="18" spans="1:4" x14ac:dyDescent="0.3">
      <c r="A18" s="13"/>
      <c r="B18" s="13" t="s">
        <v>221</v>
      </c>
      <c r="C18" s="13" t="s">
        <v>222</v>
      </c>
      <c r="D18" s="37"/>
    </row>
    <row r="19" spans="1:4" x14ac:dyDescent="0.3">
      <c r="A19" s="13"/>
      <c r="B19" s="13" t="s">
        <v>223</v>
      </c>
      <c r="C19" s="13" t="s">
        <v>224</v>
      </c>
      <c r="D19" s="37"/>
    </row>
    <row r="20" spans="1:4" x14ac:dyDescent="0.3">
      <c r="A20" s="13"/>
      <c r="B20" s="13" t="s">
        <v>225</v>
      </c>
      <c r="C20" s="13" t="s">
        <v>226</v>
      </c>
      <c r="D20" s="37"/>
    </row>
    <row r="21" spans="1:4" x14ac:dyDescent="0.3">
      <c r="A21" s="13" t="s">
        <v>207</v>
      </c>
      <c r="B21" s="13" t="s">
        <v>220</v>
      </c>
      <c r="C21" s="13">
        <v>0</v>
      </c>
      <c r="D21" s="37"/>
    </row>
    <row r="22" spans="1:4" x14ac:dyDescent="0.3">
      <c r="A22" s="13"/>
      <c r="B22" s="13" t="s">
        <v>221</v>
      </c>
      <c r="C22" s="13" t="s">
        <v>222</v>
      </c>
      <c r="D22" s="37"/>
    </row>
    <row r="23" spans="1:4" x14ac:dyDescent="0.3">
      <c r="A23" s="13"/>
      <c r="B23" s="13" t="s">
        <v>223</v>
      </c>
      <c r="C23" s="13" t="s">
        <v>224</v>
      </c>
      <c r="D23" s="37"/>
    </row>
    <row r="24" spans="1:4" x14ac:dyDescent="0.3">
      <c r="A24" s="13"/>
      <c r="B24" s="13" t="s">
        <v>225</v>
      </c>
      <c r="C24" s="13" t="s">
        <v>226</v>
      </c>
      <c r="D24" s="37"/>
    </row>
    <row r="25" spans="1:4" x14ac:dyDescent="0.3">
      <c r="A25" s="13" t="s">
        <v>209</v>
      </c>
      <c r="B25" s="13" t="s">
        <v>227</v>
      </c>
      <c r="C25" s="13" t="s">
        <v>228</v>
      </c>
      <c r="D25" s="37"/>
    </row>
    <row r="26" spans="1:4" x14ac:dyDescent="0.3">
      <c r="A26" s="13"/>
      <c r="B26" s="13" t="s">
        <v>229</v>
      </c>
      <c r="C26" s="13" t="s">
        <v>230</v>
      </c>
      <c r="D26" s="37"/>
    </row>
    <row r="27" spans="1:4" x14ac:dyDescent="0.3">
      <c r="A27" s="13"/>
      <c r="B27" s="13" t="s">
        <v>231</v>
      </c>
      <c r="C27" s="13" t="s">
        <v>232</v>
      </c>
      <c r="D27" s="37"/>
    </row>
    <row r="28" spans="1:4" x14ac:dyDescent="0.3">
      <c r="A28" s="37"/>
      <c r="B28" s="37"/>
      <c r="C28" s="37"/>
      <c r="D28" s="37"/>
    </row>
    <row r="29" spans="1:4" x14ac:dyDescent="0.3">
      <c r="A29" s="36" t="s">
        <v>233</v>
      </c>
      <c r="B29" s="37"/>
      <c r="C29" s="37"/>
      <c r="D29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4.4" x14ac:dyDescent="0.3"/>
  <cols>
    <col min="1" max="1" width="4.21875" bestFit="1" customWidth="1"/>
    <col min="2" max="2" width="11.109375" bestFit="1" customWidth="1"/>
    <col min="3" max="3" width="15.21875" bestFit="1" customWidth="1"/>
    <col min="4" max="4" width="11.88671875" bestFit="1" customWidth="1"/>
    <col min="5" max="5" width="14" bestFit="1" customWidth="1"/>
    <col min="6" max="6" width="12.44140625" bestFit="1" customWidth="1"/>
    <col min="7" max="7" width="20.5546875" bestFit="1" customWidth="1"/>
    <col min="8" max="8" width="7.33203125" bestFit="1" customWidth="1"/>
  </cols>
  <sheetData>
    <row r="1" spans="1:8" x14ac:dyDescent="0.3">
      <c r="A1" s="1" t="s">
        <v>0</v>
      </c>
      <c r="B1" s="2" t="s">
        <v>0</v>
      </c>
      <c r="C1" s="3" t="s">
        <v>1</v>
      </c>
      <c r="D1" s="3" t="s">
        <v>2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3">
      <c r="A2" s="4">
        <v>39</v>
      </c>
      <c r="B2" s="5" t="s">
        <v>6</v>
      </c>
      <c r="C2" s="6" t="s">
        <v>7</v>
      </c>
      <c r="D2" s="6">
        <v>77516</v>
      </c>
      <c r="E2" s="5" t="s">
        <v>8</v>
      </c>
      <c r="F2" s="6" t="s">
        <v>9</v>
      </c>
      <c r="G2" s="6" t="s">
        <v>10</v>
      </c>
      <c r="H2" s="6" t="s">
        <v>11</v>
      </c>
    </row>
    <row r="3" spans="1:8" x14ac:dyDescent="0.3">
      <c r="A3" s="4">
        <v>50</v>
      </c>
      <c r="B3" s="5" t="s">
        <v>6</v>
      </c>
      <c r="C3" s="6" t="s">
        <v>12</v>
      </c>
      <c r="D3" s="6">
        <v>83311</v>
      </c>
      <c r="E3" s="5" t="s">
        <v>8</v>
      </c>
      <c r="F3" s="6" t="s">
        <v>9</v>
      </c>
      <c r="G3" s="6" t="s">
        <v>13</v>
      </c>
      <c r="H3" s="6" t="s">
        <v>11</v>
      </c>
    </row>
    <row r="4" spans="1:8" x14ac:dyDescent="0.3">
      <c r="A4" s="4">
        <v>38</v>
      </c>
      <c r="B4" s="5" t="s">
        <v>6</v>
      </c>
      <c r="C4" s="6" t="s">
        <v>15</v>
      </c>
      <c r="D4" s="6">
        <v>215646</v>
      </c>
      <c r="E4" s="5" t="s">
        <v>8</v>
      </c>
      <c r="F4" s="6" t="s">
        <v>16</v>
      </c>
      <c r="G4" s="7" t="s">
        <v>17</v>
      </c>
      <c r="H4" s="6" t="s">
        <v>11</v>
      </c>
    </row>
    <row r="5" spans="1:8" x14ac:dyDescent="0.3">
      <c r="A5" s="4">
        <v>53</v>
      </c>
      <c r="B5" s="5" t="s">
        <v>14</v>
      </c>
      <c r="C5" s="6" t="s">
        <v>15</v>
      </c>
      <c r="D5" s="6">
        <v>234721</v>
      </c>
      <c r="E5" s="5" t="s">
        <v>8</v>
      </c>
      <c r="F5" s="6" t="s">
        <v>19</v>
      </c>
      <c r="G5" s="7" t="s">
        <v>13</v>
      </c>
      <c r="H5" s="6" t="s">
        <v>11</v>
      </c>
    </row>
    <row r="6" spans="1:8" x14ac:dyDescent="0.3">
      <c r="A6" s="4">
        <v>28</v>
      </c>
      <c r="B6" s="5" t="s">
        <v>18</v>
      </c>
      <c r="C6" s="6" t="s">
        <v>15</v>
      </c>
      <c r="D6" s="6">
        <v>338409</v>
      </c>
      <c r="E6" s="5" t="s">
        <v>20</v>
      </c>
      <c r="F6" s="6" t="s">
        <v>9</v>
      </c>
      <c r="G6" s="7" t="s">
        <v>13</v>
      </c>
      <c r="H6" s="6" t="s">
        <v>11</v>
      </c>
    </row>
    <row r="7" spans="1:8" x14ac:dyDescent="0.3">
      <c r="A7" s="4">
        <v>37</v>
      </c>
      <c r="B7" s="5" t="s">
        <v>6</v>
      </c>
      <c r="C7" s="6" t="s">
        <v>15</v>
      </c>
      <c r="D7" s="6">
        <v>284582</v>
      </c>
      <c r="E7" s="5" t="s">
        <v>8</v>
      </c>
      <c r="F7" s="6" t="s">
        <v>21</v>
      </c>
      <c r="G7" s="7" t="s">
        <v>13</v>
      </c>
      <c r="H7" s="6" t="s">
        <v>11</v>
      </c>
    </row>
    <row r="8" spans="1:8" x14ac:dyDescent="0.3">
      <c r="A8" s="4">
        <v>49</v>
      </c>
      <c r="B8" s="5" t="s">
        <v>6</v>
      </c>
      <c r="C8" s="6" t="s">
        <v>15</v>
      </c>
      <c r="D8" s="6">
        <v>160187</v>
      </c>
      <c r="E8" s="5" t="s">
        <v>8</v>
      </c>
      <c r="F8" s="6" t="s">
        <v>23</v>
      </c>
      <c r="G8" s="7" t="s">
        <v>24</v>
      </c>
      <c r="H8" s="6" t="s">
        <v>11</v>
      </c>
    </row>
    <row r="9" spans="1:8" x14ac:dyDescent="0.3">
      <c r="A9" s="4">
        <v>52</v>
      </c>
      <c r="B9" s="5" t="s">
        <v>14</v>
      </c>
      <c r="C9" s="6" t="s">
        <v>12</v>
      </c>
      <c r="D9" s="6">
        <v>209642</v>
      </c>
      <c r="E9" s="5" t="s">
        <v>8</v>
      </c>
      <c r="F9" s="6" t="s">
        <v>16</v>
      </c>
      <c r="G9" s="7" t="s">
        <v>13</v>
      </c>
      <c r="H9" s="6" t="s">
        <v>26</v>
      </c>
    </row>
    <row r="10" spans="1:8" x14ac:dyDescent="0.3">
      <c r="A10" s="4">
        <v>31</v>
      </c>
      <c r="B10" s="5" t="s">
        <v>6</v>
      </c>
      <c r="C10" s="6" t="s">
        <v>15</v>
      </c>
      <c r="D10" s="6">
        <v>45781</v>
      </c>
      <c r="E10" s="5" t="s">
        <v>8</v>
      </c>
      <c r="F10" s="6" t="s">
        <v>21</v>
      </c>
      <c r="G10" s="7" t="s">
        <v>10</v>
      </c>
      <c r="H10" s="6" t="s">
        <v>26</v>
      </c>
    </row>
    <row r="11" spans="1:8" x14ac:dyDescent="0.3">
      <c r="A11" s="4">
        <v>42</v>
      </c>
      <c r="B11" s="5" t="s">
        <v>6</v>
      </c>
      <c r="C11" s="6" t="s">
        <v>15</v>
      </c>
      <c r="D11" s="6">
        <v>159449</v>
      </c>
      <c r="E11" s="5" t="s">
        <v>8</v>
      </c>
      <c r="F11" s="6" t="s">
        <v>9</v>
      </c>
      <c r="G11" s="7" t="s">
        <v>13</v>
      </c>
      <c r="H11" s="6" t="s">
        <v>26</v>
      </c>
    </row>
    <row r="12" spans="1:8" x14ac:dyDescent="0.3">
      <c r="A12" s="4">
        <v>37</v>
      </c>
      <c r="B12" s="5" t="s">
        <v>6</v>
      </c>
      <c r="C12" s="6" t="s">
        <v>15</v>
      </c>
      <c r="D12" s="6">
        <v>280464</v>
      </c>
      <c r="E12" s="5" t="s">
        <v>8</v>
      </c>
      <c r="F12" s="6" t="s">
        <v>30</v>
      </c>
      <c r="G12" s="7" t="s">
        <v>13</v>
      </c>
      <c r="H12" s="6" t="s">
        <v>26</v>
      </c>
    </row>
    <row r="13" spans="1:8" x14ac:dyDescent="0.3">
      <c r="A13" s="4">
        <v>30</v>
      </c>
      <c r="B13" s="5" t="s">
        <v>18</v>
      </c>
      <c r="C13" s="6" t="s">
        <v>7</v>
      </c>
      <c r="D13" s="6">
        <v>141297</v>
      </c>
      <c r="E13" s="5" t="s">
        <v>8</v>
      </c>
      <c r="F13" s="6" t="s">
        <v>9</v>
      </c>
      <c r="G13" s="7" t="s">
        <v>13</v>
      </c>
      <c r="H13" s="6" t="s">
        <v>26</v>
      </c>
    </row>
    <row r="14" spans="1:8" x14ac:dyDescent="0.3">
      <c r="A14" s="4">
        <v>23</v>
      </c>
      <c r="B14" s="5" t="s">
        <v>18</v>
      </c>
      <c r="C14" s="6" t="s">
        <v>15</v>
      </c>
      <c r="D14" s="6">
        <v>122272</v>
      </c>
      <c r="E14" s="5" t="s">
        <v>8</v>
      </c>
      <c r="F14" s="6" t="s">
        <v>9</v>
      </c>
      <c r="G14" s="7" t="s">
        <v>10</v>
      </c>
      <c r="H14" s="6" t="s">
        <v>11</v>
      </c>
    </row>
    <row r="15" spans="1:8" x14ac:dyDescent="0.3">
      <c r="A15" s="4">
        <v>32</v>
      </c>
      <c r="B15" s="5" t="s">
        <v>6</v>
      </c>
      <c r="C15" s="6" t="s">
        <v>15</v>
      </c>
      <c r="D15" s="6">
        <v>205019</v>
      </c>
      <c r="E15" s="5" t="s">
        <v>8</v>
      </c>
      <c r="F15" s="6" t="s">
        <v>33</v>
      </c>
      <c r="G15" s="7" t="s">
        <v>10</v>
      </c>
      <c r="H15" s="6" t="s">
        <v>11</v>
      </c>
    </row>
    <row r="16" spans="1:8" x14ac:dyDescent="0.3">
      <c r="A16" s="4">
        <v>40</v>
      </c>
      <c r="B16" s="5" t="s">
        <v>6</v>
      </c>
      <c r="C16" s="6" t="s">
        <v>15</v>
      </c>
      <c r="D16" s="6">
        <v>121772</v>
      </c>
      <c r="E16" s="5" t="s">
        <v>8</v>
      </c>
      <c r="F16" s="6" t="s">
        <v>34</v>
      </c>
      <c r="G16" s="7" t="s">
        <v>13</v>
      </c>
      <c r="H16" s="6" t="s">
        <v>26</v>
      </c>
    </row>
    <row r="17" spans="1:8" x14ac:dyDescent="0.3">
      <c r="A17" s="4">
        <v>34</v>
      </c>
      <c r="B17" s="5" t="s">
        <v>6</v>
      </c>
      <c r="C17" s="6" t="s">
        <v>15</v>
      </c>
      <c r="D17" s="6">
        <v>245487</v>
      </c>
      <c r="E17" s="5" t="s">
        <v>8</v>
      </c>
      <c r="F17" s="6" t="s">
        <v>35</v>
      </c>
      <c r="G17" s="7" t="s">
        <v>13</v>
      </c>
      <c r="H17" s="6" t="s">
        <v>11</v>
      </c>
    </row>
    <row r="18" spans="1:8" x14ac:dyDescent="0.3">
      <c r="A18" s="4">
        <v>25</v>
      </c>
      <c r="B18" s="5" t="s">
        <v>18</v>
      </c>
      <c r="C18" s="6" t="s">
        <v>12</v>
      </c>
      <c r="D18" s="6">
        <v>176756</v>
      </c>
      <c r="E18" s="5" t="s">
        <v>8</v>
      </c>
      <c r="F18" s="6" t="s">
        <v>16</v>
      </c>
      <c r="G18" s="7" t="s">
        <v>10</v>
      </c>
      <c r="H18" s="6" t="s">
        <v>11</v>
      </c>
    </row>
    <row r="19" spans="1:8" x14ac:dyDescent="0.3">
      <c r="A19" s="4">
        <v>32</v>
      </c>
      <c r="B19" s="5" t="s">
        <v>6</v>
      </c>
      <c r="C19" s="6" t="s">
        <v>15</v>
      </c>
      <c r="D19" s="6">
        <v>186824</v>
      </c>
      <c r="E19" s="5" t="s">
        <v>8</v>
      </c>
      <c r="F19" s="6" t="s">
        <v>16</v>
      </c>
      <c r="G19" s="7" t="s">
        <v>10</v>
      </c>
      <c r="H19" s="6" t="s">
        <v>11</v>
      </c>
    </row>
    <row r="20" spans="1:8" x14ac:dyDescent="0.3">
      <c r="A20" s="4">
        <v>38</v>
      </c>
      <c r="B20" s="5" t="s">
        <v>6</v>
      </c>
      <c r="C20" s="6" t="s">
        <v>15</v>
      </c>
      <c r="D20" s="6">
        <v>28887</v>
      </c>
      <c r="E20" s="5" t="s">
        <v>8</v>
      </c>
      <c r="F20" s="6" t="s">
        <v>19</v>
      </c>
      <c r="G20" s="7" t="s">
        <v>13</v>
      </c>
      <c r="H20" s="6" t="s">
        <v>11</v>
      </c>
    </row>
    <row r="21" spans="1:8" x14ac:dyDescent="0.3">
      <c r="A21" s="4">
        <v>43</v>
      </c>
      <c r="B21" s="5" t="s">
        <v>6</v>
      </c>
      <c r="C21" s="6" t="s">
        <v>12</v>
      </c>
      <c r="D21" s="6">
        <v>292175</v>
      </c>
      <c r="E21" s="5" t="s">
        <v>8</v>
      </c>
      <c r="F21" s="6" t="s">
        <v>21</v>
      </c>
      <c r="G21" s="7" t="s">
        <v>17</v>
      </c>
      <c r="H21" s="6" t="s">
        <v>26</v>
      </c>
    </row>
    <row r="22" spans="1:8" x14ac:dyDescent="0.3">
      <c r="A22" s="4">
        <v>40</v>
      </c>
      <c r="B22" s="5" t="s">
        <v>6</v>
      </c>
      <c r="C22" s="6" t="s">
        <v>15</v>
      </c>
      <c r="D22" s="6">
        <v>193524</v>
      </c>
      <c r="E22" s="5" t="s">
        <v>8</v>
      </c>
      <c r="F22" s="6" t="s">
        <v>39</v>
      </c>
      <c r="G22" s="7" t="s">
        <v>13</v>
      </c>
      <c r="H22" s="6" t="s">
        <v>26</v>
      </c>
    </row>
    <row r="23" spans="1:8" x14ac:dyDescent="0.3">
      <c r="A23" s="4">
        <v>54</v>
      </c>
      <c r="B23" s="5" t="s">
        <v>14</v>
      </c>
      <c r="C23" s="6" t="s">
        <v>15</v>
      </c>
      <c r="D23" s="6">
        <v>302146</v>
      </c>
      <c r="E23" s="5" t="s">
        <v>20</v>
      </c>
      <c r="F23" s="6" t="s">
        <v>16</v>
      </c>
      <c r="G23" s="7" t="s">
        <v>41</v>
      </c>
      <c r="H23" s="6" t="s">
        <v>11</v>
      </c>
    </row>
    <row r="24" spans="1:8" x14ac:dyDescent="0.3">
      <c r="A24" s="4">
        <v>35</v>
      </c>
      <c r="B24" s="5" t="s">
        <v>6</v>
      </c>
      <c r="C24" s="6" t="s">
        <v>43</v>
      </c>
      <c r="D24" s="6">
        <v>76845</v>
      </c>
      <c r="E24" s="5" t="s">
        <v>8</v>
      </c>
      <c r="F24" s="6" t="s">
        <v>23</v>
      </c>
      <c r="G24" s="7" t="s">
        <v>13</v>
      </c>
      <c r="H24" s="6" t="s">
        <v>11</v>
      </c>
    </row>
    <row r="25" spans="1:8" x14ac:dyDescent="0.3">
      <c r="A25" s="4">
        <v>43</v>
      </c>
      <c r="B25" s="5" t="s">
        <v>6</v>
      </c>
      <c r="C25" s="6" t="s">
        <v>15</v>
      </c>
      <c r="D25" s="6">
        <v>117037</v>
      </c>
      <c r="E25" s="5" t="s">
        <v>8</v>
      </c>
      <c r="F25" s="6" t="s">
        <v>19</v>
      </c>
      <c r="G25" s="7" t="s">
        <v>13</v>
      </c>
      <c r="H25" s="6" t="s">
        <v>11</v>
      </c>
    </row>
    <row r="26" spans="1:8" x14ac:dyDescent="0.3">
      <c r="A26" s="4">
        <v>59</v>
      </c>
      <c r="B26" s="5" t="s">
        <v>14</v>
      </c>
      <c r="C26" s="6" t="s">
        <v>15</v>
      </c>
      <c r="D26" s="6">
        <v>109015</v>
      </c>
      <c r="E26" s="5" t="s">
        <v>8</v>
      </c>
      <c r="F26" s="6" t="s">
        <v>16</v>
      </c>
      <c r="G26" s="7" t="s">
        <v>17</v>
      </c>
      <c r="H26" s="6" t="s">
        <v>11</v>
      </c>
    </row>
    <row r="27" spans="1:8" x14ac:dyDescent="0.3">
      <c r="A27" s="4">
        <v>56</v>
      </c>
      <c r="B27" s="5" t="s">
        <v>14</v>
      </c>
      <c r="C27" s="6" t="s">
        <v>47</v>
      </c>
      <c r="D27" s="6">
        <v>216851</v>
      </c>
      <c r="E27" s="5" t="s">
        <v>8</v>
      </c>
      <c r="F27" s="6" t="s">
        <v>9</v>
      </c>
      <c r="G27" s="7" t="s">
        <v>13</v>
      </c>
      <c r="H27" s="6" t="s">
        <v>26</v>
      </c>
    </row>
    <row r="28" spans="1:8" x14ac:dyDescent="0.3">
      <c r="A28" s="4">
        <v>19</v>
      </c>
      <c r="B28" s="5" t="s">
        <v>18</v>
      </c>
      <c r="C28" s="6" t="s">
        <v>15</v>
      </c>
      <c r="D28" s="6">
        <v>168294</v>
      </c>
      <c r="E28" s="5" t="s">
        <v>8</v>
      </c>
      <c r="F28" s="6" t="s">
        <v>16</v>
      </c>
      <c r="G28" s="7" t="s">
        <v>10</v>
      </c>
      <c r="H28" s="6" t="s">
        <v>11</v>
      </c>
    </row>
    <row r="29" spans="1:8" x14ac:dyDescent="0.3">
      <c r="A29" s="4">
        <v>54</v>
      </c>
      <c r="B29" s="5" t="s">
        <v>14</v>
      </c>
      <c r="C29" s="6" t="s">
        <v>50</v>
      </c>
      <c r="D29" s="6">
        <v>180211</v>
      </c>
      <c r="E29" s="5" t="s">
        <v>8</v>
      </c>
      <c r="F29" s="6" t="s">
        <v>30</v>
      </c>
      <c r="G29" s="7" t="s">
        <v>13</v>
      </c>
      <c r="H29" s="6" t="s">
        <v>26</v>
      </c>
    </row>
    <row r="30" spans="1:8" x14ac:dyDescent="0.3">
      <c r="A30" s="4">
        <v>39</v>
      </c>
      <c r="B30" s="5" t="s">
        <v>6</v>
      </c>
      <c r="C30" s="6" t="s">
        <v>15</v>
      </c>
      <c r="D30" s="6">
        <v>367260</v>
      </c>
      <c r="E30" s="5" t="s">
        <v>20</v>
      </c>
      <c r="F30" s="6" t="s">
        <v>16</v>
      </c>
      <c r="G30" s="7" t="s">
        <v>17</v>
      </c>
      <c r="H30" s="6" t="s">
        <v>11</v>
      </c>
    </row>
    <row r="31" spans="1:8" x14ac:dyDescent="0.3">
      <c r="A31" s="4">
        <v>49</v>
      </c>
      <c r="B31" s="5" t="s">
        <v>6</v>
      </c>
      <c r="C31" s="6" t="s">
        <v>15</v>
      </c>
      <c r="D31" s="6">
        <v>193366</v>
      </c>
      <c r="E31" s="5" t="s">
        <v>8</v>
      </c>
      <c r="F31" s="6" t="s">
        <v>16</v>
      </c>
      <c r="G31" s="7" t="s">
        <v>13</v>
      </c>
      <c r="H31" s="6" t="s">
        <v>11</v>
      </c>
    </row>
    <row r="32" spans="1:8" x14ac:dyDescent="0.3">
      <c r="A32" s="4">
        <v>23</v>
      </c>
      <c r="B32" s="5" t="s">
        <v>18</v>
      </c>
      <c r="C32" s="6" t="s">
        <v>47</v>
      </c>
      <c r="D32" s="6">
        <v>190709</v>
      </c>
      <c r="E32" s="5" t="s">
        <v>8</v>
      </c>
      <c r="F32" s="6" t="s">
        <v>33</v>
      </c>
      <c r="G32" s="7" t="s">
        <v>10</v>
      </c>
      <c r="H32" s="6" t="s">
        <v>11</v>
      </c>
    </row>
    <row r="33" spans="1:8" x14ac:dyDescent="0.3">
      <c r="A33" s="4">
        <v>20</v>
      </c>
      <c r="B33" s="5" t="s">
        <v>18</v>
      </c>
      <c r="C33" s="6" t="s">
        <v>15</v>
      </c>
      <c r="D33" s="6">
        <v>266015</v>
      </c>
      <c r="E33" s="5" t="s">
        <v>8</v>
      </c>
      <c r="F33" s="6" t="s">
        <v>30</v>
      </c>
      <c r="G33" s="7" t="s">
        <v>10</v>
      </c>
      <c r="H33" s="6" t="s">
        <v>11</v>
      </c>
    </row>
    <row r="34" spans="1:8" x14ac:dyDescent="0.3">
      <c r="A34" s="4">
        <v>45</v>
      </c>
      <c r="B34" s="5" t="s">
        <v>6</v>
      </c>
      <c r="C34" s="6" t="s">
        <v>15</v>
      </c>
      <c r="D34" s="6">
        <v>386940</v>
      </c>
      <c r="E34" s="5" t="s">
        <v>20</v>
      </c>
      <c r="F34" s="6" t="s">
        <v>9</v>
      </c>
      <c r="G34" s="7" t="s">
        <v>17</v>
      </c>
      <c r="H34" s="6" t="s">
        <v>11</v>
      </c>
    </row>
    <row r="35" spans="1:8" x14ac:dyDescent="0.3">
      <c r="A35" s="4">
        <v>30</v>
      </c>
      <c r="B35" s="5" t="s">
        <v>18</v>
      </c>
      <c r="C35" s="6" t="s">
        <v>43</v>
      </c>
      <c r="D35" s="6">
        <v>59951</v>
      </c>
      <c r="E35" s="5" t="s">
        <v>8</v>
      </c>
      <c r="F35" s="6" t="s">
        <v>30</v>
      </c>
      <c r="G35" s="7" t="s">
        <v>13</v>
      </c>
      <c r="H35" s="6" t="s">
        <v>11</v>
      </c>
    </row>
    <row r="36" spans="1:8" x14ac:dyDescent="0.3">
      <c r="A36" s="4">
        <v>22</v>
      </c>
      <c r="B36" s="5" t="s">
        <v>18</v>
      </c>
      <c r="C36" s="6" t="s">
        <v>7</v>
      </c>
      <c r="D36" s="6">
        <v>311512</v>
      </c>
      <c r="E36" s="5" t="s">
        <v>20</v>
      </c>
      <c r="F36" s="6" t="s">
        <v>30</v>
      </c>
      <c r="G36" s="7" t="s">
        <v>13</v>
      </c>
      <c r="H36" s="6" t="s">
        <v>11</v>
      </c>
    </row>
    <row r="37" spans="1:8" x14ac:dyDescent="0.3">
      <c r="A37" s="4">
        <v>48</v>
      </c>
      <c r="B37" s="5" t="s">
        <v>6</v>
      </c>
      <c r="C37" s="6" t="s">
        <v>15</v>
      </c>
      <c r="D37" s="6">
        <v>242406</v>
      </c>
      <c r="E37" s="5" t="s">
        <v>8</v>
      </c>
      <c r="F37" s="6" t="s">
        <v>19</v>
      </c>
      <c r="G37" s="7" t="s">
        <v>10</v>
      </c>
      <c r="H37" s="6" t="s">
        <v>11</v>
      </c>
    </row>
    <row r="38" spans="1:8" x14ac:dyDescent="0.3">
      <c r="A38" s="4">
        <v>21</v>
      </c>
      <c r="B38" s="5" t="s">
        <v>18</v>
      </c>
      <c r="C38" s="6" t="s">
        <v>15</v>
      </c>
      <c r="D38" s="6">
        <v>197200</v>
      </c>
      <c r="E38" s="5" t="s">
        <v>8</v>
      </c>
      <c r="F38" s="6" t="s">
        <v>30</v>
      </c>
      <c r="G38" s="7" t="s">
        <v>10</v>
      </c>
      <c r="H38" s="6" t="s">
        <v>11</v>
      </c>
    </row>
    <row r="39" spans="1:8" x14ac:dyDescent="0.3">
      <c r="A39" s="4">
        <v>19</v>
      </c>
      <c r="B39" s="5" t="s">
        <v>18</v>
      </c>
      <c r="C39" s="6" t="s">
        <v>15</v>
      </c>
      <c r="D39" s="6">
        <v>544091</v>
      </c>
      <c r="E39" s="5" t="s">
        <v>20</v>
      </c>
      <c r="F39" s="6" t="s">
        <v>16</v>
      </c>
      <c r="G39" s="7" t="s">
        <v>59</v>
      </c>
      <c r="H39" s="6" t="s">
        <v>11</v>
      </c>
    </row>
    <row r="40" spans="1:8" x14ac:dyDescent="0.3">
      <c r="A40" s="4">
        <v>31</v>
      </c>
      <c r="B40" s="5" t="s">
        <v>6</v>
      </c>
      <c r="C40" s="6" t="s">
        <v>15</v>
      </c>
      <c r="D40" s="6">
        <v>84154</v>
      </c>
      <c r="E40" s="5" t="s">
        <v>8</v>
      </c>
      <c r="F40" s="6" t="s">
        <v>30</v>
      </c>
      <c r="G40" s="7" t="s">
        <v>13</v>
      </c>
      <c r="H40" s="6" t="s">
        <v>26</v>
      </c>
    </row>
    <row r="41" spans="1:8" x14ac:dyDescent="0.3">
      <c r="A41" s="4">
        <v>48</v>
      </c>
      <c r="B41" s="5" t="s">
        <v>6</v>
      </c>
      <c r="C41" s="6" t="s">
        <v>12</v>
      </c>
      <c r="D41" s="6">
        <v>265477</v>
      </c>
      <c r="E41" s="5" t="s">
        <v>8</v>
      </c>
      <c r="F41" s="6" t="s">
        <v>33</v>
      </c>
      <c r="G41" s="7" t="s">
        <v>13</v>
      </c>
      <c r="H41" s="6" t="s">
        <v>11</v>
      </c>
    </row>
    <row r="42" spans="1:8" x14ac:dyDescent="0.3">
      <c r="A42" s="4">
        <v>31</v>
      </c>
      <c r="B42" s="5" t="s">
        <v>6</v>
      </c>
      <c r="C42" s="6" t="s">
        <v>15</v>
      </c>
      <c r="D42" s="6">
        <v>507875</v>
      </c>
      <c r="E42" s="5" t="s">
        <v>20</v>
      </c>
      <c r="F42" s="6" t="s">
        <v>23</v>
      </c>
      <c r="G42" s="7" t="s">
        <v>13</v>
      </c>
      <c r="H42" s="6" t="s">
        <v>11</v>
      </c>
    </row>
    <row r="43" spans="1:8" x14ac:dyDescent="0.3">
      <c r="A43" s="4">
        <v>53</v>
      </c>
      <c r="B43" s="5" t="s">
        <v>14</v>
      </c>
      <c r="C43" s="6" t="s">
        <v>12</v>
      </c>
      <c r="D43" s="6">
        <v>88506</v>
      </c>
      <c r="E43" s="5" t="s">
        <v>8</v>
      </c>
      <c r="F43" s="6" t="s">
        <v>9</v>
      </c>
      <c r="G43" s="7" t="s">
        <v>13</v>
      </c>
      <c r="H43" s="6" t="s">
        <v>11</v>
      </c>
    </row>
    <row r="44" spans="1:8" x14ac:dyDescent="0.3">
      <c r="A44" s="4">
        <v>24</v>
      </c>
      <c r="B44" s="5" t="s">
        <v>18</v>
      </c>
      <c r="C44" s="6" t="s">
        <v>15</v>
      </c>
      <c r="D44" s="6">
        <v>172987</v>
      </c>
      <c r="E44" s="5" t="s">
        <v>8</v>
      </c>
      <c r="F44" s="6" t="s">
        <v>9</v>
      </c>
      <c r="G44" s="7" t="s">
        <v>13</v>
      </c>
      <c r="H44" s="6" t="s">
        <v>11</v>
      </c>
    </row>
    <row r="45" spans="1:8" x14ac:dyDescent="0.3">
      <c r="A45" s="4">
        <v>49</v>
      </c>
      <c r="B45" s="5" t="s">
        <v>6</v>
      </c>
      <c r="C45" s="6" t="s">
        <v>15</v>
      </c>
      <c r="D45" s="6">
        <v>94638</v>
      </c>
      <c r="E45" s="5" t="s">
        <v>8</v>
      </c>
      <c r="F45" s="6" t="s">
        <v>16</v>
      </c>
      <c r="G45" s="7" t="s">
        <v>41</v>
      </c>
      <c r="H45" s="6" t="s">
        <v>11</v>
      </c>
    </row>
    <row r="46" spans="1:8" x14ac:dyDescent="0.3">
      <c r="A46" s="4">
        <v>25</v>
      </c>
      <c r="B46" s="5" t="s">
        <v>18</v>
      </c>
      <c r="C46" s="6" t="s">
        <v>15</v>
      </c>
      <c r="D46" s="6">
        <v>289980</v>
      </c>
      <c r="E46" s="5" t="s">
        <v>8</v>
      </c>
      <c r="F46" s="6" t="s">
        <v>16</v>
      </c>
      <c r="G46" s="7" t="s">
        <v>10</v>
      </c>
      <c r="H46" s="6" t="s">
        <v>11</v>
      </c>
    </row>
    <row r="47" spans="1:8" x14ac:dyDescent="0.3">
      <c r="A47" s="4">
        <v>57</v>
      </c>
      <c r="B47" s="5" t="s">
        <v>14</v>
      </c>
      <c r="C47" s="6" t="s">
        <v>43</v>
      </c>
      <c r="D47" s="6">
        <v>337895</v>
      </c>
      <c r="E47" s="5" t="s">
        <v>20</v>
      </c>
      <c r="F47" s="6" t="s">
        <v>9</v>
      </c>
      <c r="G47" s="7" t="s">
        <v>13</v>
      </c>
      <c r="H47" s="6" t="s">
        <v>26</v>
      </c>
    </row>
    <row r="48" spans="1:8" x14ac:dyDescent="0.3">
      <c r="A48" s="4">
        <v>53</v>
      </c>
      <c r="B48" s="5" t="s">
        <v>14</v>
      </c>
      <c r="C48" s="6" t="s">
        <v>15</v>
      </c>
      <c r="D48" s="6">
        <v>144361</v>
      </c>
      <c r="E48" s="5" t="s">
        <v>8</v>
      </c>
      <c r="F48" s="6" t="s">
        <v>16</v>
      </c>
      <c r="G48" s="7" t="s">
        <v>13</v>
      </c>
      <c r="H48" s="6" t="s">
        <v>11</v>
      </c>
    </row>
    <row r="49" spans="1:8" x14ac:dyDescent="0.3">
      <c r="A49" s="4">
        <v>44</v>
      </c>
      <c r="B49" s="5" t="s">
        <v>6</v>
      </c>
      <c r="C49" s="6" t="s">
        <v>15</v>
      </c>
      <c r="D49" s="6">
        <v>128354</v>
      </c>
      <c r="E49" s="5" t="s">
        <v>8</v>
      </c>
      <c r="F49" s="6" t="s">
        <v>21</v>
      </c>
      <c r="G49" s="7" t="s">
        <v>17</v>
      </c>
      <c r="H49" s="6" t="s">
        <v>11</v>
      </c>
    </row>
    <row r="50" spans="1:8" x14ac:dyDescent="0.3">
      <c r="A50" s="4">
        <v>41</v>
      </c>
      <c r="B50" s="5" t="s">
        <v>6</v>
      </c>
      <c r="C50" s="6" t="s">
        <v>7</v>
      </c>
      <c r="D50" s="6">
        <v>101603</v>
      </c>
      <c r="E50" s="5" t="s">
        <v>8</v>
      </c>
      <c r="F50" s="6" t="s">
        <v>34</v>
      </c>
      <c r="G50" s="7" t="s">
        <v>13</v>
      </c>
      <c r="H50" s="6" t="s">
        <v>11</v>
      </c>
    </row>
    <row r="51" spans="1:8" x14ac:dyDescent="0.3">
      <c r="A51" s="4">
        <v>29</v>
      </c>
      <c r="B51" s="5" t="s">
        <v>18</v>
      </c>
      <c r="C51" s="6" t="s">
        <v>15</v>
      </c>
      <c r="D51" s="6">
        <v>271466</v>
      </c>
      <c r="E51" s="5" t="s">
        <v>8</v>
      </c>
      <c r="F51" s="6" t="s">
        <v>34</v>
      </c>
      <c r="G51" s="7" t="s">
        <v>10</v>
      </c>
      <c r="H51" s="6" t="s">
        <v>11</v>
      </c>
    </row>
    <row r="52" spans="1:8" x14ac:dyDescent="0.3">
      <c r="A52" s="4">
        <v>25</v>
      </c>
      <c r="B52" s="5" t="s">
        <v>18</v>
      </c>
      <c r="C52" s="6" t="s">
        <v>15</v>
      </c>
      <c r="D52" s="6">
        <v>32275</v>
      </c>
      <c r="E52" s="5" t="s">
        <v>8</v>
      </c>
      <c r="F52" s="6" t="s">
        <v>30</v>
      </c>
      <c r="G52" s="7" t="s">
        <v>13</v>
      </c>
      <c r="H52" s="6" t="s">
        <v>11</v>
      </c>
    </row>
    <row r="53" spans="1:8" x14ac:dyDescent="0.3">
      <c r="A53" s="4">
        <v>18</v>
      </c>
      <c r="B53" s="5" t="s">
        <v>18</v>
      </c>
      <c r="C53" s="6" t="s">
        <v>15</v>
      </c>
      <c r="D53" s="6">
        <v>226956</v>
      </c>
      <c r="E53" s="5" t="s">
        <v>8</v>
      </c>
      <c r="F53" s="6" t="s">
        <v>16</v>
      </c>
      <c r="G53" s="7" t="s">
        <v>10</v>
      </c>
      <c r="H53" s="6" t="s">
        <v>11</v>
      </c>
    </row>
    <row r="54" spans="1:8" x14ac:dyDescent="0.3">
      <c r="A54" s="4">
        <v>47</v>
      </c>
      <c r="B54" s="5" t="s">
        <v>6</v>
      </c>
      <c r="C54" s="6" t="s">
        <v>15</v>
      </c>
      <c r="D54" s="6">
        <v>51835</v>
      </c>
      <c r="E54" s="5" t="s">
        <v>8</v>
      </c>
      <c r="F54" s="6" t="s">
        <v>53</v>
      </c>
      <c r="G54" s="7" t="s">
        <v>13</v>
      </c>
      <c r="H54" s="6" t="s">
        <v>26</v>
      </c>
    </row>
    <row r="55" spans="1:8" x14ac:dyDescent="0.3">
      <c r="A55" s="4">
        <v>50</v>
      </c>
      <c r="B55" s="5" t="s">
        <v>6</v>
      </c>
      <c r="C55" s="6" t="s">
        <v>43</v>
      </c>
      <c r="D55" s="6">
        <v>251585</v>
      </c>
      <c r="E55" s="5" t="s">
        <v>8</v>
      </c>
      <c r="F55" s="6" t="s">
        <v>9</v>
      </c>
      <c r="G55" s="7" t="s">
        <v>17</v>
      </c>
      <c r="H55" s="6" t="s">
        <v>26</v>
      </c>
    </row>
    <row r="56" spans="1:8" x14ac:dyDescent="0.3">
      <c r="A56" s="4">
        <v>47</v>
      </c>
      <c r="B56" s="5" t="s">
        <v>6</v>
      </c>
      <c r="C56" s="6" t="s">
        <v>60</v>
      </c>
      <c r="D56" s="6">
        <v>109832</v>
      </c>
      <c r="E56" s="5" t="s">
        <v>8</v>
      </c>
      <c r="F56" s="6" t="s">
        <v>16</v>
      </c>
      <c r="G56" s="7" t="s">
        <v>17</v>
      </c>
      <c r="H56" s="6" t="s">
        <v>11</v>
      </c>
    </row>
    <row r="57" spans="1:8" x14ac:dyDescent="0.3">
      <c r="A57" s="4">
        <v>43</v>
      </c>
      <c r="B57" s="5" t="s">
        <v>6</v>
      </c>
      <c r="C57" s="6" t="s">
        <v>15</v>
      </c>
      <c r="D57" s="6">
        <v>237993</v>
      </c>
      <c r="E57" s="5" t="s">
        <v>8</v>
      </c>
      <c r="F57" s="6" t="s">
        <v>30</v>
      </c>
      <c r="G57" s="7" t="s">
        <v>13</v>
      </c>
      <c r="H57" s="6" t="s">
        <v>26</v>
      </c>
    </row>
    <row r="58" spans="1:8" x14ac:dyDescent="0.3">
      <c r="A58" s="4">
        <v>46</v>
      </c>
      <c r="B58" s="5" t="s">
        <v>6</v>
      </c>
      <c r="C58" s="6" t="s">
        <v>15</v>
      </c>
      <c r="D58" s="6">
        <v>216666</v>
      </c>
      <c r="E58" s="5" t="s">
        <v>8</v>
      </c>
      <c r="F58" s="6" t="s">
        <v>61</v>
      </c>
      <c r="G58" s="7" t="s">
        <v>13</v>
      </c>
      <c r="H58" s="6" t="s">
        <v>11</v>
      </c>
    </row>
    <row r="59" spans="1:8" x14ac:dyDescent="0.3">
      <c r="A59" s="4">
        <v>35</v>
      </c>
      <c r="B59" s="5" t="s">
        <v>6</v>
      </c>
      <c r="C59" s="6" t="s">
        <v>15</v>
      </c>
      <c r="D59" s="6">
        <v>56352</v>
      </c>
      <c r="E59" s="5" t="s">
        <v>8</v>
      </c>
      <c r="F59" s="6" t="s">
        <v>34</v>
      </c>
      <c r="G59" s="7" t="s">
        <v>13</v>
      </c>
      <c r="H59" s="6" t="s">
        <v>11</v>
      </c>
    </row>
    <row r="60" spans="1:8" x14ac:dyDescent="0.3">
      <c r="A60" s="4">
        <v>41</v>
      </c>
      <c r="B60" s="5" t="s">
        <v>6</v>
      </c>
      <c r="C60" s="6" t="s">
        <v>15</v>
      </c>
      <c r="D60" s="6">
        <v>147372</v>
      </c>
      <c r="E60" s="5" t="s">
        <v>8</v>
      </c>
      <c r="F60" s="6" t="s">
        <v>16</v>
      </c>
      <c r="G60" s="7" t="s">
        <v>13</v>
      </c>
      <c r="H60" s="6" t="s">
        <v>11</v>
      </c>
    </row>
    <row r="61" spans="1:8" x14ac:dyDescent="0.3">
      <c r="A61" s="4">
        <v>30</v>
      </c>
      <c r="B61" s="5" t="s">
        <v>18</v>
      </c>
      <c r="C61" s="6" t="s">
        <v>15</v>
      </c>
      <c r="D61" s="6">
        <v>188146</v>
      </c>
      <c r="E61" s="5" t="s">
        <v>8</v>
      </c>
      <c r="F61" s="6" t="s">
        <v>16</v>
      </c>
      <c r="G61" s="7" t="s">
        <v>13</v>
      </c>
      <c r="H61" s="6" t="s">
        <v>11</v>
      </c>
    </row>
    <row r="62" spans="1:8" x14ac:dyDescent="0.3">
      <c r="A62" s="4">
        <v>30</v>
      </c>
      <c r="B62" s="5" t="s">
        <v>18</v>
      </c>
      <c r="C62" s="6" t="s">
        <v>15</v>
      </c>
      <c r="D62" s="6">
        <v>59496</v>
      </c>
      <c r="E62" s="5" t="s">
        <v>8</v>
      </c>
      <c r="F62" s="6" t="s">
        <v>9</v>
      </c>
      <c r="G62" s="7" t="s">
        <v>13</v>
      </c>
      <c r="H62" s="6" t="s">
        <v>11</v>
      </c>
    </row>
    <row r="63" spans="1:8" x14ac:dyDescent="0.3">
      <c r="A63" s="4">
        <v>32</v>
      </c>
      <c r="B63" s="5" t="s">
        <v>6</v>
      </c>
      <c r="C63" s="6" t="s">
        <v>50</v>
      </c>
      <c r="D63" s="6">
        <v>293936</v>
      </c>
      <c r="E63" s="5" t="s">
        <v>8</v>
      </c>
      <c r="F63" s="6" t="s">
        <v>35</v>
      </c>
      <c r="G63" s="7" t="s">
        <v>24</v>
      </c>
      <c r="H63" s="6" t="s">
        <v>11</v>
      </c>
    </row>
    <row r="64" spans="1:8" x14ac:dyDescent="0.3">
      <c r="A64" s="4">
        <v>48</v>
      </c>
      <c r="B64" s="5" t="s">
        <v>6</v>
      </c>
      <c r="C64" s="6" t="s">
        <v>15</v>
      </c>
      <c r="D64" s="6">
        <v>149640</v>
      </c>
      <c r="E64" s="5" t="s">
        <v>8</v>
      </c>
      <c r="F64" s="6" t="s">
        <v>16</v>
      </c>
      <c r="G64" s="7" t="s">
        <v>13</v>
      </c>
      <c r="H64" s="6" t="s">
        <v>11</v>
      </c>
    </row>
    <row r="65" spans="1:8" x14ac:dyDescent="0.3">
      <c r="A65" s="4">
        <v>42</v>
      </c>
      <c r="B65" s="5" t="s">
        <v>6</v>
      </c>
      <c r="C65" s="6" t="s">
        <v>15</v>
      </c>
      <c r="D65" s="6">
        <v>116632</v>
      </c>
      <c r="E65" s="5" t="s">
        <v>8</v>
      </c>
      <c r="F65" s="6" t="s">
        <v>39</v>
      </c>
      <c r="G65" s="7" t="s">
        <v>13</v>
      </c>
      <c r="H65" s="6" t="s">
        <v>26</v>
      </c>
    </row>
    <row r="66" spans="1:8" x14ac:dyDescent="0.3">
      <c r="A66" s="4">
        <v>29</v>
      </c>
      <c r="B66" s="5" t="s">
        <v>18</v>
      </c>
      <c r="C66" s="6" t="s">
        <v>15</v>
      </c>
      <c r="D66" s="6">
        <v>105598</v>
      </c>
      <c r="E66" s="5" t="s">
        <v>8</v>
      </c>
      <c r="F66" s="6" t="s">
        <v>30</v>
      </c>
      <c r="G66" s="7" t="s">
        <v>17</v>
      </c>
      <c r="H66" s="6" t="s">
        <v>11</v>
      </c>
    </row>
    <row r="67" spans="1:8" x14ac:dyDescent="0.3">
      <c r="A67" s="4">
        <v>36</v>
      </c>
      <c r="B67" s="5" t="s">
        <v>6</v>
      </c>
      <c r="C67" s="6" t="s">
        <v>15</v>
      </c>
      <c r="D67" s="6">
        <v>155537</v>
      </c>
      <c r="E67" s="5" t="s">
        <v>8</v>
      </c>
      <c r="F67" s="6" t="s">
        <v>16</v>
      </c>
      <c r="G67" s="7" t="s">
        <v>13</v>
      </c>
      <c r="H67" s="6" t="s">
        <v>11</v>
      </c>
    </row>
    <row r="68" spans="1:8" x14ac:dyDescent="0.3">
      <c r="A68" s="4">
        <v>28</v>
      </c>
      <c r="B68" s="5" t="s">
        <v>18</v>
      </c>
      <c r="C68" s="6" t="s">
        <v>15</v>
      </c>
      <c r="D68" s="6">
        <v>183175</v>
      </c>
      <c r="E68" s="5" t="s">
        <v>8</v>
      </c>
      <c r="F68" s="6" t="s">
        <v>30</v>
      </c>
      <c r="G68" s="7" t="s">
        <v>17</v>
      </c>
      <c r="H68" s="6" t="s">
        <v>11</v>
      </c>
    </row>
    <row r="69" spans="1:8" x14ac:dyDescent="0.3">
      <c r="A69" s="4">
        <v>53</v>
      </c>
      <c r="B69" s="5" t="s">
        <v>14</v>
      </c>
      <c r="C69" s="6" t="s">
        <v>15</v>
      </c>
      <c r="D69" s="6">
        <v>169846</v>
      </c>
      <c r="E69" s="5" t="s">
        <v>8</v>
      </c>
      <c r="F69" s="6" t="s">
        <v>16</v>
      </c>
      <c r="G69" s="7" t="s">
        <v>13</v>
      </c>
      <c r="H69" s="6" t="s">
        <v>26</v>
      </c>
    </row>
    <row r="70" spans="1:8" x14ac:dyDescent="0.3">
      <c r="A70" s="4">
        <v>49</v>
      </c>
      <c r="B70" s="5" t="s">
        <v>6</v>
      </c>
      <c r="C70" s="6" t="s">
        <v>60</v>
      </c>
      <c r="D70" s="6">
        <v>191681</v>
      </c>
      <c r="E70" s="5" t="s">
        <v>8</v>
      </c>
      <c r="F70" s="6" t="s">
        <v>30</v>
      </c>
      <c r="G70" s="7" t="s">
        <v>13</v>
      </c>
      <c r="H70" s="6" t="s">
        <v>26</v>
      </c>
    </row>
    <row r="71" spans="1:8" x14ac:dyDescent="0.3">
      <c r="A71" s="4">
        <v>25</v>
      </c>
      <c r="B71" s="5" t="s">
        <v>18</v>
      </c>
      <c r="C71" s="6" t="s">
        <v>50</v>
      </c>
      <c r="D71" s="6">
        <v>200681</v>
      </c>
      <c r="E71" s="5" t="s">
        <v>8</v>
      </c>
      <c r="F71" s="6" t="s">
        <v>30</v>
      </c>
      <c r="G71" s="7" t="s">
        <v>10</v>
      </c>
      <c r="H71" s="6" t="s">
        <v>11</v>
      </c>
    </row>
    <row r="72" spans="1:8" x14ac:dyDescent="0.3">
      <c r="A72" s="4">
        <v>19</v>
      </c>
      <c r="B72" s="5" t="s">
        <v>18</v>
      </c>
      <c r="C72" s="6" t="s">
        <v>15</v>
      </c>
      <c r="D72" s="6">
        <v>101509</v>
      </c>
      <c r="E72" s="5" t="s">
        <v>8</v>
      </c>
      <c r="F72" s="6" t="s">
        <v>30</v>
      </c>
      <c r="G72" s="7" t="s">
        <v>10</v>
      </c>
      <c r="H72" s="6" t="s">
        <v>11</v>
      </c>
    </row>
    <row r="73" spans="1:8" x14ac:dyDescent="0.3">
      <c r="A73" s="4">
        <v>31</v>
      </c>
      <c r="B73" s="5" t="s">
        <v>6</v>
      </c>
      <c r="C73" s="6" t="s">
        <v>15</v>
      </c>
      <c r="D73" s="6">
        <v>309974</v>
      </c>
      <c r="E73" s="5" t="s">
        <v>20</v>
      </c>
      <c r="F73" s="6" t="s">
        <v>9</v>
      </c>
      <c r="G73" s="7" t="s">
        <v>41</v>
      </c>
      <c r="H73" s="6" t="s">
        <v>11</v>
      </c>
    </row>
    <row r="74" spans="1:8" x14ac:dyDescent="0.3">
      <c r="A74" s="4">
        <v>29</v>
      </c>
      <c r="B74" s="5" t="s">
        <v>18</v>
      </c>
      <c r="C74" s="6" t="s">
        <v>12</v>
      </c>
      <c r="D74" s="6">
        <v>162298</v>
      </c>
      <c r="E74" s="5" t="s">
        <v>8</v>
      </c>
      <c r="F74" s="6" t="s">
        <v>9</v>
      </c>
      <c r="G74" s="7" t="s">
        <v>13</v>
      </c>
      <c r="H74" s="6" t="s">
        <v>26</v>
      </c>
    </row>
    <row r="75" spans="1:8" x14ac:dyDescent="0.3">
      <c r="A75" s="4">
        <v>23</v>
      </c>
      <c r="B75" s="5" t="s">
        <v>18</v>
      </c>
      <c r="C75" s="6" t="s">
        <v>15</v>
      </c>
      <c r="D75" s="6">
        <v>211678</v>
      </c>
      <c r="E75" s="5" t="s">
        <v>8</v>
      </c>
      <c r="F75" s="6" t="s">
        <v>30</v>
      </c>
      <c r="G75" s="7" t="s">
        <v>10</v>
      </c>
      <c r="H75" s="6" t="s">
        <v>11</v>
      </c>
    </row>
    <row r="76" spans="1:8" x14ac:dyDescent="0.3">
      <c r="A76" s="4">
        <v>79</v>
      </c>
      <c r="B76" s="5" t="s">
        <v>14</v>
      </c>
      <c r="C76" s="6" t="s">
        <v>15</v>
      </c>
      <c r="D76" s="6">
        <v>124744</v>
      </c>
      <c r="E76" s="5" t="s">
        <v>8</v>
      </c>
      <c r="F76" s="6" t="s">
        <v>30</v>
      </c>
      <c r="G76" s="7" t="s">
        <v>13</v>
      </c>
      <c r="H76" s="6" t="s">
        <v>11</v>
      </c>
    </row>
    <row r="77" spans="1:8" x14ac:dyDescent="0.3">
      <c r="A77" s="4">
        <v>27</v>
      </c>
      <c r="B77" s="5" t="s">
        <v>18</v>
      </c>
      <c r="C77" s="6" t="s">
        <v>15</v>
      </c>
      <c r="D77" s="6">
        <v>213921</v>
      </c>
      <c r="E77" s="5" t="s">
        <v>8</v>
      </c>
      <c r="F77" s="6" t="s">
        <v>16</v>
      </c>
      <c r="G77" s="7" t="s">
        <v>10</v>
      </c>
      <c r="H77" s="6" t="s">
        <v>11</v>
      </c>
    </row>
    <row r="78" spans="1:8" x14ac:dyDescent="0.3">
      <c r="A78" s="4">
        <v>40</v>
      </c>
      <c r="B78" s="5" t="s">
        <v>6</v>
      </c>
      <c r="C78" s="6" t="s">
        <v>15</v>
      </c>
      <c r="D78" s="6">
        <v>32214</v>
      </c>
      <c r="E78" s="5" t="s">
        <v>8</v>
      </c>
      <c r="F78" s="6" t="s">
        <v>33</v>
      </c>
      <c r="G78" s="7" t="s">
        <v>13</v>
      </c>
      <c r="H78" s="6" t="s">
        <v>11</v>
      </c>
    </row>
    <row r="79" spans="1:8" x14ac:dyDescent="0.3">
      <c r="A79" s="4">
        <v>67</v>
      </c>
      <c r="B79" s="5" t="s">
        <v>14</v>
      </c>
      <c r="C79" s="6" t="s">
        <v>50</v>
      </c>
      <c r="D79" s="6">
        <v>212759</v>
      </c>
      <c r="E79" s="5" t="s">
        <v>8</v>
      </c>
      <c r="F79" s="6" t="s">
        <v>62</v>
      </c>
      <c r="G79" s="7" t="s">
        <v>13</v>
      </c>
      <c r="H79" s="6" t="s">
        <v>11</v>
      </c>
    </row>
    <row r="80" spans="1:8" x14ac:dyDescent="0.3">
      <c r="A80" s="4">
        <v>18</v>
      </c>
      <c r="B80" s="5" t="s">
        <v>18</v>
      </c>
      <c r="C80" s="6" t="s">
        <v>15</v>
      </c>
      <c r="D80" s="6">
        <v>309634</v>
      </c>
      <c r="E80" s="5" t="s">
        <v>20</v>
      </c>
      <c r="F80" s="6" t="s">
        <v>19</v>
      </c>
      <c r="G80" s="7" t="s">
        <v>10</v>
      </c>
      <c r="H80" s="6" t="s">
        <v>11</v>
      </c>
    </row>
    <row r="81" spans="1:8" x14ac:dyDescent="0.3">
      <c r="A81" s="4">
        <v>31</v>
      </c>
      <c r="B81" s="5" t="s">
        <v>6</v>
      </c>
      <c r="C81" s="6" t="s">
        <v>47</v>
      </c>
      <c r="D81" s="6">
        <v>125927</v>
      </c>
      <c r="E81" s="5" t="s">
        <v>8</v>
      </c>
      <c r="F81" s="6" t="s">
        <v>35</v>
      </c>
      <c r="G81" s="7" t="s">
        <v>13</v>
      </c>
      <c r="H81" s="6" t="s">
        <v>11</v>
      </c>
    </row>
    <row r="82" spans="1:8" x14ac:dyDescent="0.3">
      <c r="A82" s="4">
        <v>18</v>
      </c>
      <c r="B82" s="5" t="s">
        <v>18</v>
      </c>
      <c r="C82" s="6" t="s">
        <v>15</v>
      </c>
      <c r="D82" s="6">
        <v>446839</v>
      </c>
      <c r="E82" s="5" t="s">
        <v>20</v>
      </c>
      <c r="F82" s="6" t="s">
        <v>16</v>
      </c>
      <c r="G82" s="7" t="s">
        <v>10</v>
      </c>
      <c r="H82" s="6" t="s">
        <v>11</v>
      </c>
    </row>
    <row r="83" spans="1:8" x14ac:dyDescent="0.3">
      <c r="A83" s="4">
        <v>52</v>
      </c>
      <c r="B83" s="5" t="s">
        <v>14</v>
      </c>
      <c r="C83" s="6" t="s">
        <v>15</v>
      </c>
      <c r="D83" s="6">
        <v>276515</v>
      </c>
      <c r="E83" s="5" t="s">
        <v>8</v>
      </c>
      <c r="F83" s="6" t="s">
        <v>9</v>
      </c>
      <c r="G83" s="7" t="s">
        <v>13</v>
      </c>
      <c r="H83" s="6" t="s">
        <v>11</v>
      </c>
    </row>
    <row r="84" spans="1:8" x14ac:dyDescent="0.3">
      <c r="A84" s="4">
        <v>46</v>
      </c>
      <c r="B84" s="5" t="s">
        <v>6</v>
      </c>
      <c r="C84" s="6" t="s">
        <v>15</v>
      </c>
      <c r="D84" s="6">
        <v>51618</v>
      </c>
      <c r="E84" s="5" t="s">
        <v>8</v>
      </c>
      <c r="F84" s="6" t="s">
        <v>16</v>
      </c>
      <c r="G84" s="7" t="s">
        <v>13</v>
      </c>
      <c r="H84" s="6" t="s">
        <v>11</v>
      </c>
    </row>
    <row r="85" spans="1:8" x14ac:dyDescent="0.3">
      <c r="A85" s="4">
        <v>59</v>
      </c>
      <c r="B85" s="5" t="s">
        <v>14</v>
      </c>
      <c r="C85" s="6" t="s">
        <v>15</v>
      </c>
      <c r="D85" s="6">
        <v>159937</v>
      </c>
      <c r="E85" s="5" t="s">
        <v>8</v>
      </c>
      <c r="F85" s="6" t="s">
        <v>16</v>
      </c>
      <c r="G85" s="7" t="s">
        <v>13</v>
      </c>
      <c r="H85" s="6" t="s">
        <v>11</v>
      </c>
    </row>
    <row r="86" spans="1:8" x14ac:dyDescent="0.3">
      <c r="A86" s="4">
        <v>44</v>
      </c>
      <c r="B86" s="5" t="s">
        <v>6</v>
      </c>
      <c r="C86" s="6" t="s">
        <v>15</v>
      </c>
      <c r="D86" s="6">
        <v>343591</v>
      </c>
      <c r="E86" s="5" t="s">
        <v>20</v>
      </c>
      <c r="F86" s="6" t="s">
        <v>16</v>
      </c>
      <c r="G86" s="7" t="s">
        <v>17</v>
      </c>
      <c r="H86" s="6" t="s">
        <v>26</v>
      </c>
    </row>
    <row r="87" spans="1:8" x14ac:dyDescent="0.3">
      <c r="A87" s="4">
        <v>53</v>
      </c>
      <c r="B87" s="5" t="s">
        <v>14</v>
      </c>
      <c r="C87" s="6" t="s">
        <v>15</v>
      </c>
      <c r="D87" s="6">
        <v>346253</v>
      </c>
      <c r="E87" s="5" t="s">
        <v>20</v>
      </c>
      <c r="F87" s="6" t="s">
        <v>16</v>
      </c>
      <c r="G87" s="7" t="s">
        <v>17</v>
      </c>
      <c r="H87" s="6" t="s">
        <v>11</v>
      </c>
    </row>
    <row r="88" spans="1:8" x14ac:dyDescent="0.3">
      <c r="A88" s="4">
        <v>49</v>
      </c>
      <c r="B88" s="5" t="s">
        <v>6</v>
      </c>
      <c r="C88" s="6" t="s">
        <v>47</v>
      </c>
      <c r="D88" s="6">
        <v>268234</v>
      </c>
      <c r="E88" s="5" t="s">
        <v>8</v>
      </c>
      <c r="F88" s="6" t="s">
        <v>16</v>
      </c>
      <c r="G88" s="7" t="s">
        <v>13</v>
      </c>
      <c r="H88" s="6" t="s">
        <v>26</v>
      </c>
    </row>
    <row r="89" spans="1:8" x14ac:dyDescent="0.3">
      <c r="A89" s="4">
        <v>33</v>
      </c>
      <c r="B89" s="5" t="s">
        <v>6</v>
      </c>
      <c r="C89" s="6" t="s">
        <v>15</v>
      </c>
      <c r="D89" s="6">
        <v>202051</v>
      </c>
      <c r="E89" s="5" t="s">
        <v>8</v>
      </c>
      <c r="F89" s="6" t="s">
        <v>21</v>
      </c>
      <c r="G89" s="7" t="s">
        <v>13</v>
      </c>
      <c r="H89" s="6" t="s">
        <v>11</v>
      </c>
    </row>
    <row r="90" spans="1:8" x14ac:dyDescent="0.3">
      <c r="A90" s="4">
        <v>30</v>
      </c>
      <c r="B90" s="5" t="s">
        <v>18</v>
      </c>
      <c r="C90" s="6" t="s">
        <v>15</v>
      </c>
      <c r="D90" s="6">
        <v>54334</v>
      </c>
      <c r="E90" s="5" t="s">
        <v>8</v>
      </c>
      <c r="F90" s="6" t="s">
        <v>23</v>
      </c>
      <c r="G90" s="7" t="s">
        <v>10</v>
      </c>
      <c r="H90" s="6" t="s">
        <v>11</v>
      </c>
    </row>
    <row r="91" spans="1:8" x14ac:dyDescent="0.3">
      <c r="A91" s="4">
        <v>43</v>
      </c>
      <c r="B91" s="5" t="s">
        <v>6</v>
      </c>
      <c r="C91" s="6" t="s">
        <v>43</v>
      </c>
      <c r="D91" s="6">
        <v>410867</v>
      </c>
      <c r="E91" s="5" t="s">
        <v>20</v>
      </c>
      <c r="F91" s="6" t="s">
        <v>39</v>
      </c>
      <c r="G91" s="7" t="s">
        <v>10</v>
      </c>
      <c r="H91" s="6" t="s">
        <v>26</v>
      </c>
    </row>
    <row r="92" spans="1:8" x14ac:dyDescent="0.3">
      <c r="A92" s="4">
        <v>57</v>
      </c>
      <c r="B92" s="5" t="s">
        <v>14</v>
      </c>
      <c r="C92" s="6" t="s">
        <v>15</v>
      </c>
      <c r="D92" s="6">
        <v>249977</v>
      </c>
      <c r="E92" s="5" t="s">
        <v>8</v>
      </c>
      <c r="F92" s="6" t="s">
        <v>34</v>
      </c>
      <c r="G92" s="7" t="s">
        <v>13</v>
      </c>
      <c r="H92" s="6" t="s">
        <v>11</v>
      </c>
    </row>
    <row r="93" spans="1:8" x14ac:dyDescent="0.3">
      <c r="A93" s="4">
        <v>37</v>
      </c>
      <c r="B93" s="5" t="s">
        <v>6</v>
      </c>
      <c r="C93" s="6" t="s">
        <v>15</v>
      </c>
      <c r="D93" s="6">
        <v>286730</v>
      </c>
      <c r="E93" s="5" t="s">
        <v>8</v>
      </c>
      <c r="F93" s="6" t="s">
        <v>30</v>
      </c>
      <c r="G93" s="7" t="s">
        <v>17</v>
      </c>
      <c r="H93" s="6" t="s">
        <v>11</v>
      </c>
    </row>
    <row r="94" spans="1:8" x14ac:dyDescent="0.3">
      <c r="A94" s="4">
        <v>28</v>
      </c>
      <c r="B94" s="5" t="s">
        <v>18</v>
      </c>
      <c r="C94" s="6" t="s">
        <v>15</v>
      </c>
      <c r="D94" s="6">
        <v>212563</v>
      </c>
      <c r="E94" s="5" t="s">
        <v>8</v>
      </c>
      <c r="F94" s="6" t="s">
        <v>30</v>
      </c>
      <c r="G94" s="7" t="s">
        <v>17</v>
      </c>
      <c r="H94" s="6" t="s">
        <v>11</v>
      </c>
    </row>
    <row r="95" spans="1:8" x14ac:dyDescent="0.3">
      <c r="A95" s="4">
        <v>30</v>
      </c>
      <c r="B95" s="5" t="s">
        <v>18</v>
      </c>
      <c r="C95" s="6" t="s">
        <v>15</v>
      </c>
      <c r="D95" s="6">
        <v>117747</v>
      </c>
      <c r="E95" s="5" t="s">
        <v>8</v>
      </c>
      <c r="F95" s="6" t="s">
        <v>16</v>
      </c>
      <c r="G95" s="7" t="s">
        <v>13</v>
      </c>
      <c r="H95" s="6" t="s">
        <v>11</v>
      </c>
    </row>
    <row r="96" spans="1:8" x14ac:dyDescent="0.3">
      <c r="A96" s="4">
        <v>34</v>
      </c>
      <c r="B96" s="5" t="s">
        <v>6</v>
      </c>
      <c r="C96" s="6" t="s">
        <v>47</v>
      </c>
      <c r="D96" s="6">
        <v>226296</v>
      </c>
      <c r="E96" s="5" t="s">
        <v>8</v>
      </c>
      <c r="F96" s="6" t="s">
        <v>9</v>
      </c>
      <c r="G96" s="7" t="s">
        <v>13</v>
      </c>
      <c r="H96" s="6" t="s">
        <v>26</v>
      </c>
    </row>
    <row r="97" spans="1:8" x14ac:dyDescent="0.3">
      <c r="A97" s="4">
        <v>29</v>
      </c>
      <c r="B97" s="5" t="s">
        <v>18</v>
      </c>
      <c r="C97" s="6" t="s">
        <v>47</v>
      </c>
      <c r="D97" s="6">
        <v>115585</v>
      </c>
      <c r="E97" s="5" t="s">
        <v>8</v>
      </c>
      <c r="F97" s="6" t="s">
        <v>30</v>
      </c>
      <c r="G97" s="7" t="s">
        <v>10</v>
      </c>
      <c r="H97" s="6" t="s">
        <v>11</v>
      </c>
    </row>
    <row r="98" spans="1:8" x14ac:dyDescent="0.3">
      <c r="A98" s="4">
        <v>48</v>
      </c>
      <c r="B98" s="5" t="s">
        <v>6</v>
      </c>
      <c r="C98" s="6" t="s">
        <v>12</v>
      </c>
      <c r="D98" s="6">
        <v>191277</v>
      </c>
      <c r="E98" s="5" t="s">
        <v>8</v>
      </c>
      <c r="F98" s="6" t="s">
        <v>39</v>
      </c>
      <c r="G98" s="7" t="s">
        <v>13</v>
      </c>
      <c r="H98" s="6" t="s">
        <v>26</v>
      </c>
    </row>
    <row r="99" spans="1:8" x14ac:dyDescent="0.3">
      <c r="A99" s="4">
        <v>37</v>
      </c>
      <c r="B99" s="5" t="s">
        <v>6</v>
      </c>
      <c r="C99" s="6" t="s">
        <v>15</v>
      </c>
      <c r="D99" s="6">
        <v>202683</v>
      </c>
      <c r="E99" s="5" t="s">
        <v>8</v>
      </c>
      <c r="F99" s="6" t="s">
        <v>30</v>
      </c>
      <c r="G99" s="7" t="s">
        <v>13</v>
      </c>
      <c r="H99" s="6" t="s">
        <v>26</v>
      </c>
    </row>
    <row r="100" spans="1:8" x14ac:dyDescent="0.3">
      <c r="A100" s="4">
        <v>48</v>
      </c>
      <c r="B100" s="5" t="s">
        <v>6</v>
      </c>
      <c r="C100" s="6" t="s">
        <v>15</v>
      </c>
      <c r="D100" s="6">
        <v>171095</v>
      </c>
      <c r="E100" s="5" t="s">
        <v>8</v>
      </c>
      <c r="F100" s="6" t="s">
        <v>33</v>
      </c>
      <c r="G100" s="7" t="s">
        <v>17</v>
      </c>
      <c r="H100" s="6" t="s">
        <v>11</v>
      </c>
    </row>
    <row r="101" spans="1:8" x14ac:dyDescent="0.3">
      <c r="A101" s="4">
        <v>32</v>
      </c>
      <c r="B101" s="5" t="s">
        <v>6</v>
      </c>
      <c r="C101" s="6" t="s">
        <v>43</v>
      </c>
      <c r="D101" s="6">
        <v>249409</v>
      </c>
      <c r="E101" s="5" t="s">
        <v>8</v>
      </c>
      <c r="F101" s="6" t="s">
        <v>16</v>
      </c>
      <c r="G101" s="7" t="s">
        <v>10</v>
      </c>
      <c r="H101" s="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topLeftCell="A13" zoomScale="94" workbookViewId="0">
      <selection activeCell="A13" sqref="A13"/>
    </sheetView>
  </sheetViews>
  <sheetFormatPr defaultRowHeight="14.4" x14ac:dyDescent="0.3"/>
  <cols>
    <col min="1" max="1" width="15.109375" bestFit="1" customWidth="1"/>
    <col min="2" max="2" width="17.109375" bestFit="1" customWidth="1"/>
    <col min="3" max="3" width="12.77734375" bestFit="1" customWidth="1"/>
    <col min="4" max="4" width="24.88671875" customWidth="1"/>
    <col min="5" max="5" width="9.21875" bestFit="1" customWidth="1"/>
    <col min="6" max="7" width="13.6640625" bestFit="1" customWidth="1"/>
    <col min="8" max="8" width="15.33203125" bestFit="1" customWidth="1"/>
    <col min="9" max="9" width="16.6640625" bestFit="1" customWidth="1"/>
    <col min="10" max="10" width="13.88671875" bestFit="1" customWidth="1"/>
    <col min="11" max="11" width="20.88671875" bestFit="1" customWidth="1"/>
    <col min="12" max="12" width="14.33203125" bestFit="1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63</v>
      </c>
    </row>
    <row r="2" spans="1:13" x14ac:dyDescent="0.3">
      <c r="A2" t="s">
        <v>64</v>
      </c>
      <c r="B2">
        <v>35</v>
      </c>
      <c r="C2">
        <v>58</v>
      </c>
      <c r="D2">
        <v>64</v>
      </c>
      <c r="E2">
        <v>25</v>
      </c>
      <c r="F2">
        <v>26</v>
      </c>
      <c r="G2">
        <v>75</v>
      </c>
    </row>
    <row r="3" spans="1:13" x14ac:dyDescent="0.3">
      <c r="A3" t="s">
        <v>65</v>
      </c>
      <c r="B3">
        <v>2</v>
      </c>
      <c r="C3">
        <v>1</v>
      </c>
      <c r="D3">
        <v>3</v>
      </c>
      <c r="E3">
        <v>0</v>
      </c>
      <c r="F3">
        <v>0</v>
      </c>
      <c r="G3">
        <v>25</v>
      </c>
    </row>
    <row r="4" spans="1:13" x14ac:dyDescent="0.3">
      <c r="A4" t="s">
        <v>66</v>
      </c>
      <c r="B4" s="9">
        <f t="shared" ref="B4:G4" si="0">B3/B2*100</f>
        <v>5.7142857142857144</v>
      </c>
      <c r="C4" s="9">
        <f t="shared" si="0"/>
        <v>1.7241379310344827</v>
      </c>
      <c r="D4" s="9">
        <f t="shared" si="0"/>
        <v>4.6875</v>
      </c>
      <c r="E4" s="9">
        <f t="shared" si="0"/>
        <v>0</v>
      </c>
      <c r="F4" s="9">
        <f t="shared" si="0"/>
        <v>0</v>
      </c>
      <c r="G4" s="9">
        <f t="shared" si="0"/>
        <v>33.333333333333329</v>
      </c>
    </row>
    <row r="5" spans="1:13" x14ac:dyDescent="0.3">
      <c r="A5" t="s">
        <v>67</v>
      </c>
      <c r="B5">
        <v>3</v>
      </c>
      <c r="C5">
        <v>3</v>
      </c>
      <c r="D5">
        <v>3</v>
      </c>
      <c r="E5">
        <v>3</v>
      </c>
      <c r="F5">
        <v>3</v>
      </c>
      <c r="G5">
        <v>2</v>
      </c>
    </row>
    <row r="6" spans="1:13" x14ac:dyDescent="0.3">
      <c r="A6" t="s">
        <v>68</v>
      </c>
      <c r="B6" s="11">
        <f>5.71/3</f>
        <v>1.9033333333333333</v>
      </c>
      <c r="C6" s="11">
        <f>1.72/3</f>
        <v>0.57333333333333336</v>
      </c>
      <c r="D6" s="11">
        <f>4.68/3</f>
        <v>1.5599999999999998</v>
      </c>
      <c r="E6" s="11">
        <f>0/3</f>
        <v>0</v>
      </c>
      <c r="F6" s="11">
        <f>0/3</f>
        <v>0</v>
      </c>
      <c r="G6" s="11">
        <f>33.33/2</f>
        <v>16.664999999999999</v>
      </c>
    </row>
    <row r="7" spans="1:13" x14ac:dyDescent="0.3">
      <c r="A7" t="s">
        <v>69</v>
      </c>
      <c r="B7">
        <f>100-1.903</f>
        <v>98.096999999999994</v>
      </c>
      <c r="C7">
        <f>100-0.57</f>
        <v>99.43</v>
      </c>
      <c r="D7">
        <f>100-1.56</f>
        <v>98.44</v>
      </c>
      <c r="E7">
        <f>100-0</f>
        <v>100</v>
      </c>
      <c r="F7">
        <f>100-0</f>
        <v>100</v>
      </c>
      <c r="G7">
        <f>100-16.66</f>
        <v>83.34</v>
      </c>
    </row>
    <row r="8" spans="1:13" x14ac:dyDescent="0.3">
      <c r="A8" t="s">
        <v>70</v>
      </c>
      <c r="B8" s="9">
        <f t="shared" ref="B8:G8" si="1">B7*B2</f>
        <v>3433.395</v>
      </c>
      <c r="C8" s="9">
        <f t="shared" si="1"/>
        <v>5766.9400000000005</v>
      </c>
      <c r="D8" s="9">
        <f t="shared" si="1"/>
        <v>6300.16</v>
      </c>
      <c r="E8" s="9">
        <f t="shared" si="1"/>
        <v>2500</v>
      </c>
      <c r="F8" s="9">
        <f t="shared" si="1"/>
        <v>2600</v>
      </c>
      <c r="G8" s="9">
        <f t="shared" si="1"/>
        <v>6250.5</v>
      </c>
    </row>
    <row r="9" spans="1:13" x14ac:dyDescent="0.3">
      <c r="D9" t="s">
        <v>71</v>
      </c>
    </row>
    <row r="10" spans="1:13" x14ac:dyDescent="0.3">
      <c r="B10" t="s">
        <v>72</v>
      </c>
      <c r="C10" t="s">
        <v>73</v>
      </c>
      <c r="D10" t="s">
        <v>72</v>
      </c>
      <c r="E10" t="s">
        <v>74</v>
      </c>
      <c r="F10" t="s">
        <v>72</v>
      </c>
      <c r="G10" t="s">
        <v>75</v>
      </c>
      <c r="H10" t="s">
        <v>72</v>
      </c>
      <c r="I10" t="s">
        <v>76</v>
      </c>
      <c r="J10" t="s">
        <v>72</v>
      </c>
      <c r="K10" t="s">
        <v>77</v>
      </c>
      <c r="L10" t="s">
        <v>78</v>
      </c>
      <c r="M10" t="s">
        <v>79</v>
      </c>
    </row>
    <row r="11" spans="1:13" x14ac:dyDescent="0.3">
      <c r="B11" t="s">
        <v>80</v>
      </c>
      <c r="C11" t="s">
        <v>81</v>
      </c>
      <c r="D11" t="s">
        <v>80</v>
      </c>
      <c r="E11" t="s">
        <v>82</v>
      </c>
      <c r="F11" t="s">
        <v>80</v>
      </c>
      <c r="G11" t="s">
        <v>83</v>
      </c>
      <c r="H11" t="s">
        <v>80</v>
      </c>
      <c r="I11" t="s">
        <v>84</v>
      </c>
      <c r="J11" t="s">
        <v>80</v>
      </c>
      <c r="K11" t="s">
        <v>85</v>
      </c>
      <c r="L11" t="s">
        <v>86</v>
      </c>
      <c r="M11" t="s">
        <v>87</v>
      </c>
    </row>
    <row r="12" spans="1:13" x14ac:dyDescent="0.3">
      <c r="B12" t="s">
        <v>88</v>
      </c>
      <c r="C12" t="s">
        <v>89</v>
      </c>
      <c r="D12" t="s">
        <v>88</v>
      </c>
      <c r="E12" t="s">
        <v>90</v>
      </c>
      <c r="F12" t="s">
        <v>88</v>
      </c>
      <c r="G12" t="s">
        <v>91</v>
      </c>
      <c r="H12" t="s">
        <v>88</v>
      </c>
      <c r="I12" t="s">
        <v>92</v>
      </c>
      <c r="J12" t="s">
        <v>88</v>
      </c>
      <c r="K12" t="s">
        <v>93</v>
      </c>
    </row>
    <row r="14" spans="1:13" x14ac:dyDescent="0.3">
      <c r="B14" t="s">
        <v>94</v>
      </c>
      <c r="C14">
        <v>80</v>
      </c>
      <c r="D14" t="s">
        <v>94</v>
      </c>
      <c r="E14">
        <v>80</v>
      </c>
      <c r="F14" t="s">
        <v>94</v>
      </c>
      <c r="G14">
        <v>80</v>
      </c>
      <c r="H14" t="s">
        <v>94</v>
      </c>
      <c r="I14">
        <v>80</v>
      </c>
      <c r="J14" t="s">
        <v>94</v>
      </c>
      <c r="K14">
        <v>80</v>
      </c>
    </row>
    <row r="15" spans="1:13" x14ac:dyDescent="0.3">
      <c r="B15" t="s">
        <v>95</v>
      </c>
      <c r="C15">
        <v>20</v>
      </c>
      <c r="D15" t="s">
        <v>95</v>
      </c>
      <c r="E15">
        <v>20</v>
      </c>
      <c r="F15" t="s">
        <v>95</v>
      </c>
      <c r="G15">
        <v>20</v>
      </c>
      <c r="H15" t="s">
        <v>95</v>
      </c>
      <c r="I15">
        <v>20</v>
      </c>
      <c r="J15" t="s">
        <v>95</v>
      </c>
      <c r="K15">
        <v>20</v>
      </c>
    </row>
    <row r="17" spans="2:12" x14ac:dyDescent="0.3">
      <c r="B17" t="s">
        <v>149</v>
      </c>
    </row>
    <row r="18" spans="2:12" x14ac:dyDescent="0.3">
      <c r="B18" t="s">
        <v>150</v>
      </c>
      <c r="C18">
        <v>60</v>
      </c>
      <c r="D18" t="s">
        <v>153</v>
      </c>
    </row>
    <row r="19" spans="2:12" x14ac:dyDescent="0.3">
      <c r="B19" t="s">
        <v>151</v>
      </c>
      <c r="C19">
        <v>15</v>
      </c>
    </row>
    <row r="20" spans="2:12" x14ac:dyDescent="0.3">
      <c r="B20" t="s">
        <v>152</v>
      </c>
      <c r="C20">
        <v>25</v>
      </c>
    </row>
    <row r="22" spans="2:12" x14ac:dyDescent="0.3">
      <c r="B22" t="s">
        <v>96</v>
      </c>
      <c r="C22">
        <v>80</v>
      </c>
      <c r="D22" t="s">
        <v>96</v>
      </c>
      <c r="E22">
        <v>80</v>
      </c>
    </row>
    <row r="23" spans="2:12" x14ac:dyDescent="0.3">
      <c r="B23" t="s">
        <v>97</v>
      </c>
      <c r="D23" t="s">
        <v>97</v>
      </c>
    </row>
    <row r="24" spans="2:12" x14ac:dyDescent="0.3">
      <c r="B24" t="s">
        <v>98</v>
      </c>
      <c r="D24" t="s">
        <v>98</v>
      </c>
    </row>
    <row r="25" spans="2:12" x14ac:dyDescent="0.3">
      <c r="B25" t="s">
        <v>99</v>
      </c>
      <c r="D25" t="s">
        <v>99</v>
      </c>
    </row>
    <row r="32" spans="2:12" x14ac:dyDescent="0.3">
      <c r="G32" s="12" t="s">
        <v>0</v>
      </c>
      <c r="H32" s="12" t="s">
        <v>1</v>
      </c>
      <c r="I32" s="12" t="s">
        <v>2</v>
      </c>
      <c r="J32" s="12" t="s">
        <v>3</v>
      </c>
      <c r="K32" s="12" t="s">
        <v>4</v>
      </c>
      <c r="L32" s="12" t="s">
        <v>5</v>
      </c>
    </row>
    <row r="33" spans="7:12" x14ac:dyDescent="0.3">
      <c r="G33" s="13" t="s">
        <v>72</v>
      </c>
      <c r="H33" s="13" t="s">
        <v>7</v>
      </c>
      <c r="I33" s="13" t="s">
        <v>72</v>
      </c>
      <c r="J33" s="13" t="s">
        <v>9</v>
      </c>
      <c r="K33" s="13" t="s">
        <v>10</v>
      </c>
      <c r="L33" s="13" t="s">
        <v>86</v>
      </c>
    </row>
    <row r="34" spans="7:12" x14ac:dyDescent="0.3">
      <c r="G34" s="13" t="s">
        <v>72</v>
      </c>
      <c r="H34" s="13" t="s">
        <v>12</v>
      </c>
      <c r="I34" s="13" t="s">
        <v>72</v>
      </c>
      <c r="J34" s="13" t="s">
        <v>9</v>
      </c>
      <c r="K34" s="13" t="s">
        <v>13</v>
      </c>
      <c r="L34" s="13" t="s">
        <v>86</v>
      </c>
    </row>
    <row r="35" spans="7:12" x14ac:dyDescent="0.3">
      <c r="G35" s="13" t="s">
        <v>72</v>
      </c>
      <c r="H35" s="13" t="s">
        <v>15</v>
      </c>
      <c r="I35" s="13" t="s">
        <v>72</v>
      </c>
      <c r="J35" s="13" t="s">
        <v>16</v>
      </c>
      <c r="K35" s="13" t="s">
        <v>17</v>
      </c>
      <c r="L35" s="13" t="s">
        <v>86</v>
      </c>
    </row>
    <row r="36" spans="7:12" x14ac:dyDescent="0.3">
      <c r="G36" s="34" t="s">
        <v>72</v>
      </c>
      <c r="H36" s="34" t="s">
        <v>15</v>
      </c>
      <c r="I36" s="34" t="s">
        <v>72</v>
      </c>
      <c r="J36" s="34" t="s">
        <v>19</v>
      </c>
      <c r="K36" s="34" t="s">
        <v>13</v>
      </c>
      <c r="L36" s="34" t="s">
        <v>86</v>
      </c>
    </row>
    <row r="37" spans="7:12" x14ac:dyDescent="0.3">
      <c r="G37" s="34" t="s">
        <v>88</v>
      </c>
      <c r="H37" s="34" t="s">
        <v>15</v>
      </c>
      <c r="I37" s="34" t="s">
        <v>72</v>
      </c>
      <c r="J37" s="34" t="s">
        <v>9</v>
      </c>
      <c r="K37" s="34" t="s">
        <v>13</v>
      </c>
      <c r="L37" s="34" t="s">
        <v>86</v>
      </c>
    </row>
    <row r="38" spans="7:12" x14ac:dyDescent="0.3">
      <c r="G38" s="34" t="s">
        <v>72</v>
      </c>
      <c r="H38" s="34" t="s">
        <v>15</v>
      </c>
      <c r="I38" s="34" t="s">
        <v>72</v>
      </c>
      <c r="J38" s="34" t="s">
        <v>21</v>
      </c>
      <c r="K38" s="34" t="s">
        <v>13</v>
      </c>
      <c r="L38" s="34" t="s">
        <v>86</v>
      </c>
    </row>
    <row r="39" spans="7:12" x14ac:dyDescent="0.3">
      <c r="G39" s="34" t="s">
        <v>72</v>
      </c>
      <c r="H39" s="34" t="s">
        <v>15</v>
      </c>
      <c r="I39" s="34" t="s">
        <v>72</v>
      </c>
      <c r="J39" s="34" t="s">
        <v>23</v>
      </c>
      <c r="K39" s="34" t="s">
        <v>24</v>
      </c>
      <c r="L39" s="34" t="s">
        <v>86</v>
      </c>
    </row>
    <row r="40" spans="7:12" x14ac:dyDescent="0.3">
      <c r="G40" s="34" t="s">
        <v>72</v>
      </c>
      <c r="H40" s="34" t="s">
        <v>12</v>
      </c>
      <c r="I40" s="34" t="s">
        <v>72</v>
      </c>
      <c r="J40" s="34" t="s">
        <v>16</v>
      </c>
      <c r="K40" s="34" t="s">
        <v>13</v>
      </c>
      <c r="L40" s="34" t="s">
        <v>78</v>
      </c>
    </row>
    <row r="41" spans="7:12" x14ac:dyDescent="0.3">
      <c r="G41" s="34" t="s">
        <v>72</v>
      </c>
      <c r="H41" s="34" t="s">
        <v>15</v>
      </c>
      <c r="I41" s="34" t="s">
        <v>72</v>
      </c>
      <c r="J41" s="34" t="s">
        <v>21</v>
      </c>
      <c r="K41" s="34" t="s">
        <v>10</v>
      </c>
      <c r="L41" s="34" t="s">
        <v>78</v>
      </c>
    </row>
    <row r="42" spans="7:12" x14ac:dyDescent="0.3">
      <c r="G42" s="34" t="s">
        <v>72</v>
      </c>
      <c r="H42" s="34" t="s">
        <v>15</v>
      </c>
      <c r="I42" s="34" t="s">
        <v>72</v>
      </c>
      <c r="J42" s="34" t="s">
        <v>9</v>
      </c>
      <c r="K42" s="34" t="s">
        <v>13</v>
      </c>
      <c r="L42" s="34" t="s">
        <v>78</v>
      </c>
    </row>
    <row r="43" spans="7:12" x14ac:dyDescent="0.3">
      <c r="G43" s="34" t="s">
        <v>72</v>
      </c>
      <c r="H43" s="34" t="s">
        <v>15</v>
      </c>
      <c r="I43" s="34" t="s">
        <v>72</v>
      </c>
      <c r="J43" s="34" t="s">
        <v>30</v>
      </c>
      <c r="K43" s="34" t="s">
        <v>13</v>
      </c>
      <c r="L43" s="34" t="s">
        <v>78</v>
      </c>
    </row>
    <row r="44" spans="7:12" x14ac:dyDescent="0.3">
      <c r="G44" s="34" t="s">
        <v>80</v>
      </c>
      <c r="H44" s="34" t="s">
        <v>7</v>
      </c>
      <c r="I44" s="34" t="s">
        <v>72</v>
      </c>
      <c r="J44" s="34" t="s">
        <v>9</v>
      </c>
      <c r="K44" s="34" t="s">
        <v>13</v>
      </c>
      <c r="L44" s="34" t="s">
        <v>78</v>
      </c>
    </row>
    <row r="45" spans="7:12" x14ac:dyDescent="0.3">
      <c r="G45" s="34" t="s">
        <v>88</v>
      </c>
      <c r="H45" s="34" t="s">
        <v>15</v>
      </c>
      <c r="I45" s="34" t="s">
        <v>72</v>
      </c>
      <c r="J45" s="34" t="s">
        <v>9</v>
      </c>
      <c r="K45" s="34" t="s">
        <v>10</v>
      </c>
      <c r="L45" s="34" t="s">
        <v>86</v>
      </c>
    </row>
    <row r="46" spans="7:12" x14ac:dyDescent="0.3">
      <c r="G46" s="34" t="s">
        <v>80</v>
      </c>
      <c r="H46" s="34" t="s">
        <v>15</v>
      </c>
      <c r="I46" s="34" t="s">
        <v>72</v>
      </c>
      <c r="J46" s="34" t="s">
        <v>33</v>
      </c>
      <c r="K46" s="34" t="s">
        <v>10</v>
      </c>
      <c r="L46" s="34" t="s">
        <v>86</v>
      </c>
    </row>
    <row r="47" spans="7:12" x14ac:dyDescent="0.3">
      <c r="G47" s="34" t="s">
        <v>72</v>
      </c>
      <c r="H47" s="34" t="s">
        <v>15</v>
      </c>
      <c r="I47" s="34" t="s">
        <v>72</v>
      </c>
      <c r="J47" s="34" t="s">
        <v>34</v>
      </c>
      <c r="K47" s="34" t="s">
        <v>13</v>
      </c>
      <c r="L47" s="34" t="s">
        <v>78</v>
      </c>
    </row>
    <row r="48" spans="7:12" x14ac:dyDescent="0.3">
      <c r="G48" s="34" t="s">
        <v>72</v>
      </c>
      <c r="H48" s="34" t="s">
        <v>15</v>
      </c>
      <c r="I48" s="34" t="s">
        <v>72</v>
      </c>
      <c r="J48" s="34" t="s">
        <v>35</v>
      </c>
      <c r="K48" s="34" t="s">
        <v>13</v>
      </c>
      <c r="L48" s="34" t="s">
        <v>86</v>
      </c>
    </row>
    <row r="49" spans="7:12" x14ac:dyDescent="0.3">
      <c r="G49" s="34" t="s">
        <v>88</v>
      </c>
      <c r="H49" s="34" t="s">
        <v>12</v>
      </c>
      <c r="I49" s="34" t="s">
        <v>72</v>
      </c>
      <c r="J49" s="34" t="s">
        <v>16</v>
      </c>
      <c r="K49" s="34" t="s">
        <v>10</v>
      </c>
      <c r="L49" s="34" t="s">
        <v>86</v>
      </c>
    </row>
    <row r="50" spans="7:12" x14ac:dyDescent="0.3">
      <c r="G50" s="34" t="s">
        <v>80</v>
      </c>
      <c r="H50" s="34" t="s">
        <v>15</v>
      </c>
      <c r="I50" s="34" t="s">
        <v>72</v>
      </c>
      <c r="J50" s="34" t="s">
        <v>16</v>
      </c>
      <c r="K50" s="34" t="s">
        <v>10</v>
      </c>
      <c r="L50" s="34" t="s">
        <v>86</v>
      </c>
    </row>
    <row r="51" spans="7:12" x14ac:dyDescent="0.3">
      <c r="G51" s="34" t="s">
        <v>72</v>
      </c>
      <c r="H51" s="34" t="s">
        <v>15</v>
      </c>
      <c r="I51" s="34" t="s">
        <v>72</v>
      </c>
      <c r="J51" s="34" t="s">
        <v>19</v>
      </c>
      <c r="K51" s="34" t="s">
        <v>13</v>
      </c>
      <c r="L51" s="34" t="s">
        <v>86</v>
      </c>
    </row>
    <row r="52" spans="7:12" x14ac:dyDescent="0.3">
      <c r="G52" s="34" t="s">
        <v>72</v>
      </c>
      <c r="H52" s="34" t="s">
        <v>12</v>
      </c>
      <c r="I52" s="34" t="s">
        <v>72</v>
      </c>
      <c r="J52" s="34" t="s">
        <v>21</v>
      </c>
      <c r="K52" s="34" t="s">
        <v>17</v>
      </c>
      <c r="L52" s="34" t="s">
        <v>78</v>
      </c>
    </row>
    <row r="53" spans="7:12" x14ac:dyDescent="0.3">
      <c r="G53" s="34" t="s">
        <v>72</v>
      </c>
      <c r="H53" s="34" t="s">
        <v>15</v>
      </c>
      <c r="I53" s="34" t="s">
        <v>72</v>
      </c>
      <c r="J53" s="34" t="s">
        <v>39</v>
      </c>
      <c r="K53" s="34" t="s">
        <v>13</v>
      </c>
      <c r="L53" s="34" t="s">
        <v>78</v>
      </c>
    </row>
    <row r="54" spans="7:12" x14ac:dyDescent="0.3">
      <c r="G54" s="34" t="s">
        <v>72</v>
      </c>
      <c r="H54" s="34" t="s">
        <v>15</v>
      </c>
      <c r="I54" s="34" t="s">
        <v>72</v>
      </c>
      <c r="J54" s="34" t="s">
        <v>16</v>
      </c>
      <c r="K54" s="34" t="s">
        <v>41</v>
      </c>
      <c r="L54" s="34" t="s">
        <v>86</v>
      </c>
    </row>
    <row r="55" spans="7:12" x14ac:dyDescent="0.3">
      <c r="G55" s="34" t="s">
        <v>72</v>
      </c>
      <c r="H55" s="34" t="s">
        <v>43</v>
      </c>
      <c r="I55" s="34" t="s">
        <v>72</v>
      </c>
      <c r="J55" s="34" t="s">
        <v>23</v>
      </c>
      <c r="K55" s="34" t="s">
        <v>13</v>
      </c>
      <c r="L55" s="34" t="s">
        <v>86</v>
      </c>
    </row>
    <row r="56" spans="7:12" x14ac:dyDescent="0.3">
      <c r="G56" s="34" t="s">
        <v>72</v>
      </c>
      <c r="H56" s="34" t="s">
        <v>15</v>
      </c>
      <c r="I56" s="34" t="s">
        <v>72</v>
      </c>
      <c r="J56" s="34" t="s">
        <v>19</v>
      </c>
      <c r="K56" s="34" t="s">
        <v>13</v>
      </c>
      <c r="L56" s="34" t="s">
        <v>86</v>
      </c>
    </row>
    <row r="57" spans="7:12" x14ac:dyDescent="0.3">
      <c r="G57" s="34" t="s">
        <v>72</v>
      </c>
      <c r="H57" s="34" t="s">
        <v>15</v>
      </c>
      <c r="I57" s="34" t="s">
        <v>72</v>
      </c>
      <c r="J57" s="34" t="s">
        <v>16</v>
      </c>
      <c r="K57" s="34" t="s">
        <v>17</v>
      </c>
      <c r="L57" s="34" t="s">
        <v>86</v>
      </c>
    </row>
    <row r="58" spans="7:12" x14ac:dyDescent="0.3">
      <c r="G58" s="34" t="s">
        <v>72</v>
      </c>
      <c r="H58" s="34" t="s">
        <v>47</v>
      </c>
      <c r="I58" s="34" t="s">
        <v>72</v>
      </c>
      <c r="J58" s="34" t="s">
        <v>9</v>
      </c>
      <c r="K58" s="34" t="s">
        <v>13</v>
      </c>
      <c r="L58" s="34" t="s">
        <v>78</v>
      </c>
    </row>
    <row r="59" spans="7:12" x14ac:dyDescent="0.3">
      <c r="G59" s="34" t="s">
        <v>88</v>
      </c>
      <c r="H59" s="34" t="s">
        <v>15</v>
      </c>
      <c r="I59" s="34" t="s">
        <v>72</v>
      </c>
      <c r="J59" s="34" t="s">
        <v>16</v>
      </c>
      <c r="K59" s="34" t="s">
        <v>10</v>
      </c>
      <c r="L59" s="34" t="s">
        <v>86</v>
      </c>
    </row>
    <row r="60" spans="7:12" x14ac:dyDescent="0.3">
      <c r="G60" s="34" t="s">
        <v>72</v>
      </c>
      <c r="H60" s="34" t="s">
        <v>50</v>
      </c>
      <c r="I60" s="34" t="s">
        <v>72</v>
      </c>
      <c r="J60" s="34" t="s">
        <v>30</v>
      </c>
      <c r="K60" s="34" t="s">
        <v>13</v>
      </c>
      <c r="L60" s="34" t="s">
        <v>78</v>
      </c>
    </row>
    <row r="61" spans="7:12" x14ac:dyDescent="0.3">
      <c r="G61" s="34" t="s">
        <v>72</v>
      </c>
      <c r="H61" s="34" t="s">
        <v>15</v>
      </c>
      <c r="I61" s="34" t="s">
        <v>72</v>
      </c>
      <c r="J61" s="34" t="s">
        <v>16</v>
      </c>
      <c r="K61" s="34" t="s">
        <v>17</v>
      </c>
      <c r="L61" s="34" t="s">
        <v>86</v>
      </c>
    </row>
    <row r="62" spans="7:12" x14ac:dyDescent="0.3">
      <c r="G62" s="34" t="s">
        <v>72</v>
      </c>
      <c r="H62" s="34" t="s">
        <v>15</v>
      </c>
      <c r="I62" s="34" t="s">
        <v>72</v>
      </c>
      <c r="J62" s="34" t="s">
        <v>16</v>
      </c>
      <c r="K62" s="34" t="s">
        <v>13</v>
      </c>
      <c r="L62" s="34" t="s">
        <v>86</v>
      </c>
    </row>
    <row r="63" spans="7:12" x14ac:dyDescent="0.3">
      <c r="G63" s="34" t="s">
        <v>88</v>
      </c>
      <c r="H63" s="34" t="s">
        <v>47</v>
      </c>
      <c r="I63" s="34" t="s">
        <v>72</v>
      </c>
      <c r="J63" s="34" t="s">
        <v>33</v>
      </c>
      <c r="K63" s="34" t="s">
        <v>10</v>
      </c>
      <c r="L63" s="34" t="s">
        <v>86</v>
      </c>
    </row>
    <row r="64" spans="7:12" x14ac:dyDescent="0.3">
      <c r="G64" s="34" t="s">
        <v>88</v>
      </c>
      <c r="H64" s="34" t="s">
        <v>15</v>
      </c>
      <c r="I64" s="34" t="s">
        <v>72</v>
      </c>
      <c r="J64" s="34" t="s">
        <v>30</v>
      </c>
      <c r="K64" s="34" t="s">
        <v>10</v>
      </c>
      <c r="L64" s="34" t="s">
        <v>86</v>
      </c>
    </row>
    <row r="65" spans="7:12" x14ac:dyDescent="0.3">
      <c r="G65" s="34" t="s">
        <v>72</v>
      </c>
      <c r="H65" s="34" t="s">
        <v>15</v>
      </c>
      <c r="I65" s="34" t="s">
        <v>72</v>
      </c>
      <c r="J65" s="34" t="s">
        <v>9</v>
      </c>
      <c r="K65" s="34" t="s">
        <v>17</v>
      </c>
      <c r="L65" s="34" t="s">
        <v>86</v>
      </c>
    </row>
    <row r="66" spans="7:12" x14ac:dyDescent="0.3">
      <c r="G66" s="34" t="s">
        <v>80</v>
      </c>
      <c r="H66" s="34" t="s">
        <v>43</v>
      </c>
      <c r="I66" s="34" t="s">
        <v>72</v>
      </c>
      <c r="J66" s="34" t="s">
        <v>30</v>
      </c>
      <c r="K66" s="34" t="s">
        <v>13</v>
      </c>
      <c r="L66" s="34" t="s">
        <v>86</v>
      </c>
    </row>
    <row r="67" spans="7:12" x14ac:dyDescent="0.3">
      <c r="G67" s="34" t="s">
        <v>88</v>
      </c>
      <c r="H67" s="34" t="s">
        <v>7</v>
      </c>
      <c r="I67" s="34" t="s">
        <v>72</v>
      </c>
      <c r="J67" s="34" t="s">
        <v>30</v>
      </c>
      <c r="K67" s="34" t="s">
        <v>13</v>
      </c>
      <c r="L67" s="34" t="s">
        <v>86</v>
      </c>
    </row>
    <row r="68" spans="7:12" x14ac:dyDescent="0.3">
      <c r="G68" s="34" t="s">
        <v>72</v>
      </c>
      <c r="H68" s="34" t="s">
        <v>15</v>
      </c>
      <c r="I68" s="34" t="s">
        <v>72</v>
      </c>
      <c r="J68" s="34" t="s">
        <v>19</v>
      </c>
      <c r="K68" s="34" t="s">
        <v>10</v>
      </c>
      <c r="L68" s="34" t="s">
        <v>86</v>
      </c>
    </row>
    <row r="69" spans="7:12" x14ac:dyDescent="0.3">
      <c r="G69" s="34" t="s">
        <v>88</v>
      </c>
      <c r="H69" s="34" t="s">
        <v>15</v>
      </c>
      <c r="I69" s="34" t="s">
        <v>72</v>
      </c>
      <c r="J69" s="34" t="s">
        <v>30</v>
      </c>
      <c r="K69" s="34" t="s">
        <v>10</v>
      </c>
      <c r="L69" s="34" t="s">
        <v>86</v>
      </c>
    </row>
    <row r="70" spans="7:12" x14ac:dyDescent="0.3">
      <c r="G70" s="34" t="s">
        <v>88</v>
      </c>
      <c r="H70" s="34" t="s">
        <v>15</v>
      </c>
      <c r="I70" s="34" t="s">
        <v>72</v>
      </c>
      <c r="J70" s="34" t="s">
        <v>16</v>
      </c>
      <c r="K70" s="34" t="s">
        <v>59</v>
      </c>
      <c r="L70" s="34" t="s">
        <v>86</v>
      </c>
    </row>
    <row r="71" spans="7:12" x14ac:dyDescent="0.3">
      <c r="G71" s="34" t="s">
        <v>80</v>
      </c>
      <c r="H71" s="34" t="s">
        <v>15</v>
      </c>
      <c r="I71" s="34" t="s">
        <v>72</v>
      </c>
      <c r="J71" s="34" t="s">
        <v>30</v>
      </c>
      <c r="K71" s="34" t="s">
        <v>13</v>
      </c>
      <c r="L71" s="34" t="s">
        <v>78</v>
      </c>
    </row>
    <row r="72" spans="7:12" x14ac:dyDescent="0.3">
      <c r="G72" s="34" t="s">
        <v>72</v>
      </c>
      <c r="H72" s="34" t="s">
        <v>12</v>
      </c>
      <c r="I72" s="34" t="s">
        <v>72</v>
      </c>
      <c r="J72" s="34" t="s">
        <v>33</v>
      </c>
      <c r="K72" s="34" t="s">
        <v>13</v>
      </c>
      <c r="L72" s="34" t="s">
        <v>86</v>
      </c>
    </row>
    <row r="73" spans="7:12" x14ac:dyDescent="0.3">
      <c r="G73" s="34" t="s">
        <v>80</v>
      </c>
      <c r="H73" s="34" t="s">
        <v>15</v>
      </c>
      <c r="I73" s="34" t="s">
        <v>72</v>
      </c>
      <c r="J73" s="34" t="s">
        <v>23</v>
      </c>
      <c r="K73" s="34" t="s">
        <v>13</v>
      </c>
      <c r="L73" s="34" t="s">
        <v>86</v>
      </c>
    </row>
    <row r="74" spans="7:12" x14ac:dyDescent="0.3">
      <c r="G74" s="34" t="s">
        <v>72</v>
      </c>
      <c r="H74" s="34" t="s">
        <v>12</v>
      </c>
      <c r="I74" s="34" t="s">
        <v>72</v>
      </c>
      <c r="J74" s="34" t="s">
        <v>9</v>
      </c>
      <c r="K74" s="34" t="s">
        <v>13</v>
      </c>
      <c r="L74" s="34" t="s">
        <v>86</v>
      </c>
    </row>
    <row r="75" spans="7:12" x14ac:dyDescent="0.3">
      <c r="G75" s="34" t="s">
        <v>88</v>
      </c>
      <c r="H75" s="34" t="s">
        <v>15</v>
      </c>
      <c r="I75" s="34" t="s">
        <v>72</v>
      </c>
      <c r="J75" s="34" t="s">
        <v>9</v>
      </c>
      <c r="K75" s="34" t="s">
        <v>13</v>
      </c>
      <c r="L75" s="34" t="s">
        <v>86</v>
      </c>
    </row>
    <row r="76" spans="7:12" x14ac:dyDescent="0.3">
      <c r="G76" s="34" t="s">
        <v>72</v>
      </c>
      <c r="H76" s="34" t="s">
        <v>15</v>
      </c>
      <c r="I76" s="34" t="s">
        <v>72</v>
      </c>
      <c r="J76" s="34" t="s">
        <v>16</v>
      </c>
      <c r="K76" s="34" t="s">
        <v>41</v>
      </c>
      <c r="L76" s="34" t="s">
        <v>86</v>
      </c>
    </row>
    <row r="77" spans="7:12" x14ac:dyDescent="0.3">
      <c r="G77" s="34" t="s">
        <v>88</v>
      </c>
      <c r="H77" s="34" t="s">
        <v>15</v>
      </c>
      <c r="I77" s="34" t="s">
        <v>72</v>
      </c>
      <c r="J77" s="34" t="s">
        <v>16</v>
      </c>
      <c r="K77" s="34" t="s">
        <v>10</v>
      </c>
      <c r="L77" s="34" t="s">
        <v>86</v>
      </c>
    </row>
    <row r="78" spans="7:12" x14ac:dyDescent="0.3">
      <c r="G78" s="34" t="s">
        <v>72</v>
      </c>
      <c r="H78" s="34" t="s">
        <v>43</v>
      </c>
      <c r="I78" s="34" t="s">
        <v>72</v>
      </c>
      <c r="J78" s="34" t="s">
        <v>9</v>
      </c>
      <c r="K78" s="34" t="s">
        <v>13</v>
      </c>
      <c r="L78" s="34" t="s">
        <v>78</v>
      </c>
    </row>
    <row r="79" spans="7:12" x14ac:dyDescent="0.3">
      <c r="G79" s="34" t="s">
        <v>72</v>
      </c>
      <c r="H79" s="34" t="s">
        <v>15</v>
      </c>
      <c r="I79" s="34" t="s">
        <v>72</v>
      </c>
      <c r="J79" s="34" t="s">
        <v>16</v>
      </c>
      <c r="K79" s="34" t="s">
        <v>13</v>
      </c>
      <c r="L79" s="34" t="s">
        <v>86</v>
      </c>
    </row>
    <row r="80" spans="7:12" x14ac:dyDescent="0.3">
      <c r="G80" s="34" t="s">
        <v>72</v>
      </c>
      <c r="H80" s="34" t="s">
        <v>15</v>
      </c>
      <c r="I80" s="34" t="s">
        <v>72</v>
      </c>
      <c r="J80" s="34" t="s">
        <v>21</v>
      </c>
      <c r="K80" s="34" t="s">
        <v>17</v>
      </c>
      <c r="L80" s="34" t="s">
        <v>86</v>
      </c>
    </row>
    <row r="81" spans="7:12" x14ac:dyDescent="0.3">
      <c r="G81" s="34" t="s">
        <v>72</v>
      </c>
      <c r="H81" s="34" t="s">
        <v>7</v>
      </c>
      <c r="I81" s="34" t="s">
        <v>72</v>
      </c>
      <c r="J81" s="34" t="s">
        <v>34</v>
      </c>
      <c r="K81" s="34" t="s">
        <v>13</v>
      </c>
      <c r="L81" s="34" t="s">
        <v>86</v>
      </c>
    </row>
    <row r="82" spans="7:12" x14ac:dyDescent="0.3">
      <c r="G82" s="34" t="s">
        <v>88</v>
      </c>
      <c r="H82" s="34" t="s">
        <v>15</v>
      </c>
      <c r="I82" s="34" t="s">
        <v>72</v>
      </c>
      <c r="J82" s="34" t="s">
        <v>34</v>
      </c>
      <c r="K82" s="34" t="s">
        <v>10</v>
      </c>
      <c r="L82" s="34" t="s">
        <v>86</v>
      </c>
    </row>
    <row r="83" spans="7:12" x14ac:dyDescent="0.3">
      <c r="G83" s="34" t="s">
        <v>88</v>
      </c>
      <c r="H83" s="34" t="s">
        <v>15</v>
      </c>
      <c r="I83" s="34" t="s">
        <v>72</v>
      </c>
      <c r="J83" s="34" t="s">
        <v>30</v>
      </c>
      <c r="K83" s="34" t="s">
        <v>13</v>
      </c>
      <c r="L83" s="34" t="s">
        <v>86</v>
      </c>
    </row>
    <row r="84" spans="7:12" x14ac:dyDescent="0.3">
      <c r="G84" s="34" t="s">
        <v>88</v>
      </c>
      <c r="H84" s="34" t="s">
        <v>15</v>
      </c>
      <c r="I84" s="34" t="s">
        <v>72</v>
      </c>
      <c r="J84" s="34" t="s">
        <v>16</v>
      </c>
      <c r="K84" s="34" t="s">
        <v>10</v>
      </c>
      <c r="L84" s="34" t="s">
        <v>86</v>
      </c>
    </row>
    <row r="85" spans="7:12" x14ac:dyDescent="0.3">
      <c r="G85" s="34" t="s">
        <v>72</v>
      </c>
      <c r="H85" s="34" t="s">
        <v>15</v>
      </c>
      <c r="I85" s="34" t="s">
        <v>72</v>
      </c>
      <c r="J85" s="34" t="s">
        <v>53</v>
      </c>
      <c r="K85" s="34" t="s">
        <v>13</v>
      </c>
      <c r="L85" s="34" t="s">
        <v>78</v>
      </c>
    </row>
    <row r="86" spans="7:12" x14ac:dyDescent="0.3">
      <c r="G86" s="34" t="s">
        <v>72</v>
      </c>
      <c r="H86" s="34" t="s">
        <v>43</v>
      </c>
      <c r="I86" s="34" t="s">
        <v>72</v>
      </c>
      <c r="J86" s="34" t="s">
        <v>9</v>
      </c>
      <c r="K86" s="34" t="s">
        <v>17</v>
      </c>
      <c r="L86" s="34" t="s">
        <v>78</v>
      </c>
    </row>
    <row r="87" spans="7:12" x14ac:dyDescent="0.3">
      <c r="G87" s="34" t="s">
        <v>72</v>
      </c>
      <c r="H87" s="34" t="s">
        <v>60</v>
      </c>
      <c r="I87" s="34" t="s">
        <v>72</v>
      </c>
      <c r="J87" s="34" t="s">
        <v>16</v>
      </c>
      <c r="K87" s="34" t="s">
        <v>17</v>
      </c>
      <c r="L87" s="34" t="s">
        <v>86</v>
      </c>
    </row>
    <row r="88" spans="7:12" x14ac:dyDescent="0.3">
      <c r="G88" s="34" t="s">
        <v>72</v>
      </c>
      <c r="H88" s="34" t="s">
        <v>15</v>
      </c>
      <c r="I88" s="34" t="s">
        <v>72</v>
      </c>
      <c r="J88" s="34" t="s">
        <v>30</v>
      </c>
      <c r="K88" s="34" t="s">
        <v>13</v>
      </c>
      <c r="L88" s="34" t="s">
        <v>78</v>
      </c>
    </row>
    <row r="89" spans="7:12" x14ac:dyDescent="0.3">
      <c r="G89" s="34" t="s">
        <v>72</v>
      </c>
      <c r="H89" s="34" t="s">
        <v>15</v>
      </c>
      <c r="I89" s="34" t="s">
        <v>72</v>
      </c>
      <c r="J89" s="34" t="s">
        <v>61</v>
      </c>
      <c r="K89" s="34" t="s">
        <v>13</v>
      </c>
      <c r="L89" s="34" t="s">
        <v>86</v>
      </c>
    </row>
    <row r="90" spans="7:12" x14ac:dyDescent="0.3">
      <c r="G90" s="34" t="s">
        <v>72</v>
      </c>
      <c r="H90" s="34" t="s">
        <v>15</v>
      </c>
      <c r="I90" s="34" t="s">
        <v>72</v>
      </c>
      <c r="J90" s="34" t="s">
        <v>34</v>
      </c>
      <c r="K90" s="34" t="s">
        <v>13</v>
      </c>
      <c r="L90" s="34" t="s">
        <v>86</v>
      </c>
    </row>
    <row r="91" spans="7:12" x14ac:dyDescent="0.3">
      <c r="G91" s="34" t="s">
        <v>72</v>
      </c>
      <c r="H91" s="34" t="s">
        <v>15</v>
      </c>
      <c r="I91" s="34" t="s">
        <v>72</v>
      </c>
      <c r="J91" s="34" t="s">
        <v>16</v>
      </c>
      <c r="K91" s="34" t="s">
        <v>13</v>
      </c>
      <c r="L91" s="34" t="s">
        <v>86</v>
      </c>
    </row>
    <row r="92" spans="7:12" x14ac:dyDescent="0.3">
      <c r="G92" s="34" t="s">
        <v>80</v>
      </c>
      <c r="H92" s="34" t="s">
        <v>15</v>
      </c>
      <c r="I92" s="34" t="s">
        <v>72</v>
      </c>
      <c r="J92" s="34" t="s">
        <v>16</v>
      </c>
      <c r="K92" s="34" t="s">
        <v>13</v>
      </c>
      <c r="L92" s="34" t="s">
        <v>86</v>
      </c>
    </row>
    <row r="93" spans="7:12" x14ac:dyDescent="0.3">
      <c r="G93" s="34" t="s">
        <v>80</v>
      </c>
      <c r="H93" s="34" t="s">
        <v>15</v>
      </c>
      <c r="I93" s="34" t="s">
        <v>72</v>
      </c>
      <c r="J93" s="34" t="s">
        <v>9</v>
      </c>
      <c r="K93" s="34" t="s">
        <v>13</v>
      </c>
      <c r="L93" s="34" t="s">
        <v>86</v>
      </c>
    </row>
    <row r="94" spans="7:12" x14ac:dyDescent="0.3">
      <c r="G94" s="34" t="s">
        <v>80</v>
      </c>
      <c r="H94" s="34" t="s">
        <v>50</v>
      </c>
      <c r="I94" s="34" t="s">
        <v>72</v>
      </c>
      <c r="J94" s="34" t="s">
        <v>35</v>
      </c>
      <c r="K94" s="34" t="s">
        <v>24</v>
      </c>
      <c r="L94" s="34" t="s">
        <v>86</v>
      </c>
    </row>
    <row r="95" spans="7:12" x14ac:dyDescent="0.3">
      <c r="G95" s="34" t="s">
        <v>72</v>
      </c>
      <c r="H95" s="34" t="s">
        <v>15</v>
      </c>
      <c r="I95" s="34" t="s">
        <v>72</v>
      </c>
      <c r="J95" s="34" t="s">
        <v>16</v>
      </c>
      <c r="K95" s="34" t="s">
        <v>13</v>
      </c>
      <c r="L95" s="34" t="s">
        <v>86</v>
      </c>
    </row>
    <row r="96" spans="7:12" x14ac:dyDescent="0.3">
      <c r="G96" s="34" t="s">
        <v>72</v>
      </c>
      <c r="H96" s="34" t="s">
        <v>15</v>
      </c>
      <c r="I96" s="34" t="s">
        <v>72</v>
      </c>
      <c r="J96" s="34" t="s">
        <v>39</v>
      </c>
      <c r="K96" s="34" t="s">
        <v>13</v>
      </c>
      <c r="L96" s="34" t="s">
        <v>78</v>
      </c>
    </row>
    <row r="97" spans="7:12" x14ac:dyDescent="0.3">
      <c r="G97" s="34" t="s">
        <v>88</v>
      </c>
      <c r="H97" s="34" t="s">
        <v>15</v>
      </c>
      <c r="I97" s="34" t="s">
        <v>72</v>
      </c>
      <c r="J97" s="34" t="s">
        <v>30</v>
      </c>
      <c r="K97" s="34" t="s">
        <v>17</v>
      </c>
      <c r="L97" s="34" t="s">
        <v>86</v>
      </c>
    </row>
    <row r="98" spans="7:12" x14ac:dyDescent="0.3">
      <c r="G98" s="34" t="s">
        <v>72</v>
      </c>
      <c r="H98" s="34" t="s">
        <v>15</v>
      </c>
      <c r="I98" s="34" t="s">
        <v>72</v>
      </c>
      <c r="J98" s="34" t="s">
        <v>16</v>
      </c>
      <c r="K98" s="34" t="s">
        <v>13</v>
      </c>
      <c r="L98" s="34" t="s">
        <v>86</v>
      </c>
    </row>
    <row r="99" spans="7:12" x14ac:dyDescent="0.3">
      <c r="G99" s="34" t="s">
        <v>88</v>
      </c>
      <c r="H99" s="34" t="s">
        <v>15</v>
      </c>
      <c r="I99" s="34" t="s">
        <v>72</v>
      </c>
      <c r="J99" s="34" t="s">
        <v>30</v>
      </c>
      <c r="K99" s="34" t="s">
        <v>17</v>
      </c>
      <c r="L99" s="34" t="s">
        <v>86</v>
      </c>
    </row>
    <row r="100" spans="7:12" x14ac:dyDescent="0.3">
      <c r="G100" s="34" t="s">
        <v>72</v>
      </c>
      <c r="H100" s="34" t="s">
        <v>15</v>
      </c>
      <c r="I100" s="34" t="s">
        <v>72</v>
      </c>
      <c r="J100" s="34" t="s">
        <v>16</v>
      </c>
      <c r="K100" s="34" t="s">
        <v>13</v>
      </c>
      <c r="L100" s="34" t="s">
        <v>78</v>
      </c>
    </row>
    <row r="101" spans="7:12" x14ac:dyDescent="0.3">
      <c r="G101" s="34" t="s">
        <v>72</v>
      </c>
      <c r="H101" s="34" t="s">
        <v>60</v>
      </c>
      <c r="I101" s="34" t="s">
        <v>72</v>
      </c>
      <c r="J101" s="34" t="s">
        <v>30</v>
      </c>
      <c r="K101" s="34" t="s">
        <v>13</v>
      </c>
      <c r="L101" s="34" t="s">
        <v>78</v>
      </c>
    </row>
    <row r="102" spans="7:12" x14ac:dyDescent="0.3">
      <c r="G102" s="34" t="s">
        <v>88</v>
      </c>
      <c r="H102" s="34" t="s">
        <v>50</v>
      </c>
      <c r="I102" s="34" t="s">
        <v>72</v>
      </c>
      <c r="J102" s="34" t="s">
        <v>30</v>
      </c>
      <c r="K102" s="34" t="s">
        <v>10</v>
      </c>
      <c r="L102" s="34" t="s">
        <v>86</v>
      </c>
    </row>
    <row r="103" spans="7:12" x14ac:dyDescent="0.3">
      <c r="G103" s="34" t="s">
        <v>88</v>
      </c>
      <c r="H103" s="34" t="s">
        <v>15</v>
      </c>
      <c r="I103" s="34" t="s">
        <v>72</v>
      </c>
      <c r="J103" s="34" t="s">
        <v>30</v>
      </c>
      <c r="K103" s="34" t="s">
        <v>10</v>
      </c>
      <c r="L103" s="34" t="s">
        <v>86</v>
      </c>
    </row>
    <row r="104" spans="7:12" x14ac:dyDescent="0.3">
      <c r="G104" s="34" t="s">
        <v>80</v>
      </c>
      <c r="H104" s="34" t="s">
        <v>15</v>
      </c>
      <c r="I104" s="34" t="s">
        <v>72</v>
      </c>
      <c r="J104" s="34" t="s">
        <v>9</v>
      </c>
      <c r="K104" s="34" t="s">
        <v>41</v>
      </c>
      <c r="L104" s="34" t="s">
        <v>86</v>
      </c>
    </row>
    <row r="105" spans="7:12" x14ac:dyDescent="0.3">
      <c r="G105" s="34" t="s">
        <v>88</v>
      </c>
      <c r="H105" s="34" t="s">
        <v>12</v>
      </c>
      <c r="I105" s="34" t="s">
        <v>72</v>
      </c>
      <c r="J105" s="34" t="s">
        <v>9</v>
      </c>
      <c r="K105" s="34" t="s">
        <v>13</v>
      </c>
      <c r="L105" s="34" t="s">
        <v>78</v>
      </c>
    </row>
    <row r="106" spans="7:12" x14ac:dyDescent="0.3">
      <c r="G106" s="34" t="s">
        <v>88</v>
      </c>
      <c r="H106" s="34" t="s">
        <v>15</v>
      </c>
      <c r="I106" s="34" t="s">
        <v>72</v>
      </c>
      <c r="J106" s="34" t="s">
        <v>30</v>
      </c>
      <c r="K106" s="34" t="s">
        <v>10</v>
      </c>
      <c r="L106" s="34" t="s">
        <v>86</v>
      </c>
    </row>
    <row r="107" spans="7:12" x14ac:dyDescent="0.3">
      <c r="G107" s="34" t="s">
        <v>72</v>
      </c>
      <c r="H107" s="34" t="s">
        <v>15</v>
      </c>
      <c r="I107" s="34" t="s">
        <v>72</v>
      </c>
      <c r="J107" s="34" t="s">
        <v>30</v>
      </c>
      <c r="K107" s="34" t="s">
        <v>13</v>
      </c>
      <c r="L107" s="34" t="s">
        <v>86</v>
      </c>
    </row>
    <row r="108" spans="7:12" x14ac:dyDescent="0.3">
      <c r="G108" s="34" t="s">
        <v>88</v>
      </c>
      <c r="H108" s="34" t="s">
        <v>15</v>
      </c>
      <c r="I108" s="34" t="s">
        <v>72</v>
      </c>
      <c r="J108" s="34" t="s">
        <v>16</v>
      </c>
      <c r="K108" s="34" t="s">
        <v>10</v>
      </c>
      <c r="L108" s="34" t="s">
        <v>86</v>
      </c>
    </row>
    <row r="109" spans="7:12" x14ac:dyDescent="0.3">
      <c r="G109" s="34" t="s">
        <v>72</v>
      </c>
      <c r="H109" s="34" t="s">
        <v>15</v>
      </c>
      <c r="I109" s="34" t="s">
        <v>72</v>
      </c>
      <c r="J109" s="34" t="s">
        <v>33</v>
      </c>
      <c r="K109" s="34" t="s">
        <v>13</v>
      </c>
      <c r="L109" s="34" t="s">
        <v>86</v>
      </c>
    </row>
    <row r="110" spans="7:12" x14ac:dyDescent="0.3">
      <c r="G110" s="34" t="s">
        <v>72</v>
      </c>
      <c r="H110" s="34" t="s">
        <v>50</v>
      </c>
      <c r="I110" s="34" t="s">
        <v>72</v>
      </c>
      <c r="J110" s="34" t="s">
        <v>62</v>
      </c>
      <c r="K110" s="34" t="s">
        <v>13</v>
      </c>
      <c r="L110" s="34" t="s">
        <v>86</v>
      </c>
    </row>
    <row r="111" spans="7:12" x14ac:dyDescent="0.3">
      <c r="G111" s="34" t="s">
        <v>88</v>
      </c>
      <c r="H111" s="34" t="s">
        <v>15</v>
      </c>
      <c r="I111" s="34" t="s">
        <v>72</v>
      </c>
      <c r="J111" s="34" t="s">
        <v>19</v>
      </c>
      <c r="K111" s="34" t="s">
        <v>10</v>
      </c>
      <c r="L111" s="34" t="s">
        <v>86</v>
      </c>
    </row>
    <row r="112" spans="7:12" x14ac:dyDescent="0.3">
      <c r="G112" s="34" t="s">
        <v>80</v>
      </c>
      <c r="H112" s="34" t="s">
        <v>47</v>
      </c>
      <c r="I112" s="34" t="s">
        <v>72</v>
      </c>
      <c r="J112" s="34" t="s">
        <v>35</v>
      </c>
      <c r="K112" s="34" t="s">
        <v>13</v>
      </c>
      <c r="L112" s="34" t="s">
        <v>86</v>
      </c>
    </row>
    <row r="113" spans="7:12" x14ac:dyDescent="0.3">
      <c r="G113" s="34" t="s">
        <v>88</v>
      </c>
      <c r="H113" s="34" t="s">
        <v>15</v>
      </c>
      <c r="I113" s="34" t="s">
        <v>72</v>
      </c>
      <c r="J113" s="34" t="s">
        <v>16</v>
      </c>
      <c r="K113" s="34" t="s">
        <v>10</v>
      </c>
      <c r="L113" s="34" t="s">
        <v>86</v>
      </c>
    </row>
    <row r="114" spans="7:12" x14ac:dyDescent="0.3">
      <c r="G114" s="34" t="s">
        <v>72</v>
      </c>
      <c r="H114" s="34" t="s">
        <v>15</v>
      </c>
      <c r="I114" s="34" t="s">
        <v>72</v>
      </c>
      <c r="J114" s="34" t="s">
        <v>9</v>
      </c>
      <c r="K114" s="34" t="s">
        <v>13</v>
      </c>
      <c r="L114" s="34" t="s">
        <v>86</v>
      </c>
    </row>
    <row r="115" spans="7:12" x14ac:dyDescent="0.3">
      <c r="G115" s="34" t="s">
        <v>72</v>
      </c>
      <c r="H115" s="34" t="s">
        <v>15</v>
      </c>
      <c r="I115" s="34" t="s">
        <v>72</v>
      </c>
      <c r="J115" s="34" t="s">
        <v>16</v>
      </c>
      <c r="K115" s="34" t="s">
        <v>13</v>
      </c>
      <c r="L115" s="34" t="s">
        <v>86</v>
      </c>
    </row>
    <row r="116" spans="7:12" x14ac:dyDescent="0.3">
      <c r="G116" s="34" t="s">
        <v>72</v>
      </c>
      <c r="H116" s="34" t="s">
        <v>15</v>
      </c>
      <c r="I116" s="34" t="s">
        <v>72</v>
      </c>
      <c r="J116" s="34" t="s">
        <v>16</v>
      </c>
      <c r="K116" s="34" t="s">
        <v>13</v>
      </c>
      <c r="L116" s="34" t="s">
        <v>86</v>
      </c>
    </row>
    <row r="117" spans="7:12" x14ac:dyDescent="0.3">
      <c r="G117" s="34" t="s">
        <v>72</v>
      </c>
      <c r="H117" s="34" t="s">
        <v>15</v>
      </c>
      <c r="I117" s="34" t="s">
        <v>72</v>
      </c>
      <c r="J117" s="34" t="s">
        <v>16</v>
      </c>
      <c r="K117" s="34" t="s">
        <v>17</v>
      </c>
      <c r="L117" s="34" t="s">
        <v>78</v>
      </c>
    </row>
    <row r="118" spans="7:12" x14ac:dyDescent="0.3">
      <c r="G118" s="34" t="s">
        <v>72</v>
      </c>
      <c r="H118" s="34" t="s">
        <v>15</v>
      </c>
      <c r="I118" s="34" t="s">
        <v>72</v>
      </c>
      <c r="J118" s="34" t="s">
        <v>16</v>
      </c>
      <c r="K118" s="34" t="s">
        <v>17</v>
      </c>
      <c r="L118" s="34" t="s">
        <v>86</v>
      </c>
    </row>
    <row r="119" spans="7:12" x14ac:dyDescent="0.3">
      <c r="G119" s="34" t="s">
        <v>72</v>
      </c>
      <c r="H119" s="34" t="s">
        <v>47</v>
      </c>
      <c r="I119" s="34" t="s">
        <v>72</v>
      </c>
      <c r="J119" s="34" t="s">
        <v>16</v>
      </c>
      <c r="K119" s="34" t="s">
        <v>13</v>
      </c>
      <c r="L119" s="34" t="s">
        <v>78</v>
      </c>
    </row>
    <row r="120" spans="7:12" x14ac:dyDescent="0.3">
      <c r="G120" s="34" t="s">
        <v>80</v>
      </c>
      <c r="H120" s="34" t="s">
        <v>15</v>
      </c>
      <c r="I120" s="34" t="s">
        <v>72</v>
      </c>
      <c r="J120" s="34" t="s">
        <v>21</v>
      </c>
      <c r="K120" s="34" t="s">
        <v>13</v>
      </c>
      <c r="L120" s="34" t="s">
        <v>86</v>
      </c>
    </row>
    <row r="121" spans="7:12" x14ac:dyDescent="0.3">
      <c r="G121" s="34" t="s">
        <v>80</v>
      </c>
      <c r="H121" s="34" t="s">
        <v>15</v>
      </c>
      <c r="I121" s="34" t="s">
        <v>72</v>
      </c>
      <c r="J121" s="34" t="s">
        <v>23</v>
      </c>
      <c r="K121" s="34" t="s">
        <v>10</v>
      </c>
      <c r="L121" s="34" t="s">
        <v>86</v>
      </c>
    </row>
    <row r="122" spans="7:12" x14ac:dyDescent="0.3">
      <c r="G122" s="34" t="s">
        <v>72</v>
      </c>
      <c r="H122" s="34" t="s">
        <v>43</v>
      </c>
      <c r="I122" s="34" t="s">
        <v>72</v>
      </c>
      <c r="J122" s="34" t="s">
        <v>39</v>
      </c>
      <c r="K122" s="34" t="s">
        <v>10</v>
      </c>
      <c r="L122" s="34" t="s">
        <v>78</v>
      </c>
    </row>
    <row r="123" spans="7:12" x14ac:dyDescent="0.3">
      <c r="G123" s="34" t="s">
        <v>72</v>
      </c>
      <c r="H123" s="34" t="s">
        <v>15</v>
      </c>
      <c r="I123" s="34" t="s">
        <v>72</v>
      </c>
      <c r="J123" s="34" t="s">
        <v>34</v>
      </c>
      <c r="K123" s="34" t="s">
        <v>13</v>
      </c>
      <c r="L123" s="34" t="s">
        <v>86</v>
      </c>
    </row>
    <row r="124" spans="7:12" x14ac:dyDescent="0.3">
      <c r="G124" s="34" t="s">
        <v>72</v>
      </c>
      <c r="H124" s="34" t="s">
        <v>15</v>
      </c>
      <c r="I124" s="34" t="s">
        <v>72</v>
      </c>
      <c r="J124" s="34" t="s">
        <v>30</v>
      </c>
      <c r="K124" s="34" t="s">
        <v>17</v>
      </c>
      <c r="L124" s="34" t="s">
        <v>86</v>
      </c>
    </row>
    <row r="125" spans="7:12" x14ac:dyDescent="0.3">
      <c r="G125" s="34" t="s">
        <v>88</v>
      </c>
      <c r="H125" s="34" t="s">
        <v>15</v>
      </c>
      <c r="I125" s="34" t="s">
        <v>72</v>
      </c>
      <c r="J125" s="34" t="s">
        <v>30</v>
      </c>
      <c r="K125" s="34" t="s">
        <v>17</v>
      </c>
      <c r="L125" s="34" t="s">
        <v>86</v>
      </c>
    </row>
    <row r="126" spans="7:12" x14ac:dyDescent="0.3">
      <c r="G126" s="34" t="s">
        <v>80</v>
      </c>
      <c r="H126" s="34" t="s">
        <v>15</v>
      </c>
      <c r="I126" s="34" t="s">
        <v>72</v>
      </c>
      <c r="J126" s="34" t="s">
        <v>16</v>
      </c>
      <c r="K126" s="34" t="s">
        <v>13</v>
      </c>
      <c r="L126" s="34" t="s">
        <v>86</v>
      </c>
    </row>
    <row r="127" spans="7:12" x14ac:dyDescent="0.3">
      <c r="G127" s="34" t="s">
        <v>72</v>
      </c>
      <c r="H127" s="34" t="s">
        <v>47</v>
      </c>
      <c r="I127" s="34" t="s">
        <v>72</v>
      </c>
      <c r="J127" s="34" t="s">
        <v>9</v>
      </c>
      <c r="K127" s="34" t="s">
        <v>13</v>
      </c>
      <c r="L127" s="34" t="s">
        <v>78</v>
      </c>
    </row>
    <row r="128" spans="7:12" x14ac:dyDescent="0.3">
      <c r="G128" s="34" t="s">
        <v>88</v>
      </c>
      <c r="H128" s="34" t="s">
        <v>47</v>
      </c>
      <c r="I128" s="34" t="s">
        <v>72</v>
      </c>
      <c r="J128" s="34" t="s">
        <v>30</v>
      </c>
      <c r="K128" s="34" t="s">
        <v>10</v>
      </c>
      <c r="L128" s="34" t="s">
        <v>86</v>
      </c>
    </row>
    <row r="129" spans="7:12" x14ac:dyDescent="0.3">
      <c r="G129" s="34" t="s">
        <v>72</v>
      </c>
      <c r="H129" s="34" t="s">
        <v>12</v>
      </c>
      <c r="I129" s="34" t="s">
        <v>72</v>
      </c>
      <c r="J129" s="34" t="s">
        <v>39</v>
      </c>
      <c r="K129" s="34" t="s">
        <v>13</v>
      </c>
      <c r="L129" s="34" t="s">
        <v>78</v>
      </c>
    </row>
    <row r="130" spans="7:12" x14ac:dyDescent="0.3">
      <c r="G130" s="34" t="s">
        <v>72</v>
      </c>
      <c r="H130" s="34" t="s">
        <v>15</v>
      </c>
      <c r="I130" s="34" t="s">
        <v>72</v>
      </c>
      <c r="J130" s="34" t="s">
        <v>30</v>
      </c>
      <c r="K130" s="34" t="s">
        <v>13</v>
      </c>
      <c r="L130" s="34" t="s">
        <v>78</v>
      </c>
    </row>
    <row r="131" spans="7:12" x14ac:dyDescent="0.3">
      <c r="G131" s="34" t="s">
        <v>72</v>
      </c>
      <c r="H131" s="34" t="s">
        <v>15</v>
      </c>
      <c r="I131" s="34" t="s">
        <v>72</v>
      </c>
      <c r="J131" s="34" t="s">
        <v>33</v>
      </c>
      <c r="K131" s="34" t="s">
        <v>17</v>
      </c>
      <c r="L131" s="34" t="s">
        <v>86</v>
      </c>
    </row>
    <row r="132" spans="7:12" x14ac:dyDescent="0.3">
      <c r="G132" s="34" t="s">
        <v>80</v>
      </c>
      <c r="H132" s="34" t="s">
        <v>43</v>
      </c>
      <c r="I132" s="34" t="s">
        <v>72</v>
      </c>
      <c r="J132" s="34" t="s">
        <v>16</v>
      </c>
      <c r="K132" s="34" t="s">
        <v>10</v>
      </c>
      <c r="L132" s="34" t="s">
        <v>86</v>
      </c>
    </row>
  </sheetData>
  <autoFilter ref="G32:L13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4.4" x14ac:dyDescent="0.3"/>
  <cols>
    <col min="1" max="1" width="4" bestFit="1" customWidth="1"/>
    <col min="2" max="2" width="4.21875" bestFit="1" customWidth="1"/>
    <col min="3" max="3" width="15.21875" bestFit="1" customWidth="1"/>
    <col min="4" max="4" width="11.88671875" bestFit="1" customWidth="1"/>
    <col min="5" max="5" width="12.44140625" bestFit="1" customWidth="1"/>
    <col min="6" max="6" width="20.5546875" bestFit="1" customWidth="1"/>
    <col min="7" max="7" width="7.33203125" bestFit="1" customWidth="1"/>
  </cols>
  <sheetData>
    <row r="1" spans="1:7" x14ac:dyDescent="0.3">
      <c r="A1" s="22" t="s">
        <v>100</v>
      </c>
      <c r="B1" s="35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</row>
    <row r="2" spans="1:7" x14ac:dyDescent="0.3">
      <c r="A2" s="22">
        <v>1</v>
      </c>
      <c r="B2" s="34">
        <v>39</v>
      </c>
      <c r="C2" s="34" t="s">
        <v>7</v>
      </c>
      <c r="D2" s="34">
        <v>77516</v>
      </c>
      <c r="E2" s="34" t="s">
        <v>9</v>
      </c>
      <c r="F2" s="34" t="s">
        <v>10</v>
      </c>
      <c r="G2" s="34" t="s">
        <v>11</v>
      </c>
    </row>
    <row r="3" spans="1:7" x14ac:dyDescent="0.3">
      <c r="A3" s="22">
        <v>2</v>
      </c>
      <c r="B3" s="34">
        <v>50</v>
      </c>
      <c r="C3" s="34" t="s">
        <v>12</v>
      </c>
      <c r="D3" s="34">
        <v>83311</v>
      </c>
      <c r="E3" s="34" t="s">
        <v>9</v>
      </c>
      <c r="F3" s="34" t="s">
        <v>13</v>
      </c>
      <c r="G3" s="34" t="s">
        <v>11</v>
      </c>
    </row>
    <row r="4" spans="1:7" x14ac:dyDescent="0.3">
      <c r="A4" s="22">
        <v>3</v>
      </c>
      <c r="B4" s="34">
        <v>38</v>
      </c>
      <c r="C4" s="34" t="s">
        <v>15</v>
      </c>
      <c r="D4" s="34">
        <v>215646</v>
      </c>
      <c r="E4" s="34" t="s">
        <v>16</v>
      </c>
      <c r="F4" s="34" t="s">
        <v>17</v>
      </c>
      <c r="G4" s="34" t="s">
        <v>11</v>
      </c>
    </row>
    <row r="5" spans="1:7" x14ac:dyDescent="0.3">
      <c r="A5" s="22">
        <v>4</v>
      </c>
      <c r="B5" s="34">
        <v>53</v>
      </c>
      <c r="C5" s="34" t="s">
        <v>15</v>
      </c>
      <c r="D5" s="34">
        <v>234721</v>
      </c>
      <c r="E5" s="34" t="s">
        <v>19</v>
      </c>
      <c r="F5" s="34" t="s">
        <v>13</v>
      </c>
      <c r="G5" s="34" t="s">
        <v>11</v>
      </c>
    </row>
    <row r="6" spans="1:7" x14ac:dyDescent="0.3">
      <c r="A6" s="22">
        <v>5</v>
      </c>
      <c r="B6" s="34">
        <v>28</v>
      </c>
      <c r="C6" s="34" t="s">
        <v>15</v>
      </c>
      <c r="D6" s="34">
        <v>338409</v>
      </c>
      <c r="E6" s="34" t="s">
        <v>9</v>
      </c>
      <c r="F6" s="34" t="s">
        <v>13</v>
      </c>
      <c r="G6" s="34" t="s">
        <v>11</v>
      </c>
    </row>
    <row r="7" spans="1:7" x14ac:dyDescent="0.3">
      <c r="A7" s="22">
        <v>6</v>
      </c>
      <c r="B7" s="34">
        <v>37</v>
      </c>
      <c r="C7" s="34" t="s">
        <v>15</v>
      </c>
      <c r="D7" s="34">
        <v>284582</v>
      </c>
      <c r="E7" s="34" t="s">
        <v>21</v>
      </c>
      <c r="F7" s="34" t="s">
        <v>13</v>
      </c>
      <c r="G7" s="34" t="s">
        <v>11</v>
      </c>
    </row>
    <row r="8" spans="1:7" x14ac:dyDescent="0.3">
      <c r="A8" s="22">
        <v>7</v>
      </c>
      <c r="B8" s="34">
        <v>49</v>
      </c>
      <c r="C8" s="34" t="s">
        <v>15</v>
      </c>
      <c r="D8" s="34">
        <v>160187</v>
      </c>
      <c r="E8" s="34" t="s">
        <v>23</v>
      </c>
      <c r="F8" s="34" t="s">
        <v>24</v>
      </c>
      <c r="G8" s="34" t="s">
        <v>11</v>
      </c>
    </row>
    <row r="9" spans="1:7" x14ac:dyDescent="0.3">
      <c r="A9" s="22">
        <v>8</v>
      </c>
      <c r="B9" s="34">
        <v>52</v>
      </c>
      <c r="C9" s="34" t="s">
        <v>12</v>
      </c>
      <c r="D9" s="34">
        <v>209642</v>
      </c>
      <c r="E9" s="34" t="s">
        <v>16</v>
      </c>
      <c r="F9" s="34" t="s">
        <v>13</v>
      </c>
      <c r="G9" s="34" t="s">
        <v>26</v>
      </c>
    </row>
    <row r="10" spans="1:7" x14ac:dyDescent="0.3">
      <c r="A10" s="22">
        <v>9</v>
      </c>
      <c r="B10" s="34">
        <v>31</v>
      </c>
      <c r="C10" s="34" t="s">
        <v>15</v>
      </c>
      <c r="D10" s="34">
        <v>45781</v>
      </c>
      <c r="E10" s="34" t="s">
        <v>21</v>
      </c>
      <c r="F10" s="34" t="s">
        <v>10</v>
      </c>
      <c r="G10" s="34" t="s">
        <v>26</v>
      </c>
    </row>
    <row r="11" spans="1:7" x14ac:dyDescent="0.3">
      <c r="A11" s="22">
        <v>10</v>
      </c>
      <c r="B11" s="34">
        <v>42</v>
      </c>
      <c r="C11" s="34" t="s">
        <v>15</v>
      </c>
      <c r="D11" s="34">
        <v>159449</v>
      </c>
      <c r="E11" s="34" t="s">
        <v>9</v>
      </c>
      <c r="F11" s="34" t="s">
        <v>13</v>
      </c>
      <c r="G11" s="34" t="s">
        <v>26</v>
      </c>
    </row>
    <row r="12" spans="1:7" x14ac:dyDescent="0.3">
      <c r="A12" s="22">
        <v>11</v>
      </c>
      <c r="B12" s="34">
        <v>37</v>
      </c>
      <c r="C12" s="34" t="s">
        <v>15</v>
      </c>
      <c r="D12" s="34">
        <v>280464</v>
      </c>
      <c r="E12" s="34" t="s">
        <v>30</v>
      </c>
      <c r="F12" s="34" t="s">
        <v>13</v>
      </c>
      <c r="G12" s="34" t="s">
        <v>26</v>
      </c>
    </row>
    <row r="13" spans="1:7" x14ac:dyDescent="0.3">
      <c r="A13" s="22">
        <v>12</v>
      </c>
      <c r="B13" s="34">
        <v>30</v>
      </c>
      <c r="C13" s="34" t="s">
        <v>7</v>
      </c>
      <c r="D13" s="34">
        <v>141297</v>
      </c>
      <c r="E13" s="34" t="s">
        <v>9</v>
      </c>
      <c r="F13" s="34" t="s">
        <v>13</v>
      </c>
      <c r="G13" s="34" t="s">
        <v>26</v>
      </c>
    </row>
    <row r="14" spans="1:7" x14ac:dyDescent="0.3">
      <c r="A14" s="22">
        <v>13</v>
      </c>
      <c r="B14" s="34">
        <v>23</v>
      </c>
      <c r="C14" s="34" t="s">
        <v>15</v>
      </c>
      <c r="D14" s="34">
        <v>122272</v>
      </c>
      <c r="E14" s="34" t="s">
        <v>9</v>
      </c>
      <c r="F14" s="34" t="s">
        <v>10</v>
      </c>
      <c r="G14" s="34" t="s">
        <v>11</v>
      </c>
    </row>
    <row r="15" spans="1:7" x14ac:dyDescent="0.3">
      <c r="A15" s="22">
        <v>14</v>
      </c>
      <c r="B15" s="34">
        <v>32</v>
      </c>
      <c r="C15" s="34" t="s">
        <v>15</v>
      </c>
      <c r="D15" s="34">
        <v>205019</v>
      </c>
      <c r="E15" s="34" t="s">
        <v>33</v>
      </c>
      <c r="F15" s="34" t="s">
        <v>10</v>
      </c>
      <c r="G15" s="34" t="s">
        <v>11</v>
      </c>
    </row>
    <row r="16" spans="1:7" x14ac:dyDescent="0.3">
      <c r="A16" s="22">
        <v>15</v>
      </c>
      <c r="B16" s="34">
        <v>40</v>
      </c>
      <c r="C16" s="34" t="s">
        <v>15</v>
      </c>
      <c r="D16" s="34">
        <v>121772</v>
      </c>
      <c r="E16" s="34" t="s">
        <v>34</v>
      </c>
      <c r="F16" s="34" t="s">
        <v>13</v>
      </c>
      <c r="G16" s="34" t="s">
        <v>26</v>
      </c>
    </row>
    <row r="17" spans="1:7" x14ac:dyDescent="0.3">
      <c r="A17" s="22">
        <v>16</v>
      </c>
      <c r="B17" s="34">
        <v>34</v>
      </c>
      <c r="C17" s="34" t="s">
        <v>15</v>
      </c>
      <c r="D17" s="34">
        <v>245487</v>
      </c>
      <c r="E17" s="34" t="s">
        <v>35</v>
      </c>
      <c r="F17" s="34" t="s">
        <v>13</v>
      </c>
      <c r="G17" s="34" t="s">
        <v>11</v>
      </c>
    </row>
    <row r="18" spans="1:7" x14ac:dyDescent="0.3">
      <c r="A18" s="22">
        <v>17</v>
      </c>
      <c r="B18" s="34">
        <v>25</v>
      </c>
      <c r="C18" s="34" t="s">
        <v>12</v>
      </c>
      <c r="D18" s="34">
        <v>176756</v>
      </c>
      <c r="E18" s="34" t="s">
        <v>16</v>
      </c>
      <c r="F18" s="34" t="s">
        <v>10</v>
      </c>
      <c r="G18" s="34" t="s">
        <v>11</v>
      </c>
    </row>
    <row r="19" spans="1:7" x14ac:dyDescent="0.3">
      <c r="A19" s="22">
        <v>18</v>
      </c>
      <c r="B19" s="34">
        <v>32</v>
      </c>
      <c r="C19" s="34" t="s">
        <v>15</v>
      </c>
      <c r="D19" s="34">
        <v>186824</v>
      </c>
      <c r="E19" s="34" t="s">
        <v>16</v>
      </c>
      <c r="F19" s="34" t="s">
        <v>10</v>
      </c>
      <c r="G19" s="34" t="s">
        <v>11</v>
      </c>
    </row>
    <row r="20" spans="1:7" x14ac:dyDescent="0.3">
      <c r="A20" s="22">
        <v>19</v>
      </c>
      <c r="B20" s="34">
        <v>38</v>
      </c>
      <c r="C20" s="34" t="s">
        <v>15</v>
      </c>
      <c r="D20" s="34">
        <v>28887</v>
      </c>
      <c r="E20" s="34" t="s">
        <v>19</v>
      </c>
      <c r="F20" s="34" t="s">
        <v>13</v>
      </c>
      <c r="G20" s="34" t="s">
        <v>11</v>
      </c>
    </row>
    <row r="21" spans="1:7" x14ac:dyDescent="0.3">
      <c r="A21" s="22">
        <v>20</v>
      </c>
      <c r="B21" s="34">
        <v>43</v>
      </c>
      <c r="C21" s="34" t="s">
        <v>12</v>
      </c>
      <c r="D21" s="34">
        <v>292175</v>
      </c>
      <c r="E21" s="34" t="s">
        <v>21</v>
      </c>
      <c r="F21" s="34" t="s">
        <v>17</v>
      </c>
      <c r="G21" s="34" t="s">
        <v>26</v>
      </c>
    </row>
    <row r="22" spans="1:7" x14ac:dyDescent="0.3">
      <c r="A22" s="22">
        <v>21</v>
      </c>
      <c r="B22" s="34">
        <v>40</v>
      </c>
      <c r="C22" s="34" t="s">
        <v>15</v>
      </c>
      <c r="D22" s="34">
        <v>193524</v>
      </c>
      <c r="E22" s="34" t="s">
        <v>39</v>
      </c>
      <c r="F22" s="34" t="s">
        <v>13</v>
      </c>
      <c r="G22" s="34" t="s">
        <v>26</v>
      </c>
    </row>
    <row r="23" spans="1:7" x14ac:dyDescent="0.3">
      <c r="A23" s="22">
        <v>22</v>
      </c>
      <c r="B23" s="34">
        <v>54</v>
      </c>
      <c r="C23" s="34" t="s">
        <v>15</v>
      </c>
      <c r="D23" s="34">
        <v>302146</v>
      </c>
      <c r="E23" s="34" t="s">
        <v>16</v>
      </c>
      <c r="F23" s="34" t="s">
        <v>41</v>
      </c>
      <c r="G23" s="34" t="s">
        <v>11</v>
      </c>
    </row>
    <row r="24" spans="1:7" x14ac:dyDescent="0.3">
      <c r="A24" s="22">
        <v>23</v>
      </c>
      <c r="B24" s="34">
        <v>35</v>
      </c>
      <c r="C24" s="34" t="s">
        <v>43</v>
      </c>
      <c r="D24" s="34">
        <v>76845</v>
      </c>
      <c r="E24" s="34" t="s">
        <v>23</v>
      </c>
      <c r="F24" s="34" t="s">
        <v>13</v>
      </c>
      <c r="G24" s="34" t="s">
        <v>11</v>
      </c>
    </row>
    <row r="25" spans="1:7" x14ac:dyDescent="0.3">
      <c r="A25" s="22">
        <v>24</v>
      </c>
      <c r="B25" s="34">
        <v>43</v>
      </c>
      <c r="C25" s="34" t="s">
        <v>15</v>
      </c>
      <c r="D25" s="34">
        <v>117037</v>
      </c>
      <c r="E25" s="34" t="s">
        <v>19</v>
      </c>
      <c r="F25" s="34" t="s">
        <v>13</v>
      </c>
      <c r="G25" s="34" t="s">
        <v>11</v>
      </c>
    </row>
    <row r="26" spans="1:7" x14ac:dyDescent="0.3">
      <c r="A26" s="22">
        <v>25</v>
      </c>
      <c r="B26" s="34">
        <v>59</v>
      </c>
      <c r="C26" s="34" t="s">
        <v>15</v>
      </c>
      <c r="D26" s="34">
        <v>109015</v>
      </c>
      <c r="E26" s="34" t="s">
        <v>16</v>
      </c>
      <c r="F26" s="34" t="s">
        <v>17</v>
      </c>
      <c r="G26" s="34" t="s">
        <v>11</v>
      </c>
    </row>
    <row r="27" spans="1:7" x14ac:dyDescent="0.3">
      <c r="A27" s="22">
        <v>26</v>
      </c>
      <c r="B27" s="34">
        <v>56</v>
      </c>
      <c r="C27" s="34" t="s">
        <v>47</v>
      </c>
      <c r="D27" s="34">
        <v>216851</v>
      </c>
      <c r="E27" s="34" t="s">
        <v>9</v>
      </c>
      <c r="F27" s="34" t="s">
        <v>13</v>
      </c>
      <c r="G27" s="34" t="s">
        <v>26</v>
      </c>
    </row>
    <row r="28" spans="1:7" x14ac:dyDescent="0.3">
      <c r="A28" s="22">
        <v>27</v>
      </c>
      <c r="B28" s="34">
        <v>19</v>
      </c>
      <c r="C28" s="34" t="s">
        <v>15</v>
      </c>
      <c r="D28" s="34">
        <v>168294</v>
      </c>
      <c r="E28" s="34" t="s">
        <v>16</v>
      </c>
      <c r="F28" s="34" t="s">
        <v>10</v>
      </c>
      <c r="G28" s="34" t="s">
        <v>11</v>
      </c>
    </row>
    <row r="29" spans="1:7" x14ac:dyDescent="0.3">
      <c r="A29" s="22">
        <v>28</v>
      </c>
      <c r="B29" s="34">
        <v>54</v>
      </c>
      <c r="C29" s="34" t="s">
        <v>50</v>
      </c>
      <c r="D29" s="34">
        <v>180211</v>
      </c>
      <c r="E29" s="34" t="s">
        <v>30</v>
      </c>
      <c r="F29" s="34" t="s">
        <v>13</v>
      </c>
      <c r="G29" s="34" t="s">
        <v>26</v>
      </c>
    </row>
    <row r="30" spans="1:7" x14ac:dyDescent="0.3">
      <c r="A30" s="22">
        <v>29</v>
      </c>
      <c r="B30" s="34">
        <v>39</v>
      </c>
      <c r="C30" s="34" t="s">
        <v>15</v>
      </c>
      <c r="D30" s="34">
        <v>367260</v>
      </c>
      <c r="E30" s="34" t="s">
        <v>16</v>
      </c>
      <c r="F30" s="34" t="s">
        <v>17</v>
      </c>
      <c r="G30" s="34" t="s">
        <v>11</v>
      </c>
    </row>
    <row r="31" spans="1:7" x14ac:dyDescent="0.3">
      <c r="A31" s="22">
        <v>30</v>
      </c>
      <c r="B31" s="34">
        <v>49</v>
      </c>
      <c r="C31" s="34" t="s">
        <v>15</v>
      </c>
      <c r="D31" s="34">
        <v>193366</v>
      </c>
      <c r="E31" s="34" t="s">
        <v>16</v>
      </c>
      <c r="F31" s="34" t="s">
        <v>13</v>
      </c>
      <c r="G31" s="34" t="s">
        <v>11</v>
      </c>
    </row>
    <row r="32" spans="1:7" x14ac:dyDescent="0.3">
      <c r="A32" s="22">
        <v>31</v>
      </c>
      <c r="B32" s="34">
        <v>23</v>
      </c>
      <c r="C32" s="34" t="s">
        <v>47</v>
      </c>
      <c r="D32" s="34">
        <v>190709</v>
      </c>
      <c r="E32" s="34" t="s">
        <v>33</v>
      </c>
      <c r="F32" s="34" t="s">
        <v>10</v>
      </c>
      <c r="G32" s="34" t="s">
        <v>11</v>
      </c>
    </row>
    <row r="33" spans="1:7" x14ac:dyDescent="0.3">
      <c r="A33" s="22">
        <v>32</v>
      </c>
      <c r="B33" s="34">
        <v>20</v>
      </c>
      <c r="C33" s="34" t="s">
        <v>15</v>
      </c>
      <c r="D33" s="34">
        <v>266015</v>
      </c>
      <c r="E33" s="34" t="s">
        <v>30</v>
      </c>
      <c r="F33" s="34" t="s">
        <v>10</v>
      </c>
      <c r="G33" s="34" t="s">
        <v>11</v>
      </c>
    </row>
    <row r="34" spans="1:7" x14ac:dyDescent="0.3">
      <c r="A34" s="22">
        <v>33</v>
      </c>
      <c r="B34" s="34">
        <v>45</v>
      </c>
      <c r="C34" s="34" t="s">
        <v>15</v>
      </c>
      <c r="D34" s="34">
        <v>386940</v>
      </c>
      <c r="E34" s="34" t="s">
        <v>9</v>
      </c>
      <c r="F34" s="34" t="s">
        <v>17</v>
      </c>
      <c r="G34" s="34" t="s">
        <v>11</v>
      </c>
    </row>
    <row r="35" spans="1:7" x14ac:dyDescent="0.3">
      <c r="A35" s="22">
        <v>34</v>
      </c>
      <c r="B35" s="34">
        <v>30</v>
      </c>
      <c r="C35" s="34" t="s">
        <v>43</v>
      </c>
      <c r="D35" s="34">
        <v>59951</v>
      </c>
      <c r="E35" s="34" t="s">
        <v>30</v>
      </c>
      <c r="F35" s="34" t="s">
        <v>13</v>
      </c>
      <c r="G35" s="34" t="s">
        <v>11</v>
      </c>
    </row>
    <row r="36" spans="1:7" x14ac:dyDescent="0.3">
      <c r="A36" s="22">
        <v>35</v>
      </c>
      <c r="B36" s="34">
        <v>22</v>
      </c>
      <c r="C36" s="34" t="s">
        <v>7</v>
      </c>
      <c r="D36" s="34">
        <v>311512</v>
      </c>
      <c r="E36" s="34" t="s">
        <v>30</v>
      </c>
      <c r="F36" s="34" t="s">
        <v>13</v>
      </c>
      <c r="G36" s="34" t="s">
        <v>11</v>
      </c>
    </row>
    <row r="37" spans="1:7" x14ac:dyDescent="0.3">
      <c r="A37" s="22">
        <v>36</v>
      </c>
      <c r="B37" s="34">
        <v>48</v>
      </c>
      <c r="C37" s="34" t="s">
        <v>15</v>
      </c>
      <c r="D37" s="34">
        <v>242406</v>
      </c>
      <c r="E37" s="34" t="s">
        <v>19</v>
      </c>
      <c r="F37" s="34" t="s">
        <v>10</v>
      </c>
      <c r="G37" s="34" t="s">
        <v>11</v>
      </c>
    </row>
    <row r="38" spans="1:7" x14ac:dyDescent="0.3">
      <c r="A38" s="22">
        <v>37</v>
      </c>
      <c r="B38" s="34">
        <v>21</v>
      </c>
      <c r="C38" s="34" t="s">
        <v>15</v>
      </c>
      <c r="D38" s="34">
        <v>197200</v>
      </c>
      <c r="E38" s="34" t="s">
        <v>30</v>
      </c>
      <c r="F38" s="34" t="s">
        <v>10</v>
      </c>
      <c r="G38" s="34" t="s">
        <v>11</v>
      </c>
    </row>
    <row r="39" spans="1:7" x14ac:dyDescent="0.3">
      <c r="A39" s="22">
        <v>38</v>
      </c>
      <c r="B39" s="34">
        <v>19</v>
      </c>
      <c r="C39" s="34" t="s">
        <v>15</v>
      </c>
      <c r="D39" s="34">
        <v>544091</v>
      </c>
      <c r="E39" s="34" t="s">
        <v>16</v>
      </c>
      <c r="F39" s="34" t="s">
        <v>59</v>
      </c>
      <c r="G39" s="34" t="s">
        <v>11</v>
      </c>
    </row>
    <row r="40" spans="1:7" x14ac:dyDescent="0.3">
      <c r="A40" s="22">
        <v>39</v>
      </c>
      <c r="B40" s="34">
        <v>31</v>
      </c>
      <c r="C40" s="34" t="s">
        <v>15</v>
      </c>
      <c r="D40" s="34">
        <v>84154</v>
      </c>
      <c r="E40" s="34" t="s">
        <v>30</v>
      </c>
      <c r="F40" s="34" t="s">
        <v>13</v>
      </c>
      <c r="G40" s="34" t="s">
        <v>26</v>
      </c>
    </row>
    <row r="41" spans="1:7" x14ac:dyDescent="0.3">
      <c r="A41" s="22">
        <v>40</v>
      </c>
      <c r="B41" s="34">
        <v>48</v>
      </c>
      <c r="C41" s="34" t="s">
        <v>12</v>
      </c>
      <c r="D41" s="34">
        <v>265477</v>
      </c>
      <c r="E41" s="34" t="s">
        <v>33</v>
      </c>
      <c r="F41" s="34" t="s">
        <v>13</v>
      </c>
      <c r="G41" s="34" t="s">
        <v>11</v>
      </c>
    </row>
    <row r="42" spans="1:7" x14ac:dyDescent="0.3">
      <c r="A42" s="22">
        <v>41</v>
      </c>
      <c r="B42" s="34">
        <v>31</v>
      </c>
      <c r="C42" s="34" t="s">
        <v>15</v>
      </c>
      <c r="D42" s="34">
        <v>507875</v>
      </c>
      <c r="E42" s="34" t="s">
        <v>23</v>
      </c>
      <c r="F42" s="34" t="s">
        <v>13</v>
      </c>
      <c r="G42" s="34" t="s">
        <v>11</v>
      </c>
    </row>
    <row r="43" spans="1:7" x14ac:dyDescent="0.3">
      <c r="A43" s="22">
        <v>42</v>
      </c>
      <c r="B43" s="34">
        <v>53</v>
      </c>
      <c r="C43" s="34" t="s">
        <v>12</v>
      </c>
      <c r="D43" s="34">
        <v>88506</v>
      </c>
      <c r="E43" s="34" t="s">
        <v>9</v>
      </c>
      <c r="F43" s="34" t="s">
        <v>13</v>
      </c>
      <c r="G43" s="34" t="s">
        <v>11</v>
      </c>
    </row>
    <row r="44" spans="1:7" x14ac:dyDescent="0.3">
      <c r="A44" s="22">
        <v>43</v>
      </c>
      <c r="B44" s="34">
        <v>24</v>
      </c>
      <c r="C44" s="34" t="s">
        <v>15</v>
      </c>
      <c r="D44" s="34">
        <v>172987</v>
      </c>
      <c r="E44" s="34" t="s">
        <v>9</v>
      </c>
      <c r="F44" s="34" t="s">
        <v>13</v>
      </c>
      <c r="G44" s="34" t="s">
        <v>11</v>
      </c>
    </row>
    <row r="45" spans="1:7" x14ac:dyDescent="0.3">
      <c r="A45" s="22">
        <v>44</v>
      </c>
      <c r="B45" s="34">
        <v>49</v>
      </c>
      <c r="C45" s="34" t="s">
        <v>15</v>
      </c>
      <c r="D45" s="34">
        <v>94638</v>
      </c>
      <c r="E45" s="34" t="s">
        <v>16</v>
      </c>
      <c r="F45" s="34" t="s">
        <v>41</v>
      </c>
      <c r="G45" s="34" t="s">
        <v>11</v>
      </c>
    </row>
    <row r="46" spans="1:7" x14ac:dyDescent="0.3">
      <c r="A46" s="22">
        <v>45</v>
      </c>
      <c r="B46" s="34">
        <v>25</v>
      </c>
      <c r="C46" s="34" t="s">
        <v>15</v>
      </c>
      <c r="D46" s="34">
        <v>289980</v>
      </c>
      <c r="E46" s="34" t="s">
        <v>16</v>
      </c>
      <c r="F46" s="34" t="s">
        <v>10</v>
      </c>
      <c r="G46" s="34" t="s">
        <v>11</v>
      </c>
    </row>
    <row r="47" spans="1:7" x14ac:dyDescent="0.3">
      <c r="A47" s="22">
        <v>46</v>
      </c>
      <c r="B47" s="34">
        <v>57</v>
      </c>
      <c r="C47" s="34" t="s">
        <v>43</v>
      </c>
      <c r="D47" s="34">
        <v>337895</v>
      </c>
      <c r="E47" s="34" t="s">
        <v>9</v>
      </c>
      <c r="F47" s="34" t="s">
        <v>13</v>
      </c>
      <c r="G47" s="34" t="s">
        <v>26</v>
      </c>
    </row>
    <row r="48" spans="1:7" x14ac:dyDescent="0.3">
      <c r="A48" s="22">
        <v>47</v>
      </c>
      <c r="B48" s="34">
        <v>53</v>
      </c>
      <c r="C48" s="34" t="s">
        <v>15</v>
      </c>
      <c r="D48" s="34">
        <v>144361</v>
      </c>
      <c r="E48" s="34" t="s">
        <v>16</v>
      </c>
      <c r="F48" s="34" t="s">
        <v>13</v>
      </c>
      <c r="G48" s="34" t="s">
        <v>11</v>
      </c>
    </row>
    <row r="49" spans="1:7" x14ac:dyDescent="0.3">
      <c r="A49" s="22">
        <v>48</v>
      </c>
      <c r="B49" s="34">
        <v>44</v>
      </c>
      <c r="C49" s="34" t="s">
        <v>15</v>
      </c>
      <c r="D49" s="34">
        <v>128354</v>
      </c>
      <c r="E49" s="34" t="s">
        <v>21</v>
      </c>
      <c r="F49" s="34" t="s">
        <v>17</v>
      </c>
      <c r="G49" s="34" t="s">
        <v>11</v>
      </c>
    </row>
    <row r="50" spans="1:7" x14ac:dyDescent="0.3">
      <c r="A50" s="22">
        <v>49</v>
      </c>
      <c r="B50" s="34">
        <v>41</v>
      </c>
      <c r="C50" s="34" t="s">
        <v>7</v>
      </c>
      <c r="D50" s="34">
        <v>101603</v>
      </c>
      <c r="E50" s="34" t="s">
        <v>34</v>
      </c>
      <c r="F50" s="34" t="s">
        <v>13</v>
      </c>
      <c r="G50" s="34" t="s">
        <v>11</v>
      </c>
    </row>
    <row r="51" spans="1:7" x14ac:dyDescent="0.3">
      <c r="A51" s="22">
        <v>50</v>
      </c>
      <c r="B51" s="34">
        <v>29</v>
      </c>
      <c r="C51" s="34" t="s">
        <v>15</v>
      </c>
      <c r="D51" s="34">
        <v>271466</v>
      </c>
      <c r="E51" s="34" t="s">
        <v>34</v>
      </c>
      <c r="F51" s="34" t="s">
        <v>10</v>
      </c>
      <c r="G51" s="34" t="s">
        <v>11</v>
      </c>
    </row>
    <row r="52" spans="1:7" x14ac:dyDescent="0.3">
      <c r="A52" s="22">
        <v>51</v>
      </c>
      <c r="B52" s="34">
        <v>25</v>
      </c>
      <c r="C52" s="34" t="s">
        <v>15</v>
      </c>
      <c r="D52" s="34">
        <v>32275</v>
      </c>
      <c r="E52" s="34" t="s">
        <v>30</v>
      </c>
      <c r="F52" s="34" t="s">
        <v>13</v>
      </c>
      <c r="G52" s="34" t="s">
        <v>11</v>
      </c>
    </row>
    <row r="53" spans="1:7" x14ac:dyDescent="0.3">
      <c r="A53" s="22">
        <v>52</v>
      </c>
      <c r="B53" s="34">
        <v>18</v>
      </c>
      <c r="C53" s="34" t="s">
        <v>15</v>
      </c>
      <c r="D53" s="34">
        <v>226956</v>
      </c>
      <c r="E53" s="34" t="s">
        <v>16</v>
      </c>
      <c r="F53" s="34" t="s">
        <v>10</v>
      </c>
      <c r="G53" s="34" t="s">
        <v>11</v>
      </c>
    </row>
    <row r="54" spans="1:7" x14ac:dyDescent="0.3">
      <c r="A54" s="22">
        <v>53</v>
      </c>
      <c r="B54" s="34">
        <v>47</v>
      </c>
      <c r="C54" s="34" t="s">
        <v>15</v>
      </c>
      <c r="D54" s="34">
        <v>51835</v>
      </c>
      <c r="E54" s="34" t="s">
        <v>53</v>
      </c>
      <c r="F54" s="34" t="s">
        <v>13</v>
      </c>
      <c r="G54" s="34" t="s">
        <v>26</v>
      </c>
    </row>
    <row r="55" spans="1:7" x14ac:dyDescent="0.3">
      <c r="A55" s="22">
        <v>54</v>
      </c>
      <c r="B55" s="34">
        <v>50</v>
      </c>
      <c r="C55" s="34" t="s">
        <v>43</v>
      </c>
      <c r="D55" s="34">
        <v>251585</v>
      </c>
      <c r="E55" s="34" t="s">
        <v>9</v>
      </c>
      <c r="F55" s="34" t="s">
        <v>17</v>
      </c>
      <c r="G55" s="34" t="s">
        <v>26</v>
      </c>
    </row>
    <row r="56" spans="1:7" x14ac:dyDescent="0.3">
      <c r="A56" s="22">
        <v>55</v>
      </c>
      <c r="B56" s="34">
        <v>47</v>
      </c>
      <c r="C56" s="34" t="s">
        <v>60</v>
      </c>
      <c r="D56" s="34">
        <v>109832</v>
      </c>
      <c r="E56" s="34" t="s">
        <v>16</v>
      </c>
      <c r="F56" s="34" t="s">
        <v>17</v>
      </c>
      <c r="G56" s="34" t="s">
        <v>11</v>
      </c>
    </row>
    <row r="57" spans="1:7" x14ac:dyDescent="0.3">
      <c r="A57" s="22">
        <v>56</v>
      </c>
      <c r="B57" s="34">
        <v>43</v>
      </c>
      <c r="C57" s="34" t="s">
        <v>15</v>
      </c>
      <c r="D57" s="34">
        <v>237993</v>
      </c>
      <c r="E57" s="34" t="s">
        <v>30</v>
      </c>
      <c r="F57" s="34" t="s">
        <v>13</v>
      </c>
      <c r="G57" s="34" t="s">
        <v>26</v>
      </c>
    </row>
    <row r="58" spans="1:7" s="22" customFormat="1" x14ac:dyDescent="0.3">
      <c r="A58" s="22">
        <v>57</v>
      </c>
      <c r="B58" s="34">
        <v>46</v>
      </c>
      <c r="C58" s="34" t="s">
        <v>15</v>
      </c>
      <c r="D58" s="34">
        <v>216666</v>
      </c>
      <c r="E58" s="34" t="s">
        <v>61</v>
      </c>
      <c r="F58" s="34" t="s">
        <v>13</v>
      </c>
      <c r="G58" s="34" t="s">
        <v>11</v>
      </c>
    </row>
    <row r="59" spans="1:7" x14ac:dyDescent="0.3">
      <c r="A59" s="22">
        <v>58</v>
      </c>
      <c r="B59" s="34">
        <v>35</v>
      </c>
      <c r="C59" s="34" t="s">
        <v>15</v>
      </c>
      <c r="D59" s="34">
        <v>56352</v>
      </c>
      <c r="E59" s="34" t="s">
        <v>34</v>
      </c>
      <c r="F59" s="34" t="s">
        <v>13</v>
      </c>
      <c r="G59" s="34" t="s">
        <v>11</v>
      </c>
    </row>
    <row r="60" spans="1:7" x14ac:dyDescent="0.3">
      <c r="A60" s="22">
        <v>59</v>
      </c>
      <c r="B60" s="34">
        <v>41</v>
      </c>
      <c r="C60" s="34" t="s">
        <v>15</v>
      </c>
      <c r="D60" s="34">
        <v>147372</v>
      </c>
      <c r="E60" s="34" t="s">
        <v>16</v>
      </c>
      <c r="F60" s="34" t="s">
        <v>13</v>
      </c>
      <c r="G60" s="34" t="s">
        <v>11</v>
      </c>
    </row>
    <row r="61" spans="1:7" x14ac:dyDescent="0.3">
      <c r="A61" s="22">
        <v>60</v>
      </c>
      <c r="B61" s="34">
        <v>30</v>
      </c>
      <c r="C61" s="34" t="s">
        <v>15</v>
      </c>
      <c r="D61" s="34">
        <v>188146</v>
      </c>
      <c r="E61" s="34" t="s">
        <v>16</v>
      </c>
      <c r="F61" s="34" t="s">
        <v>13</v>
      </c>
      <c r="G61" s="34" t="s">
        <v>11</v>
      </c>
    </row>
    <row r="62" spans="1:7" x14ac:dyDescent="0.3">
      <c r="A62" s="22">
        <v>61</v>
      </c>
      <c r="B62" s="34">
        <v>30</v>
      </c>
      <c r="C62" s="34" t="s">
        <v>15</v>
      </c>
      <c r="D62" s="34">
        <v>59496</v>
      </c>
      <c r="E62" s="34" t="s">
        <v>9</v>
      </c>
      <c r="F62" s="34" t="s">
        <v>13</v>
      </c>
      <c r="G62" s="34" t="s">
        <v>11</v>
      </c>
    </row>
    <row r="63" spans="1:7" x14ac:dyDescent="0.3">
      <c r="A63" s="22">
        <v>62</v>
      </c>
      <c r="B63" s="34">
        <v>32</v>
      </c>
      <c r="C63" s="34" t="s">
        <v>50</v>
      </c>
      <c r="D63" s="34">
        <v>293936</v>
      </c>
      <c r="E63" s="34" t="s">
        <v>35</v>
      </c>
      <c r="F63" s="34" t="s">
        <v>24</v>
      </c>
      <c r="G63" s="34" t="s">
        <v>11</v>
      </c>
    </row>
    <row r="64" spans="1:7" x14ac:dyDescent="0.3">
      <c r="A64" s="22">
        <v>63</v>
      </c>
      <c r="B64" s="34">
        <v>48</v>
      </c>
      <c r="C64" s="34" t="s">
        <v>15</v>
      </c>
      <c r="D64" s="34">
        <v>149640</v>
      </c>
      <c r="E64" s="34" t="s">
        <v>16</v>
      </c>
      <c r="F64" s="34" t="s">
        <v>13</v>
      </c>
      <c r="G64" s="34" t="s">
        <v>11</v>
      </c>
    </row>
    <row r="65" spans="1:7" x14ac:dyDescent="0.3">
      <c r="A65" s="22">
        <v>64</v>
      </c>
      <c r="B65" s="34">
        <v>42</v>
      </c>
      <c r="C65" s="34" t="s">
        <v>15</v>
      </c>
      <c r="D65" s="34">
        <v>116632</v>
      </c>
      <c r="E65" s="34" t="s">
        <v>39</v>
      </c>
      <c r="F65" s="34" t="s">
        <v>13</v>
      </c>
      <c r="G65" s="34" t="s">
        <v>26</v>
      </c>
    </row>
    <row r="66" spans="1:7" x14ac:dyDescent="0.3">
      <c r="A66" s="22">
        <v>65</v>
      </c>
      <c r="B66" s="34">
        <v>29</v>
      </c>
      <c r="C66" s="34" t="s">
        <v>15</v>
      </c>
      <c r="D66" s="34">
        <v>105598</v>
      </c>
      <c r="E66" s="34" t="s">
        <v>30</v>
      </c>
      <c r="F66" s="34" t="s">
        <v>17</v>
      </c>
      <c r="G66" s="34" t="s">
        <v>11</v>
      </c>
    </row>
    <row r="67" spans="1:7" x14ac:dyDescent="0.3">
      <c r="A67" s="22">
        <v>66</v>
      </c>
      <c r="B67" s="34">
        <v>36</v>
      </c>
      <c r="C67" s="34" t="s">
        <v>15</v>
      </c>
      <c r="D67" s="34">
        <v>155537</v>
      </c>
      <c r="E67" s="34" t="s">
        <v>16</v>
      </c>
      <c r="F67" s="34" t="s">
        <v>13</v>
      </c>
      <c r="G67" s="34" t="s">
        <v>11</v>
      </c>
    </row>
    <row r="68" spans="1:7" x14ac:dyDescent="0.3">
      <c r="A68" s="22">
        <v>67</v>
      </c>
      <c r="B68" s="34">
        <v>28</v>
      </c>
      <c r="C68" s="34" t="s">
        <v>15</v>
      </c>
      <c r="D68" s="34">
        <v>183175</v>
      </c>
      <c r="E68" s="34" t="s">
        <v>30</v>
      </c>
      <c r="F68" s="34" t="s">
        <v>17</v>
      </c>
      <c r="G68" s="34" t="s">
        <v>11</v>
      </c>
    </row>
    <row r="69" spans="1:7" x14ac:dyDescent="0.3">
      <c r="A69" s="22">
        <v>68</v>
      </c>
      <c r="B69" s="34">
        <v>53</v>
      </c>
      <c r="C69" s="34" t="s">
        <v>15</v>
      </c>
      <c r="D69" s="34">
        <v>169846</v>
      </c>
      <c r="E69" s="34" t="s">
        <v>16</v>
      </c>
      <c r="F69" s="34" t="s">
        <v>13</v>
      </c>
      <c r="G69" s="34" t="s">
        <v>26</v>
      </c>
    </row>
    <row r="70" spans="1:7" x14ac:dyDescent="0.3">
      <c r="A70" s="22">
        <v>69</v>
      </c>
      <c r="B70" s="34">
        <v>49</v>
      </c>
      <c r="C70" s="34" t="s">
        <v>60</v>
      </c>
      <c r="D70" s="34">
        <v>191681</v>
      </c>
      <c r="E70" s="34" t="s">
        <v>30</v>
      </c>
      <c r="F70" s="34" t="s">
        <v>13</v>
      </c>
      <c r="G70" s="34" t="s">
        <v>26</v>
      </c>
    </row>
    <row r="71" spans="1:7" x14ac:dyDescent="0.3">
      <c r="A71" s="22">
        <v>70</v>
      </c>
      <c r="B71" s="34">
        <v>25</v>
      </c>
      <c r="C71" s="34" t="s">
        <v>50</v>
      </c>
      <c r="D71" s="34">
        <v>200681</v>
      </c>
      <c r="E71" s="34" t="s">
        <v>30</v>
      </c>
      <c r="F71" s="34" t="s">
        <v>10</v>
      </c>
      <c r="G71" s="34" t="s">
        <v>11</v>
      </c>
    </row>
    <row r="72" spans="1:7" x14ac:dyDescent="0.3">
      <c r="A72" s="22">
        <v>71</v>
      </c>
      <c r="B72" s="34">
        <v>19</v>
      </c>
      <c r="C72" s="34" t="s">
        <v>15</v>
      </c>
      <c r="D72" s="34">
        <v>101509</v>
      </c>
      <c r="E72" s="34" t="s">
        <v>30</v>
      </c>
      <c r="F72" s="34" t="s">
        <v>10</v>
      </c>
      <c r="G72" s="34" t="s">
        <v>11</v>
      </c>
    </row>
    <row r="73" spans="1:7" x14ac:dyDescent="0.3">
      <c r="A73" s="22">
        <v>72</v>
      </c>
      <c r="B73" s="34">
        <v>31</v>
      </c>
      <c r="C73" s="34" t="s">
        <v>15</v>
      </c>
      <c r="D73" s="34">
        <v>309974</v>
      </c>
      <c r="E73" s="34" t="s">
        <v>9</v>
      </c>
      <c r="F73" s="34" t="s">
        <v>41</v>
      </c>
      <c r="G73" s="34" t="s">
        <v>11</v>
      </c>
    </row>
    <row r="74" spans="1:7" x14ac:dyDescent="0.3">
      <c r="A74" s="22">
        <v>73</v>
      </c>
      <c r="B74" s="34">
        <v>29</v>
      </c>
      <c r="C74" s="34" t="s">
        <v>12</v>
      </c>
      <c r="D74" s="34">
        <v>162298</v>
      </c>
      <c r="E74" s="34" t="s">
        <v>9</v>
      </c>
      <c r="F74" s="34" t="s">
        <v>13</v>
      </c>
      <c r="G74" s="34" t="s">
        <v>26</v>
      </c>
    </row>
    <row r="75" spans="1:7" x14ac:dyDescent="0.3">
      <c r="A75" s="22">
        <v>74</v>
      </c>
      <c r="B75" s="34">
        <v>23</v>
      </c>
      <c r="C75" s="34" t="s">
        <v>15</v>
      </c>
      <c r="D75" s="34">
        <v>211678</v>
      </c>
      <c r="E75" s="34" t="s">
        <v>30</v>
      </c>
      <c r="F75" s="34" t="s">
        <v>10</v>
      </c>
      <c r="G75" s="34" t="s">
        <v>11</v>
      </c>
    </row>
    <row r="76" spans="1:7" x14ac:dyDescent="0.3">
      <c r="A76" s="22">
        <v>75</v>
      </c>
      <c r="B76" s="34">
        <v>79</v>
      </c>
      <c r="C76" s="34" t="s">
        <v>15</v>
      </c>
      <c r="D76" s="34">
        <v>124744</v>
      </c>
      <c r="E76" s="34" t="s">
        <v>30</v>
      </c>
      <c r="F76" s="34" t="s">
        <v>13</v>
      </c>
      <c r="G76" s="34" t="s">
        <v>11</v>
      </c>
    </row>
    <row r="77" spans="1:7" x14ac:dyDescent="0.3">
      <c r="A77" s="22">
        <v>76</v>
      </c>
      <c r="B77" s="34">
        <v>27</v>
      </c>
      <c r="C77" s="34" t="s">
        <v>15</v>
      </c>
      <c r="D77" s="34">
        <v>213921</v>
      </c>
      <c r="E77" s="34" t="s">
        <v>16</v>
      </c>
      <c r="F77" s="34" t="s">
        <v>10</v>
      </c>
      <c r="G77" s="34" t="s">
        <v>11</v>
      </c>
    </row>
    <row r="78" spans="1:7" x14ac:dyDescent="0.3">
      <c r="A78" s="22">
        <v>77</v>
      </c>
      <c r="B78" s="34">
        <v>40</v>
      </c>
      <c r="C78" s="34" t="s">
        <v>15</v>
      </c>
      <c r="D78" s="34">
        <v>32214</v>
      </c>
      <c r="E78" s="34" t="s">
        <v>33</v>
      </c>
      <c r="F78" s="34" t="s">
        <v>13</v>
      </c>
      <c r="G78" s="34" t="s">
        <v>11</v>
      </c>
    </row>
    <row r="79" spans="1:7" s="22" customFormat="1" x14ac:dyDescent="0.3">
      <c r="A79" s="22">
        <v>78</v>
      </c>
      <c r="B79" s="34">
        <v>67</v>
      </c>
      <c r="C79" s="34" t="s">
        <v>50</v>
      </c>
      <c r="D79" s="34">
        <v>212759</v>
      </c>
      <c r="E79" s="34" t="s">
        <v>62</v>
      </c>
      <c r="F79" s="34" t="s">
        <v>13</v>
      </c>
      <c r="G79" s="34" t="s">
        <v>11</v>
      </c>
    </row>
    <row r="80" spans="1:7" x14ac:dyDescent="0.3">
      <c r="A80" s="22">
        <v>79</v>
      </c>
      <c r="B80" s="34">
        <v>18</v>
      </c>
      <c r="C80" s="34" t="s">
        <v>15</v>
      </c>
      <c r="D80" s="34">
        <v>309634</v>
      </c>
      <c r="E80" s="34" t="s">
        <v>19</v>
      </c>
      <c r="F80" s="34" t="s">
        <v>10</v>
      </c>
      <c r="G80" s="34" t="s">
        <v>11</v>
      </c>
    </row>
    <row r="81" spans="1:7" x14ac:dyDescent="0.3">
      <c r="A81" s="22">
        <v>80</v>
      </c>
      <c r="B81" s="34">
        <v>31</v>
      </c>
      <c r="C81" s="34" t="s">
        <v>47</v>
      </c>
      <c r="D81" s="34">
        <v>125927</v>
      </c>
      <c r="E81" s="34" t="s">
        <v>35</v>
      </c>
      <c r="F81" s="34" t="s">
        <v>13</v>
      </c>
      <c r="G81" s="34" t="s">
        <v>11</v>
      </c>
    </row>
    <row r="82" spans="1:7" x14ac:dyDescent="0.3">
      <c r="A82" s="22">
        <v>81</v>
      </c>
      <c r="B82" s="34">
        <v>18</v>
      </c>
      <c r="C82" s="34" t="s">
        <v>15</v>
      </c>
      <c r="D82" s="34">
        <v>446839</v>
      </c>
      <c r="E82" s="34" t="s">
        <v>16</v>
      </c>
      <c r="F82" s="34" t="s">
        <v>10</v>
      </c>
      <c r="G82" s="34" t="s">
        <v>11</v>
      </c>
    </row>
    <row r="83" spans="1:7" x14ac:dyDescent="0.3">
      <c r="A83" s="22">
        <v>82</v>
      </c>
      <c r="B83" s="34">
        <v>52</v>
      </c>
      <c r="C83" s="34" t="s">
        <v>15</v>
      </c>
      <c r="D83" s="34">
        <v>276515</v>
      </c>
      <c r="E83" s="34" t="s">
        <v>9</v>
      </c>
      <c r="F83" s="34" t="s">
        <v>13</v>
      </c>
      <c r="G83" s="34" t="s">
        <v>11</v>
      </c>
    </row>
    <row r="84" spans="1:7" x14ac:dyDescent="0.3">
      <c r="A84" s="22">
        <v>83</v>
      </c>
      <c r="B84" s="34">
        <v>46</v>
      </c>
      <c r="C84" s="34" t="s">
        <v>15</v>
      </c>
      <c r="D84" s="34">
        <v>51618</v>
      </c>
      <c r="E84" s="34" t="s">
        <v>16</v>
      </c>
      <c r="F84" s="34" t="s">
        <v>13</v>
      </c>
      <c r="G84" s="34" t="s">
        <v>11</v>
      </c>
    </row>
    <row r="85" spans="1:7" x14ac:dyDescent="0.3">
      <c r="A85" s="22">
        <v>84</v>
      </c>
      <c r="B85" s="34">
        <v>59</v>
      </c>
      <c r="C85" s="34" t="s">
        <v>15</v>
      </c>
      <c r="D85" s="34">
        <v>159937</v>
      </c>
      <c r="E85" s="34" t="s">
        <v>16</v>
      </c>
      <c r="F85" s="34" t="s">
        <v>13</v>
      </c>
      <c r="G85" s="34" t="s">
        <v>11</v>
      </c>
    </row>
    <row r="86" spans="1:7" x14ac:dyDescent="0.3">
      <c r="A86" s="22">
        <v>85</v>
      </c>
      <c r="B86" s="34">
        <v>44</v>
      </c>
      <c r="C86" s="34" t="s">
        <v>15</v>
      </c>
      <c r="D86" s="34">
        <v>343591</v>
      </c>
      <c r="E86" s="34" t="s">
        <v>16</v>
      </c>
      <c r="F86" s="34" t="s">
        <v>17</v>
      </c>
      <c r="G86" s="34" t="s">
        <v>26</v>
      </c>
    </row>
    <row r="87" spans="1:7" x14ac:dyDescent="0.3">
      <c r="A87" s="22">
        <v>86</v>
      </c>
      <c r="B87" s="34">
        <v>53</v>
      </c>
      <c r="C87" s="34" t="s">
        <v>15</v>
      </c>
      <c r="D87" s="34">
        <v>346253</v>
      </c>
      <c r="E87" s="34" t="s">
        <v>16</v>
      </c>
      <c r="F87" s="34" t="s">
        <v>17</v>
      </c>
      <c r="G87" s="34" t="s">
        <v>11</v>
      </c>
    </row>
    <row r="88" spans="1:7" x14ac:dyDescent="0.3">
      <c r="A88" s="22">
        <v>87</v>
      </c>
      <c r="B88" s="34">
        <v>49</v>
      </c>
      <c r="C88" s="34" t="s">
        <v>47</v>
      </c>
      <c r="D88" s="34">
        <v>268234</v>
      </c>
      <c r="E88" s="34" t="s">
        <v>16</v>
      </c>
      <c r="F88" s="34" t="s">
        <v>13</v>
      </c>
      <c r="G88" s="34" t="s">
        <v>26</v>
      </c>
    </row>
    <row r="89" spans="1:7" x14ac:dyDescent="0.3">
      <c r="A89" s="22">
        <v>88</v>
      </c>
      <c r="B89" s="34">
        <v>33</v>
      </c>
      <c r="C89" s="34" t="s">
        <v>15</v>
      </c>
      <c r="D89" s="34">
        <v>202051</v>
      </c>
      <c r="E89" s="34" t="s">
        <v>21</v>
      </c>
      <c r="F89" s="34" t="s">
        <v>13</v>
      </c>
      <c r="G89" s="34" t="s">
        <v>11</v>
      </c>
    </row>
    <row r="90" spans="1:7" x14ac:dyDescent="0.3">
      <c r="A90" s="22">
        <v>89</v>
      </c>
      <c r="B90" s="34">
        <v>30</v>
      </c>
      <c r="C90" s="34" t="s">
        <v>15</v>
      </c>
      <c r="D90" s="34">
        <v>54334</v>
      </c>
      <c r="E90" s="34" t="s">
        <v>23</v>
      </c>
      <c r="F90" s="34" t="s">
        <v>10</v>
      </c>
      <c r="G90" s="34" t="s">
        <v>11</v>
      </c>
    </row>
    <row r="91" spans="1:7" x14ac:dyDescent="0.3">
      <c r="A91" s="22">
        <v>90</v>
      </c>
      <c r="B91" s="34">
        <v>43</v>
      </c>
      <c r="C91" s="34" t="s">
        <v>43</v>
      </c>
      <c r="D91" s="34">
        <v>410867</v>
      </c>
      <c r="E91" s="34" t="s">
        <v>39</v>
      </c>
      <c r="F91" s="34" t="s">
        <v>10</v>
      </c>
      <c r="G91" s="34" t="s">
        <v>26</v>
      </c>
    </row>
    <row r="92" spans="1:7" x14ac:dyDescent="0.3">
      <c r="A92" s="22">
        <v>91</v>
      </c>
      <c r="B92" s="34">
        <v>57</v>
      </c>
      <c r="C92" s="34" t="s">
        <v>15</v>
      </c>
      <c r="D92" s="34">
        <v>249977</v>
      </c>
      <c r="E92" s="34" t="s">
        <v>34</v>
      </c>
      <c r="F92" s="34" t="s">
        <v>13</v>
      </c>
      <c r="G92" s="34" t="s">
        <v>11</v>
      </c>
    </row>
    <row r="93" spans="1:7" x14ac:dyDescent="0.3">
      <c r="A93" s="22">
        <v>92</v>
      </c>
      <c r="B93" s="34">
        <v>37</v>
      </c>
      <c r="C93" s="34" t="s">
        <v>15</v>
      </c>
      <c r="D93" s="34">
        <v>286730</v>
      </c>
      <c r="E93" s="34" t="s">
        <v>30</v>
      </c>
      <c r="F93" s="34" t="s">
        <v>17</v>
      </c>
      <c r="G93" s="34" t="s">
        <v>11</v>
      </c>
    </row>
    <row r="94" spans="1:7" x14ac:dyDescent="0.3">
      <c r="A94" s="22">
        <v>93</v>
      </c>
      <c r="B94" s="34">
        <v>28</v>
      </c>
      <c r="C94" s="34" t="s">
        <v>15</v>
      </c>
      <c r="D94" s="34">
        <v>212563</v>
      </c>
      <c r="E94" s="34" t="s">
        <v>30</v>
      </c>
      <c r="F94" s="34" t="s">
        <v>17</v>
      </c>
      <c r="G94" s="34" t="s">
        <v>11</v>
      </c>
    </row>
    <row r="95" spans="1:7" x14ac:dyDescent="0.3">
      <c r="A95" s="22">
        <v>94</v>
      </c>
      <c r="B95" s="34">
        <v>30</v>
      </c>
      <c r="C95" s="34" t="s">
        <v>15</v>
      </c>
      <c r="D95" s="34">
        <v>117747</v>
      </c>
      <c r="E95" s="34" t="s">
        <v>16</v>
      </c>
      <c r="F95" s="34" t="s">
        <v>13</v>
      </c>
      <c r="G95" s="34" t="s">
        <v>11</v>
      </c>
    </row>
    <row r="96" spans="1:7" x14ac:dyDescent="0.3">
      <c r="A96" s="22">
        <v>95</v>
      </c>
      <c r="B96" s="34">
        <v>34</v>
      </c>
      <c r="C96" s="34" t="s">
        <v>47</v>
      </c>
      <c r="D96" s="34">
        <v>226296</v>
      </c>
      <c r="E96" s="34" t="s">
        <v>9</v>
      </c>
      <c r="F96" s="34" t="s">
        <v>13</v>
      </c>
      <c r="G96" s="34" t="s">
        <v>26</v>
      </c>
    </row>
    <row r="97" spans="1:7" x14ac:dyDescent="0.3">
      <c r="A97" s="22">
        <v>96</v>
      </c>
      <c r="B97" s="34">
        <v>29</v>
      </c>
      <c r="C97" s="34" t="s">
        <v>47</v>
      </c>
      <c r="D97" s="34">
        <v>115585</v>
      </c>
      <c r="E97" s="34" t="s">
        <v>30</v>
      </c>
      <c r="F97" s="34" t="s">
        <v>10</v>
      </c>
      <c r="G97" s="34" t="s">
        <v>11</v>
      </c>
    </row>
    <row r="98" spans="1:7" x14ac:dyDescent="0.3">
      <c r="A98" s="22">
        <v>97</v>
      </c>
      <c r="B98" s="34">
        <v>48</v>
      </c>
      <c r="C98" s="34" t="s">
        <v>12</v>
      </c>
      <c r="D98" s="34">
        <v>191277</v>
      </c>
      <c r="E98" s="34" t="s">
        <v>39</v>
      </c>
      <c r="F98" s="34" t="s">
        <v>13</v>
      </c>
      <c r="G98" s="34" t="s">
        <v>26</v>
      </c>
    </row>
    <row r="99" spans="1:7" x14ac:dyDescent="0.3">
      <c r="A99" s="22">
        <v>98</v>
      </c>
      <c r="B99" s="34">
        <v>37</v>
      </c>
      <c r="C99" s="34" t="s">
        <v>15</v>
      </c>
      <c r="D99" s="34">
        <v>202683</v>
      </c>
      <c r="E99" s="34" t="s">
        <v>30</v>
      </c>
      <c r="F99" s="34" t="s">
        <v>13</v>
      </c>
      <c r="G99" s="34" t="s">
        <v>26</v>
      </c>
    </row>
    <row r="100" spans="1:7" x14ac:dyDescent="0.3">
      <c r="A100" s="22">
        <v>99</v>
      </c>
      <c r="B100" s="34">
        <v>48</v>
      </c>
      <c r="C100" s="34" t="s">
        <v>15</v>
      </c>
      <c r="D100" s="34">
        <v>171095</v>
      </c>
      <c r="E100" s="34" t="s">
        <v>33</v>
      </c>
      <c r="F100" s="34" t="s">
        <v>17</v>
      </c>
      <c r="G100" s="34" t="s">
        <v>11</v>
      </c>
    </row>
    <row r="101" spans="1:7" x14ac:dyDescent="0.3">
      <c r="A101" s="22">
        <v>100</v>
      </c>
      <c r="B101" s="34">
        <v>32</v>
      </c>
      <c r="C101" s="34" t="s">
        <v>43</v>
      </c>
      <c r="D101" s="34">
        <v>249409</v>
      </c>
      <c r="E101" s="34" t="s">
        <v>16</v>
      </c>
      <c r="F101" s="34" t="s">
        <v>10</v>
      </c>
      <c r="G101" s="34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6"/>
  <sheetViews>
    <sheetView zoomScale="68" workbookViewId="0">
      <selection activeCell="A36" sqref="A36"/>
    </sheetView>
  </sheetViews>
  <sheetFormatPr defaultRowHeight="14.4" x14ac:dyDescent="0.3"/>
  <cols>
    <col min="1" max="1" width="12.88671875" bestFit="1" customWidth="1"/>
    <col min="2" max="2" width="20.109375" bestFit="1" customWidth="1"/>
    <col min="3" max="5" width="9" bestFit="1" customWidth="1"/>
    <col min="6" max="7" width="11.6640625" bestFit="1" customWidth="1"/>
    <col min="10" max="10" width="12.88671875" bestFit="1" customWidth="1"/>
    <col min="11" max="11" width="20.21875" bestFit="1" customWidth="1"/>
    <col min="12" max="13" width="9" bestFit="1" customWidth="1"/>
    <col min="14" max="15" width="11.6640625" bestFit="1" customWidth="1"/>
  </cols>
  <sheetData>
    <row r="1" spans="1:15" ht="14.4" customHeight="1" x14ac:dyDescent="0.3">
      <c r="A1" s="48" t="s">
        <v>101</v>
      </c>
      <c r="B1" s="49"/>
      <c r="C1" s="49"/>
      <c r="D1" s="49"/>
      <c r="E1" s="49"/>
      <c r="F1" s="49"/>
      <c r="G1" s="50"/>
      <c r="I1" s="48" t="s">
        <v>101</v>
      </c>
      <c r="J1" s="49"/>
      <c r="K1" s="49"/>
      <c r="L1" s="49"/>
      <c r="M1" s="49"/>
      <c r="N1" s="49"/>
      <c r="O1" s="50"/>
    </row>
    <row r="2" spans="1:15" ht="43.2" x14ac:dyDescent="0.3">
      <c r="A2" s="16" t="s">
        <v>102</v>
      </c>
      <c r="B2" s="17"/>
      <c r="C2" s="16" t="s">
        <v>63</v>
      </c>
      <c r="D2" s="16" t="s">
        <v>103</v>
      </c>
      <c r="E2" s="16" t="s">
        <v>104</v>
      </c>
      <c r="F2" s="16" t="s">
        <v>105</v>
      </c>
      <c r="G2" s="16" t="s">
        <v>106</v>
      </c>
      <c r="I2" s="16" t="s">
        <v>107</v>
      </c>
      <c r="J2" s="17"/>
      <c r="K2" s="16" t="s">
        <v>63</v>
      </c>
      <c r="L2" s="16" t="s">
        <v>103</v>
      </c>
      <c r="M2" s="16" t="s">
        <v>104</v>
      </c>
      <c r="N2" s="16" t="s">
        <v>105</v>
      </c>
      <c r="O2" s="16" t="s">
        <v>106</v>
      </c>
    </row>
    <row r="3" spans="1:15" x14ac:dyDescent="0.3">
      <c r="A3" s="10"/>
      <c r="B3" s="10"/>
      <c r="C3" s="14">
        <v>100</v>
      </c>
      <c r="D3" s="14">
        <v>75</v>
      </c>
      <c r="E3" s="14">
        <v>25</v>
      </c>
      <c r="F3" s="17">
        <f>F43</f>
        <v>0.81127812445913283</v>
      </c>
      <c r="G3" s="17"/>
      <c r="I3" s="10"/>
      <c r="J3" s="10"/>
      <c r="K3" s="14">
        <v>76</v>
      </c>
      <c r="L3" s="14">
        <v>56</v>
      </c>
      <c r="M3" s="14">
        <v>20</v>
      </c>
      <c r="N3" s="17">
        <f>N35</f>
        <v>0.83147438800972928</v>
      </c>
      <c r="O3" s="17"/>
    </row>
    <row r="4" spans="1:15" x14ac:dyDescent="0.3">
      <c r="A4" s="16" t="s">
        <v>0</v>
      </c>
      <c r="B4" s="10"/>
      <c r="C4" s="14"/>
      <c r="D4" s="14"/>
      <c r="E4" s="14"/>
      <c r="F4" s="10"/>
      <c r="G4" s="17">
        <f>B168</f>
        <v>7.0963354892527142E-2</v>
      </c>
      <c r="I4" s="16" t="s">
        <v>0</v>
      </c>
      <c r="J4" s="10"/>
      <c r="K4" s="14"/>
      <c r="L4" s="14"/>
      <c r="M4" s="14"/>
      <c r="N4" s="10"/>
      <c r="O4" s="17">
        <f>J128</f>
        <v>9.2160401751088195E-2</v>
      </c>
    </row>
    <row r="5" spans="1:15" x14ac:dyDescent="0.3">
      <c r="A5" s="17"/>
      <c r="B5" s="8" t="s">
        <v>18</v>
      </c>
      <c r="C5" s="18">
        <v>31</v>
      </c>
      <c r="D5" s="16">
        <v>29</v>
      </c>
      <c r="E5" s="16">
        <v>2</v>
      </c>
      <c r="F5" s="10">
        <f>F47</f>
        <v>0.3451173149449529</v>
      </c>
      <c r="G5" s="17"/>
      <c r="I5" s="17"/>
      <c r="J5" s="8" t="s">
        <v>18</v>
      </c>
      <c r="K5" s="18">
        <v>28</v>
      </c>
      <c r="L5" s="16">
        <v>26</v>
      </c>
      <c r="M5" s="16">
        <v>2</v>
      </c>
      <c r="N5" s="10">
        <f>N39</f>
        <v>0.37123232664087558</v>
      </c>
      <c r="O5" s="17"/>
    </row>
    <row r="6" spans="1:15" x14ac:dyDescent="0.3">
      <c r="A6" s="17"/>
      <c r="B6" s="8" t="s">
        <v>6</v>
      </c>
      <c r="C6" s="18">
        <v>53</v>
      </c>
      <c r="D6" s="16">
        <v>35</v>
      </c>
      <c r="E6" s="16">
        <v>18</v>
      </c>
      <c r="F6" s="10">
        <f>F51</f>
        <v>0.92445714099649257</v>
      </c>
      <c r="G6" s="17"/>
      <c r="I6" s="17"/>
      <c r="J6" s="8" t="s">
        <v>6</v>
      </c>
      <c r="K6" s="18">
        <v>34</v>
      </c>
      <c r="L6" s="16">
        <v>21</v>
      </c>
      <c r="M6" s="16">
        <v>13</v>
      </c>
      <c r="N6" s="10">
        <f>N43</f>
        <v>0.9596868937742169</v>
      </c>
      <c r="O6" s="17"/>
    </row>
    <row r="7" spans="1:15" x14ac:dyDescent="0.3">
      <c r="A7" s="10"/>
      <c r="B7" s="8" t="s">
        <v>14</v>
      </c>
      <c r="C7" s="18">
        <v>16</v>
      </c>
      <c r="D7" s="16">
        <v>11</v>
      </c>
      <c r="E7" s="16">
        <v>5</v>
      </c>
      <c r="F7" s="10">
        <f>F55</f>
        <v>0.89603823253455728</v>
      </c>
      <c r="G7" s="10"/>
      <c r="I7" s="10"/>
      <c r="J7" s="8" t="s">
        <v>14</v>
      </c>
      <c r="K7" s="18">
        <v>14</v>
      </c>
      <c r="L7" s="16">
        <v>9</v>
      </c>
      <c r="M7" s="16">
        <v>5</v>
      </c>
      <c r="N7" s="10">
        <f>N47</f>
        <v>0.94028595867063092</v>
      </c>
      <c r="O7" s="10"/>
    </row>
    <row r="8" spans="1:15" x14ac:dyDescent="0.3">
      <c r="A8" s="8" t="s">
        <v>1</v>
      </c>
      <c r="B8" s="10"/>
      <c r="C8" s="14"/>
      <c r="D8" s="14"/>
      <c r="E8" s="14"/>
      <c r="F8" s="10"/>
      <c r="G8" s="10">
        <f>B170</f>
        <v>6.3702239901456292E-2</v>
      </c>
      <c r="I8" s="8" t="s">
        <v>1</v>
      </c>
      <c r="J8" s="10"/>
      <c r="K8" s="14"/>
      <c r="L8" s="14"/>
      <c r="M8" s="14"/>
      <c r="N8" s="10"/>
      <c r="O8" s="10">
        <f>J130</f>
        <v>0.10000812794809533</v>
      </c>
    </row>
    <row r="9" spans="1:15" x14ac:dyDescent="0.3">
      <c r="A9" s="17"/>
      <c r="B9" s="8" t="s">
        <v>22</v>
      </c>
      <c r="C9" s="19">
        <v>4</v>
      </c>
      <c r="D9" s="19">
        <v>3</v>
      </c>
      <c r="E9" s="19">
        <v>1</v>
      </c>
      <c r="F9" s="10">
        <f>F59</f>
        <v>0.81127812445913283</v>
      </c>
      <c r="G9" s="10"/>
      <c r="I9" s="17"/>
      <c r="J9" s="8" t="s">
        <v>22</v>
      </c>
      <c r="K9" s="19">
        <v>2</v>
      </c>
      <c r="L9" s="19">
        <v>1</v>
      </c>
      <c r="M9" s="19">
        <v>1</v>
      </c>
      <c r="N9" s="10">
        <f>N51</f>
        <v>1</v>
      </c>
      <c r="O9" s="10"/>
    </row>
    <row r="10" spans="1:15" x14ac:dyDescent="0.3">
      <c r="A10" s="17"/>
      <c r="B10" s="8" t="s">
        <v>25</v>
      </c>
      <c r="C10" s="19">
        <v>6</v>
      </c>
      <c r="D10" s="19">
        <v>3</v>
      </c>
      <c r="E10" s="19">
        <v>3</v>
      </c>
      <c r="F10" s="10">
        <f>F63</f>
        <v>1</v>
      </c>
      <c r="G10" s="10"/>
      <c r="I10" s="17"/>
      <c r="J10" s="8" t="s">
        <v>25</v>
      </c>
      <c r="K10" s="19">
        <v>4</v>
      </c>
      <c r="L10" s="19">
        <v>2</v>
      </c>
      <c r="M10" s="19">
        <v>2</v>
      </c>
      <c r="N10" s="10">
        <f>N55</f>
        <v>1</v>
      </c>
      <c r="O10" s="10"/>
    </row>
    <row r="11" spans="1:15" x14ac:dyDescent="0.3">
      <c r="A11" s="16"/>
      <c r="B11" s="8" t="s">
        <v>27</v>
      </c>
      <c r="C11" s="19">
        <v>6</v>
      </c>
      <c r="D11" s="19">
        <v>3</v>
      </c>
      <c r="E11" s="19">
        <v>3</v>
      </c>
      <c r="F11" s="10">
        <f>F67</f>
        <v>1</v>
      </c>
      <c r="G11" s="10"/>
      <c r="I11" s="16"/>
      <c r="J11" s="8" t="s">
        <v>27</v>
      </c>
      <c r="K11" s="19">
        <v>4</v>
      </c>
      <c r="L11" s="19">
        <v>1</v>
      </c>
      <c r="M11" s="19">
        <v>3</v>
      </c>
      <c r="N11" s="10">
        <f>N59</f>
        <v>0.81127812445913283</v>
      </c>
      <c r="O11" s="10"/>
    </row>
    <row r="12" spans="1:15" x14ac:dyDescent="0.3">
      <c r="A12" s="16"/>
      <c r="B12" s="8" t="s">
        <v>28</v>
      </c>
      <c r="C12" s="19">
        <v>70</v>
      </c>
      <c r="D12" s="19">
        <v>58</v>
      </c>
      <c r="E12" s="19">
        <v>12</v>
      </c>
      <c r="F12" s="10">
        <f>F71</f>
        <v>0.66096233514420843</v>
      </c>
      <c r="G12" s="10"/>
      <c r="I12" s="16"/>
      <c r="J12" s="8" t="s">
        <v>28</v>
      </c>
      <c r="K12" s="19">
        <v>54</v>
      </c>
      <c r="L12" s="19">
        <v>45</v>
      </c>
      <c r="M12" s="19">
        <v>9</v>
      </c>
      <c r="N12" s="10">
        <f>N63</f>
        <v>0.65002242164835411</v>
      </c>
      <c r="O12" s="10"/>
    </row>
    <row r="13" spans="1:15" x14ac:dyDescent="0.3">
      <c r="A13" s="17"/>
      <c r="B13" s="8" t="s">
        <v>29</v>
      </c>
      <c r="C13" s="19">
        <v>2</v>
      </c>
      <c r="D13" s="19">
        <v>1</v>
      </c>
      <c r="E13" s="19">
        <v>1</v>
      </c>
      <c r="F13" s="10">
        <f>F75</f>
        <v>1</v>
      </c>
      <c r="G13" s="10"/>
      <c r="I13" s="17"/>
      <c r="J13" s="8" t="s">
        <v>29</v>
      </c>
      <c r="K13" s="19">
        <v>2</v>
      </c>
      <c r="L13" s="19">
        <v>1</v>
      </c>
      <c r="M13" s="19">
        <v>1</v>
      </c>
      <c r="N13" s="10">
        <f>N67</f>
        <v>1</v>
      </c>
      <c r="O13" s="10"/>
    </row>
    <row r="14" spans="1:15" x14ac:dyDescent="0.3">
      <c r="A14" s="10"/>
      <c r="B14" s="8" t="s">
        <v>31</v>
      </c>
      <c r="C14" s="19">
        <v>8</v>
      </c>
      <c r="D14" s="19">
        <v>4</v>
      </c>
      <c r="E14" s="19">
        <v>4</v>
      </c>
      <c r="F14" s="10">
        <f>F79</f>
        <v>1</v>
      </c>
      <c r="G14" s="10"/>
      <c r="I14" s="10"/>
      <c r="J14" s="8" t="s">
        <v>31</v>
      </c>
      <c r="K14" s="19">
        <v>6</v>
      </c>
      <c r="L14" s="19">
        <v>3</v>
      </c>
      <c r="M14" s="19">
        <v>3</v>
      </c>
      <c r="N14" s="10">
        <f>N71</f>
        <v>1</v>
      </c>
      <c r="O14" s="10"/>
    </row>
    <row r="15" spans="1:15" x14ac:dyDescent="0.3">
      <c r="A15" s="10"/>
      <c r="B15" s="8" t="s">
        <v>32</v>
      </c>
      <c r="C15" s="19">
        <v>4</v>
      </c>
      <c r="D15" s="19">
        <v>3</v>
      </c>
      <c r="E15" s="19">
        <v>1</v>
      </c>
      <c r="F15" s="10">
        <f>F83</f>
        <v>0.81127812445913283</v>
      </c>
      <c r="G15" s="10"/>
      <c r="I15" s="10"/>
      <c r="J15" s="8" t="s">
        <v>32</v>
      </c>
      <c r="K15" s="19">
        <v>4</v>
      </c>
      <c r="L15" s="19">
        <v>3</v>
      </c>
      <c r="M15" s="19">
        <v>1</v>
      </c>
      <c r="N15" s="10">
        <f>N75</f>
        <v>0.81127812445913283</v>
      </c>
      <c r="O15" s="10"/>
    </row>
    <row r="16" spans="1:15" x14ac:dyDescent="0.3">
      <c r="A16" s="8" t="s">
        <v>2</v>
      </c>
      <c r="B16" s="10"/>
      <c r="C16" s="14"/>
      <c r="D16" s="14"/>
      <c r="E16" s="14"/>
      <c r="F16" s="10"/>
      <c r="G16" s="10">
        <f>B172</f>
        <v>8.2205549920666421E-4</v>
      </c>
      <c r="I16" s="8" t="s">
        <v>2</v>
      </c>
      <c r="J16" s="10"/>
      <c r="K16" s="14"/>
      <c r="L16" s="14"/>
      <c r="M16" s="14"/>
      <c r="N16" s="10"/>
      <c r="O16" s="10">
        <f>J132</f>
        <v>4.4480119035659182E-3</v>
      </c>
    </row>
    <row r="17" spans="1:15" x14ac:dyDescent="0.3">
      <c r="A17" s="10"/>
      <c r="B17" s="8" t="s">
        <v>8</v>
      </c>
      <c r="C17" s="14">
        <v>86</v>
      </c>
      <c r="D17" s="14">
        <v>64</v>
      </c>
      <c r="E17" s="14">
        <v>22</v>
      </c>
      <c r="F17" s="10">
        <f>F87</f>
        <v>0.82036364295767317</v>
      </c>
      <c r="G17" s="10"/>
      <c r="I17" s="10"/>
      <c r="J17" s="8" t="s">
        <v>8</v>
      </c>
      <c r="K17" s="14">
        <v>65</v>
      </c>
      <c r="L17" s="14">
        <v>47</v>
      </c>
      <c r="M17" s="14">
        <v>18</v>
      </c>
      <c r="N17" s="10">
        <f>N79</f>
        <v>0.85122433526213781</v>
      </c>
      <c r="O17" s="10"/>
    </row>
    <row r="18" spans="1:15" x14ac:dyDescent="0.3">
      <c r="A18" s="10"/>
      <c r="B18" s="8" t="s">
        <v>20</v>
      </c>
      <c r="C18" s="14">
        <v>14</v>
      </c>
      <c r="D18" s="14">
        <v>11</v>
      </c>
      <c r="E18" s="14">
        <v>3</v>
      </c>
      <c r="F18" s="10">
        <f>F91</f>
        <v>0.74959525725947984</v>
      </c>
      <c r="G18" s="10"/>
      <c r="I18" s="10"/>
      <c r="J18" s="8" t="s">
        <v>20</v>
      </c>
      <c r="K18" s="14">
        <v>11</v>
      </c>
      <c r="L18" s="14">
        <v>9</v>
      </c>
      <c r="M18" s="14">
        <v>2</v>
      </c>
      <c r="N18" s="10">
        <f>N83</f>
        <v>0.68403843563904165</v>
      </c>
      <c r="O18" s="10"/>
    </row>
    <row r="19" spans="1:15" x14ac:dyDescent="0.3">
      <c r="A19" s="8" t="s">
        <v>3</v>
      </c>
      <c r="B19" s="10"/>
      <c r="C19" s="14"/>
      <c r="D19" s="14"/>
      <c r="E19" s="14"/>
      <c r="F19" s="10"/>
      <c r="G19" s="10">
        <f>B174</f>
        <v>0.21636454002278871</v>
      </c>
      <c r="I19" s="8" t="s">
        <v>3</v>
      </c>
      <c r="J19" s="10"/>
      <c r="K19" s="14"/>
      <c r="L19" s="14"/>
      <c r="M19" s="14"/>
      <c r="N19" s="10"/>
      <c r="O19" s="10">
        <f>J134</f>
        <v>4.8693355856645248E-2</v>
      </c>
    </row>
    <row r="20" spans="1:15" x14ac:dyDescent="0.3">
      <c r="A20" s="10"/>
      <c r="B20" s="8" t="s">
        <v>36</v>
      </c>
      <c r="C20" s="14">
        <v>17</v>
      </c>
      <c r="D20" s="14">
        <v>10</v>
      </c>
      <c r="E20" s="14">
        <v>7</v>
      </c>
      <c r="F20" s="20">
        <f>F95</f>
        <v>0.97741781752817158</v>
      </c>
      <c r="G20" s="10"/>
      <c r="I20" s="10"/>
      <c r="J20" s="8" t="s">
        <v>36</v>
      </c>
      <c r="K20" s="14">
        <v>17</v>
      </c>
      <c r="L20" s="14">
        <v>10</v>
      </c>
      <c r="M20" s="14">
        <v>7</v>
      </c>
      <c r="N20" s="20">
        <f>N87</f>
        <v>0.97741781752817158</v>
      </c>
      <c r="O20" s="10"/>
    </row>
    <row r="21" spans="1:15" x14ac:dyDescent="0.3">
      <c r="A21" s="10"/>
      <c r="B21" s="8" t="s">
        <v>37</v>
      </c>
      <c r="C21" s="14">
        <v>20</v>
      </c>
      <c r="D21" s="14">
        <v>14</v>
      </c>
      <c r="E21" s="14">
        <v>6</v>
      </c>
      <c r="F21" s="10">
        <f>F99</f>
        <v>0.8812908992306927</v>
      </c>
      <c r="G21" s="10"/>
      <c r="I21" s="10"/>
      <c r="J21" s="8" t="s">
        <v>37</v>
      </c>
      <c r="K21" s="14">
        <v>20</v>
      </c>
      <c r="L21" s="14">
        <v>14</v>
      </c>
      <c r="M21" s="14">
        <v>6</v>
      </c>
      <c r="N21" s="10">
        <f>N91</f>
        <v>0.8812908992306927</v>
      </c>
      <c r="O21" s="10"/>
    </row>
    <row r="22" spans="1:15" x14ac:dyDescent="0.3">
      <c r="A22" s="10"/>
      <c r="B22" s="8" t="s">
        <v>38</v>
      </c>
      <c r="C22" s="14">
        <v>5</v>
      </c>
      <c r="D22" s="14">
        <v>5</v>
      </c>
      <c r="E22" s="14">
        <v>0</v>
      </c>
      <c r="F22" s="10">
        <f>F103</f>
        <v>0</v>
      </c>
      <c r="G22" s="10"/>
      <c r="I22" s="10"/>
      <c r="J22" s="8" t="s">
        <v>40</v>
      </c>
      <c r="K22" s="14">
        <v>29</v>
      </c>
      <c r="L22" s="14">
        <v>25</v>
      </c>
      <c r="M22" s="14">
        <v>4</v>
      </c>
      <c r="N22" s="10">
        <f>N95</f>
        <v>0.57879462463211984</v>
      </c>
      <c r="O22" s="10"/>
    </row>
    <row r="23" spans="1:15" x14ac:dyDescent="0.3">
      <c r="A23" s="10"/>
      <c r="B23" s="8" t="s">
        <v>40</v>
      </c>
      <c r="C23" s="14">
        <v>29</v>
      </c>
      <c r="D23" s="14">
        <v>25</v>
      </c>
      <c r="E23" s="14">
        <v>4</v>
      </c>
      <c r="F23" s="10">
        <f>F107</f>
        <v>0.57879462463211984</v>
      </c>
      <c r="G23" s="10"/>
      <c r="I23" s="10"/>
      <c r="J23" s="8" t="s">
        <v>44</v>
      </c>
      <c r="K23" s="14">
        <v>5</v>
      </c>
      <c r="L23" s="14">
        <v>4</v>
      </c>
      <c r="M23" s="14">
        <v>1</v>
      </c>
      <c r="N23" s="10">
        <f>N99</f>
        <v>0.72192809488736231</v>
      </c>
      <c r="O23" s="10"/>
    </row>
    <row r="24" spans="1:15" x14ac:dyDescent="0.3">
      <c r="A24" s="10"/>
      <c r="B24" s="8" t="s">
        <v>42</v>
      </c>
      <c r="C24" s="14">
        <v>5</v>
      </c>
      <c r="D24" s="14">
        <v>5</v>
      </c>
      <c r="E24" s="14">
        <v>0</v>
      </c>
      <c r="F24" s="10">
        <f>F111</f>
        <v>0</v>
      </c>
      <c r="G24" s="10"/>
      <c r="I24" s="10"/>
      <c r="J24" s="8" t="s">
        <v>48</v>
      </c>
      <c r="K24" s="14">
        <v>5</v>
      </c>
      <c r="L24" s="14">
        <v>3</v>
      </c>
      <c r="M24" s="14">
        <v>2</v>
      </c>
      <c r="N24" s="10">
        <f>N103</f>
        <v>0.97095059445466869</v>
      </c>
      <c r="O24" s="10"/>
    </row>
    <row r="25" spans="1:15" x14ac:dyDescent="0.3">
      <c r="A25" s="10"/>
      <c r="B25" s="8" t="s">
        <v>44</v>
      </c>
      <c r="C25" s="14">
        <v>5</v>
      </c>
      <c r="D25" s="14">
        <v>4</v>
      </c>
      <c r="E25" s="14">
        <v>1</v>
      </c>
      <c r="F25" s="10">
        <f>F115</f>
        <v>0.72192809488736231</v>
      </c>
      <c r="G25" s="10"/>
      <c r="I25" s="8" t="s">
        <v>4</v>
      </c>
      <c r="J25" s="10"/>
      <c r="K25" s="14"/>
      <c r="L25" s="14"/>
      <c r="M25" s="14"/>
      <c r="N25" s="10"/>
      <c r="O25" s="10">
        <f>J136</f>
        <v>9.9509351545099101E-2</v>
      </c>
    </row>
    <row r="26" spans="1:15" x14ac:dyDescent="0.3">
      <c r="A26" s="10"/>
      <c r="B26" s="8" t="s">
        <v>45</v>
      </c>
      <c r="C26" s="14">
        <v>4</v>
      </c>
      <c r="D26" s="14">
        <v>4</v>
      </c>
      <c r="E26" s="14">
        <v>0</v>
      </c>
      <c r="F26" s="10">
        <f>F119</f>
        <v>0</v>
      </c>
      <c r="G26" s="10"/>
      <c r="I26" s="10"/>
      <c r="J26" s="8" t="s">
        <v>54</v>
      </c>
      <c r="K26" s="14">
        <v>41</v>
      </c>
      <c r="L26" s="14">
        <v>25</v>
      </c>
      <c r="M26" s="14">
        <v>16</v>
      </c>
      <c r="N26" s="10">
        <f>N107</f>
        <v>0.96495676695056876</v>
      </c>
      <c r="O26" s="10"/>
    </row>
    <row r="27" spans="1:15" x14ac:dyDescent="0.3">
      <c r="A27" s="10"/>
      <c r="B27" s="8" t="s">
        <v>46</v>
      </c>
      <c r="C27" s="14">
        <v>3</v>
      </c>
      <c r="D27" s="14">
        <v>3</v>
      </c>
      <c r="E27" s="14">
        <v>0</v>
      </c>
      <c r="F27" s="10">
        <f>F123</f>
        <v>0</v>
      </c>
      <c r="G27" s="10"/>
      <c r="I27" s="10"/>
      <c r="J27" s="8" t="s">
        <v>55</v>
      </c>
      <c r="K27" s="14">
        <v>14</v>
      </c>
      <c r="L27" s="14">
        <v>11</v>
      </c>
      <c r="M27" s="14">
        <v>3</v>
      </c>
      <c r="N27" s="10">
        <f>N111</f>
        <v>0.74959525725947984</v>
      </c>
      <c r="O27" s="10"/>
    </row>
    <row r="28" spans="1:15" x14ac:dyDescent="0.3">
      <c r="A28" s="10"/>
      <c r="B28" s="8" t="s">
        <v>48</v>
      </c>
      <c r="C28" s="14">
        <v>5</v>
      </c>
      <c r="D28" s="14">
        <v>3</v>
      </c>
      <c r="E28" s="14">
        <v>2</v>
      </c>
      <c r="F28" s="10">
        <f>F127</f>
        <v>0.97095059445466869</v>
      </c>
      <c r="G28" s="10"/>
      <c r="I28" s="10"/>
      <c r="J28" s="8" t="s">
        <v>56</v>
      </c>
      <c r="K28" s="14">
        <v>18</v>
      </c>
      <c r="L28" s="14">
        <v>17</v>
      </c>
      <c r="M28" s="14">
        <v>1</v>
      </c>
      <c r="N28" s="10">
        <f>N115</f>
        <v>0.30954342915032518</v>
      </c>
      <c r="O28" s="10"/>
    </row>
    <row r="29" spans="1:15" x14ac:dyDescent="0.3">
      <c r="A29" s="10"/>
      <c r="B29" s="8" t="s">
        <v>49</v>
      </c>
      <c r="C29" s="14">
        <v>1</v>
      </c>
      <c r="D29" s="14">
        <v>1</v>
      </c>
      <c r="E29" s="14">
        <v>0</v>
      </c>
      <c r="F29" s="10">
        <f>F131</f>
        <v>0</v>
      </c>
      <c r="G29" s="10"/>
      <c r="I29" s="10"/>
      <c r="J29" s="8" t="s">
        <v>57</v>
      </c>
      <c r="K29" s="14">
        <v>3</v>
      </c>
      <c r="L29" s="14">
        <v>3</v>
      </c>
      <c r="M29" s="14">
        <v>0</v>
      </c>
      <c r="N29" s="10">
        <f>N119</f>
        <v>0</v>
      </c>
      <c r="O29" s="10"/>
    </row>
    <row r="30" spans="1:15" x14ac:dyDescent="0.3">
      <c r="A30" s="10"/>
      <c r="B30" s="8" t="s">
        <v>51</v>
      </c>
      <c r="C30" s="14">
        <v>4</v>
      </c>
      <c r="D30" s="14">
        <v>0</v>
      </c>
      <c r="E30" s="14">
        <v>4</v>
      </c>
      <c r="F30" s="10">
        <f>F135</f>
        <v>0</v>
      </c>
      <c r="G30" s="10"/>
      <c r="I30" s="8"/>
      <c r="J30" s="8" t="s">
        <v>58</v>
      </c>
      <c r="K30" s="14">
        <v>0</v>
      </c>
      <c r="L30" s="14">
        <v>0</v>
      </c>
      <c r="M30" s="14">
        <v>0</v>
      </c>
      <c r="N30" s="10">
        <f>N123</f>
        <v>0</v>
      </c>
      <c r="O30" s="10"/>
    </row>
    <row r="31" spans="1:15" x14ac:dyDescent="0.3">
      <c r="A31" s="10"/>
      <c r="B31" s="8" t="s">
        <v>52</v>
      </c>
      <c r="C31" s="14">
        <v>1</v>
      </c>
      <c r="D31" s="14">
        <v>1</v>
      </c>
      <c r="E31" s="14">
        <v>0</v>
      </c>
      <c r="F31" s="10">
        <f>F139</f>
        <v>0</v>
      </c>
      <c r="G31" s="10"/>
      <c r="I31" s="21"/>
      <c r="J31" s="21"/>
      <c r="K31" s="21"/>
      <c r="L31" s="21"/>
      <c r="M31" s="21"/>
      <c r="N31" s="21"/>
      <c r="O31" s="21"/>
    </row>
    <row r="32" spans="1:15" x14ac:dyDescent="0.3">
      <c r="A32" s="22"/>
      <c r="B32" s="15" t="s">
        <v>53</v>
      </c>
      <c r="C32" s="23">
        <v>1</v>
      </c>
      <c r="D32" s="23">
        <v>0</v>
      </c>
      <c r="E32" s="23">
        <v>1</v>
      </c>
      <c r="F32" s="22">
        <f>F143</f>
        <v>0</v>
      </c>
      <c r="G32" s="24"/>
      <c r="I32" s="39" t="s">
        <v>108</v>
      </c>
      <c r="J32" s="40"/>
      <c r="K32" s="40"/>
      <c r="L32" s="40"/>
      <c r="M32" s="40"/>
      <c r="N32" s="41"/>
      <c r="O32" s="21"/>
    </row>
    <row r="33" spans="1:15" x14ac:dyDescent="0.3">
      <c r="A33" s="8" t="s">
        <v>4</v>
      </c>
      <c r="B33" s="10"/>
      <c r="C33" s="14"/>
      <c r="D33" s="14"/>
      <c r="E33" s="14"/>
      <c r="F33" s="10"/>
      <c r="G33" s="10">
        <f>B176</f>
        <v>7.7112729297603044E-2</v>
      </c>
      <c r="I33" s="39" t="s">
        <v>109</v>
      </c>
      <c r="J33" s="40"/>
      <c r="K33" s="40"/>
      <c r="L33" s="40"/>
      <c r="M33" s="40"/>
      <c r="N33" s="41"/>
      <c r="O33" s="21"/>
    </row>
    <row r="34" spans="1:15" x14ac:dyDescent="0.3">
      <c r="A34" s="10"/>
      <c r="B34" s="8" t="s">
        <v>54</v>
      </c>
      <c r="C34" s="14">
        <v>56</v>
      </c>
      <c r="D34" s="14">
        <v>36</v>
      </c>
      <c r="E34" s="14">
        <v>20</v>
      </c>
      <c r="F34" s="10">
        <f>F147</f>
        <v>0.94028595867063092</v>
      </c>
      <c r="G34" s="10"/>
      <c r="I34" s="25" t="s">
        <v>110</v>
      </c>
      <c r="J34" s="25">
        <f>-L3/K3</f>
        <v>-0.73684210526315785</v>
      </c>
      <c r="K34" s="25">
        <f>LOG(L3/K3)</f>
        <v>-0.13262556527459096</v>
      </c>
      <c r="L34" s="25">
        <f>K34/K35</f>
        <v>-0.44057259138598148</v>
      </c>
      <c r="M34" s="25">
        <f>J34*L34</f>
        <v>0.32463243575809159</v>
      </c>
      <c r="N34" s="25"/>
      <c r="O34" s="21"/>
    </row>
    <row r="35" spans="1:15" x14ac:dyDescent="0.3">
      <c r="A35" s="10"/>
      <c r="B35" s="8" t="s">
        <v>55</v>
      </c>
      <c r="C35" s="14">
        <v>15</v>
      </c>
      <c r="D35" s="14">
        <v>12</v>
      </c>
      <c r="E35" s="14">
        <v>3</v>
      </c>
      <c r="F35" s="10">
        <f>F151</f>
        <v>0.72192809488736231</v>
      </c>
      <c r="G35" s="10"/>
      <c r="I35" s="26" t="s">
        <v>111</v>
      </c>
      <c r="J35" s="27"/>
      <c r="K35" s="26">
        <f>LOG(2)</f>
        <v>0.3010299956639812</v>
      </c>
      <c r="L35" s="28"/>
      <c r="M35" s="27"/>
      <c r="N35" s="25">
        <f>M34+M36</f>
        <v>0.83147438800972928</v>
      </c>
      <c r="O35" s="21"/>
    </row>
    <row r="36" spans="1:15" x14ac:dyDescent="0.3">
      <c r="A36" s="10"/>
      <c r="B36" s="8" t="s">
        <v>56</v>
      </c>
      <c r="C36" s="14">
        <v>24</v>
      </c>
      <c r="D36" s="14">
        <v>22</v>
      </c>
      <c r="E36" s="14">
        <v>2</v>
      </c>
      <c r="F36" s="10">
        <f>F155</f>
        <v>0.41381685030363374</v>
      </c>
      <c r="G36" s="10"/>
      <c r="I36" s="25" t="s">
        <v>112</v>
      </c>
      <c r="J36" s="25">
        <f>-M3/K3</f>
        <v>-0.26315789473684209</v>
      </c>
      <c r="K36" s="25">
        <f>LOG(M3/K3)</f>
        <v>-0.57978359661681023</v>
      </c>
      <c r="L36" s="25">
        <f>K36/K35</f>
        <v>-1.9259994185562233</v>
      </c>
      <c r="M36" s="25">
        <f>J36*L36</f>
        <v>0.50684195225163764</v>
      </c>
      <c r="N36" s="25"/>
      <c r="O36" s="21"/>
    </row>
    <row r="37" spans="1:15" x14ac:dyDescent="0.3">
      <c r="A37" s="10"/>
      <c r="B37" s="8" t="s">
        <v>57</v>
      </c>
      <c r="C37" s="14">
        <v>3</v>
      </c>
      <c r="D37" s="14">
        <v>3</v>
      </c>
      <c r="E37" s="14">
        <v>0</v>
      </c>
      <c r="F37" s="10">
        <f>F159</f>
        <v>0</v>
      </c>
      <c r="G37" s="10"/>
      <c r="I37" s="39" t="s">
        <v>113</v>
      </c>
      <c r="J37" s="40"/>
      <c r="K37" s="40"/>
      <c r="L37" s="40"/>
      <c r="M37" s="40"/>
      <c r="N37" s="41"/>
      <c r="O37" s="21"/>
    </row>
    <row r="38" spans="1:15" x14ac:dyDescent="0.3">
      <c r="A38" s="8"/>
      <c r="B38" s="8" t="s">
        <v>58</v>
      </c>
      <c r="C38" s="14">
        <v>2</v>
      </c>
      <c r="D38" s="14">
        <v>2</v>
      </c>
      <c r="E38" s="14">
        <v>0</v>
      </c>
      <c r="F38" s="10">
        <f>F163</f>
        <v>0</v>
      </c>
      <c r="G38" s="10"/>
      <c r="I38" s="25" t="s">
        <v>110</v>
      </c>
      <c r="J38" s="25">
        <f>-L5/K5</f>
        <v>-0.9285714285714286</v>
      </c>
      <c r="K38" s="25">
        <f>LOG(L5/K5)</f>
        <v>-3.2184683371401242E-2</v>
      </c>
      <c r="L38" s="25">
        <f>K38/K39</f>
        <v>-0.10691520391651189</v>
      </c>
      <c r="M38" s="25">
        <f>J38*L38</f>
        <v>9.9278403636761048E-2</v>
      </c>
      <c r="N38" s="25"/>
      <c r="O38" s="21"/>
    </row>
    <row r="39" spans="1:15" x14ac:dyDescent="0.3">
      <c r="A39" s="21"/>
      <c r="B39" s="21"/>
      <c r="C39" s="21"/>
      <c r="D39" s="21"/>
      <c r="E39" s="21"/>
      <c r="F39" s="21"/>
      <c r="G39" s="21"/>
      <c r="I39" s="26" t="s">
        <v>111</v>
      </c>
      <c r="J39" s="27"/>
      <c r="K39" s="26">
        <f>LOG(2)</f>
        <v>0.3010299956639812</v>
      </c>
      <c r="L39" s="28"/>
      <c r="M39" s="27"/>
      <c r="N39" s="25">
        <f>M38+M40</f>
        <v>0.37123232664087558</v>
      </c>
      <c r="O39" s="21"/>
    </row>
    <row r="40" spans="1:15" x14ac:dyDescent="0.3">
      <c r="A40" s="39" t="s">
        <v>108</v>
      </c>
      <c r="B40" s="40"/>
      <c r="C40" s="40"/>
      <c r="D40" s="40"/>
      <c r="E40" s="40"/>
      <c r="F40" s="41"/>
      <c r="G40" s="21"/>
      <c r="I40" s="25" t="s">
        <v>112</v>
      </c>
      <c r="J40" s="25">
        <f>-M5/K5</f>
        <v>-7.1428571428571425E-2</v>
      </c>
      <c r="K40" s="25">
        <f>LOG(M5/K5)</f>
        <v>-1.146128035678238</v>
      </c>
      <c r="L40" s="25">
        <f>K40/K39</f>
        <v>-3.8073549220576037</v>
      </c>
      <c r="M40" s="25">
        <f>J40*L40</f>
        <v>0.27195392300411453</v>
      </c>
      <c r="N40" s="25"/>
      <c r="O40" s="21"/>
    </row>
    <row r="41" spans="1:15" x14ac:dyDescent="0.3">
      <c r="A41" s="39" t="s">
        <v>109</v>
      </c>
      <c r="B41" s="40"/>
      <c r="C41" s="40"/>
      <c r="D41" s="40"/>
      <c r="E41" s="40"/>
      <c r="F41" s="41"/>
      <c r="G41" s="21"/>
      <c r="I41" s="39" t="s">
        <v>114</v>
      </c>
      <c r="J41" s="40"/>
      <c r="K41" s="40"/>
      <c r="L41" s="40"/>
      <c r="M41" s="40"/>
      <c r="N41" s="41"/>
      <c r="O41" s="21"/>
    </row>
    <row r="42" spans="1:15" x14ac:dyDescent="0.3">
      <c r="A42" s="25" t="s">
        <v>110</v>
      </c>
      <c r="B42" s="25">
        <f>-D3/C3</f>
        <v>-0.75</v>
      </c>
      <c r="C42" s="25">
        <f>LOG(D3/C3)</f>
        <v>-0.12493873660829995</v>
      </c>
      <c r="D42" s="25">
        <f>C42/C43</f>
        <v>-0.41503749927884381</v>
      </c>
      <c r="E42" s="25">
        <f>B42*D42</f>
        <v>0.31127812445913283</v>
      </c>
      <c r="F42" s="25"/>
      <c r="G42" s="21"/>
      <c r="I42" s="25" t="s">
        <v>110</v>
      </c>
      <c r="J42" s="25">
        <f>-L6/K6</f>
        <v>-0.61764705882352944</v>
      </c>
      <c r="K42" s="25">
        <f>LOG(L6/K6)</f>
        <v>-0.20925962230833584</v>
      </c>
      <c r="L42" s="25">
        <f>K42/K43</f>
        <v>-0.69514541847157907</v>
      </c>
      <c r="M42" s="25">
        <f>J42*L42</f>
        <v>0.42935452317362238</v>
      </c>
      <c r="N42" s="25"/>
      <c r="O42" s="21"/>
    </row>
    <row r="43" spans="1:15" x14ac:dyDescent="0.3">
      <c r="A43" s="26" t="s">
        <v>111</v>
      </c>
      <c r="B43" s="27"/>
      <c r="C43" s="26">
        <f>LOG(2)</f>
        <v>0.3010299956639812</v>
      </c>
      <c r="D43" s="28"/>
      <c r="E43" s="27"/>
      <c r="F43" s="25">
        <f>E42+E44</f>
        <v>0.81127812445913283</v>
      </c>
      <c r="G43" s="21"/>
      <c r="I43" s="25" t="s">
        <v>111</v>
      </c>
      <c r="J43" s="25"/>
      <c r="K43" s="25">
        <f>LOG(2)</f>
        <v>0.3010299956639812</v>
      </c>
      <c r="L43" s="25"/>
      <c r="M43" s="25"/>
      <c r="N43" s="25">
        <f>M42+M44</f>
        <v>0.9596868937742169</v>
      </c>
      <c r="O43" s="21"/>
    </row>
    <row r="44" spans="1:15" x14ac:dyDescent="0.3">
      <c r="A44" s="25" t="s">
        <v>112</v>
      </c>
      <c r="B44" s="25">
        <f>-E3/C3</f>
        <v>-0.25</v>
      </c>
      <c r="C44" s="25">
        <f>LOG(E3/C3)</f>
        <v>-0.6020599913279624</v>
      </c>
      <c r="D44" s="25">
        <f>C44/C43</f>
        <v>-2</v>
      </c>
      <c r="E44" s="25">
        <f>B44*D44</f>
        <v>0.5</v>
      </c>
      <c r="F44" s="25"/>
      <c r="G44" s="21"/>
      <c r="I44" s="25" t="s">
        <v>112</v>
      </c>
      <c r="J44" s="25">
        <f>-M6/K6</f>
        <v>-0.38235294117647056</v>
      </c>
      <c r="K44" s="25">
        <f>LOG(M6/K6)</f>
        <v>-0.41753556473541836</v>
      </c>
      <c r="L44" s="25">
        <f>K44/K43</f>
        <v>-1.3870231231092474</v>
      </c>
      <c r="M44" s="25">
        <f>J44*L44</f>
        <v>0.53033237060059457</v>
      </c>
      <c r="N44" s="25"/>
      <c r="O44" s="21"/>
    </row>
    <row r="45" spans="1:15" x14ac:dyDescent="0.3">
      <c r="A45" s="39" t="s">
        <v>113</v>
      </c>
      <c r="B45" s="40"/>
      <c r="C45" s="40"/>
      <c r="D45" s="40"/>
      <c r="E45" s="40"/>
      <c r="F45" s="41"/>
      <c r="G45" s="21"/>
      <c r="I45" s="39" t="s">
        <v>115</v>
      </c>
      <c r="J45" s="40"/>
      <c r="K45" s="40"/>
      <c r="L45" s="40"/>
      <c r="M45" s="40"/>
      <c r="N45" s="41"/>
      <c r="O45" s="21"/>
    </row>
    <row r="46" spans="1:15" x14ac:dyDescent="0.3">
      <c r="A46" s="25" t="s">
        <v>110</v>
      </c>
      <c r="B46" s="25">
        <f>-D5/C5</f>
        <v>-0.93548387096774188</v>
      </c>
      <c r="C46" s="25">
        <f>LOG(D5/C5)</f>
        <v>-2.8963695935316617E-2</v>
      </c>
      <c r="D46" s="25">
        <f>C46/C47</f>
        <v>-9.6215315259303172E-2</v>
      </c>
      <c r="E46" s="25">
        <f>B46*D46</f>
        <v>9.0007875565154577E-2</v>
      </c>
      <c r="F46" s="25"/>
      <c r="G46" s="21"/>
      <c r="I46" s="25" t="s">
        <v>110</v>
      </c>
      <c r="J46" s="25">
        <f>-L7/K7</f>
        <v>-0.6428571428571429</v>
      </c>
      <c r="K46" s="25">
        <f>LOG(L7/K7)</f>
        <v>-0.19188552623891311</v>
      </c>
      <c r="L46" s="25">
        <f>K46/K47</f>
        <v>-0.63742992061529158</v>
      </c>
      <c r="M46" s="25">
        <f>J46*L46</f>
        <v>0.40977637753840174</v>
      </c>
      <c r="N46" s="25"/>
      <c r="O46" s="21"/>
    </row>
    <row r="47" spans="1:15" x14ac:dyDescent="0.3">
      <c r="A47" s="26" t="s">
        <v>111</v>
      </c>
      <c r="B47" s="27"/>
      <c r="C47" s="26">
        <f>LOG(2)</f>
        <v>0.3010299956639812</v>
      </c>
      <c r="D47" s="28"/>
      <c r="E47" s="27"/>
      <c r="F47" s="25">
        <f>E46+E48</f>
        <v>0.3451173149449529</v>
      </c>
      <c r="G47" s="21"/>
      <c r="I47" s="25" t="s">
        <v>111</v>
      </c>
      <c r="J47" s="25"/>
      <c r="K47" s="25">
        <f>LOG(2)</f>
        <v>0.3010299956639812</v>
      </c>
      <c r="L47" s="25"/>
      <c r="M47" s="25"/>
      <c r="N47" s="25">
        <f>M46+M48</f>
        <v>0.94028595867063092</v>
      </c>
      <c r="O47" s="21"/>
    </row>
    <row r="48" spans="1:15" x14ac:dyDescent="0.3">
      <c r="A48" s="25" t="s">
        <v>112</v>
      </c>
      <c r="B48" s="25">
        <f>-E5/C5</f>
        <v>-6.4516129032258063E-2</v>
      </c>
      <c r="C48" s="25">
        <f>LOG(E5/C5)</f>
        <v>-1.1903316981702914</v>
      </c>
      <c r="D48" s="25">
        <f>C48/C47</f>
        <v>-3.9541963103868749</v>
      </c>
      <c r="E48" s="25">
        <f>B48*D48</f>
        <v>0.25510943937979835</v>
      </c>
      <c r="F48" s="25"/>
      <c r="G48" s="21"/>
      <c r="I48" s="25" t="s">
        <v>112</v>
      </c>
      <c r="J48" s="25">
        <f>-M7/K7</f>
        <v>-0.35714285714285715</v>
      </c>
      <c r="K48" s="25">
        <f>LOG(M7/K7)</f>
        <v>-0.44715803134221921</v>
      </c>
      <c r="L48" s="25">
        <f>K48/K47</f>
        <v>-1.4854268271702418</v>
      </c>
      <c r="M48" s="25">
        <f>J48*L48</f>
        <v>0.53050958113222924</v>
      </c>
      <c r="N48" s="25"/>
      <c r="O48" s="21"/>
    </row>
    <row r="49" spans="1:15" x14ac:dyDescent="0.3">
      <c r="A49" s="39" t="s">
        <v>114</v>
      </c>
      <c r="B49" s="40"/>
      <c r="C49" s="40"/>
      <c r="D49" s="40"/>
      <c r="E49" s="40"/>
      <c r="F49" s="41"/>
      <c r="G49" s="21"/>
      <c r="I49" s="39" t="s">
        <v>116</v>
      </c>
      <c r="J49" s="40"/>
      <c r="K49" s="40"/>
      <c r="L49" s="40"/>
      <c r="M49" s="40"/>
      <c r="N49" s="41"/>
      <c r="O49" s="21"/>
    </row>
    <row r="50" spans="1:15" x14ac:dyDescent="0.3">
      <c r="A50" s="25" t="s">
        <v>110</v>
      </c>
      <c r="B50" s="25">
        <f>-D6/C6</f>
        <v>-0.660377358490566</v>
      </c>
      <c r="C50" s="25">
        <f>LOG(D6/C6)</f>
        <v>-0.18020782525051343</v>
      </c>
      <c r="D50" s="25">
        <f>C50/C51</f>
        <v>-0.59863743761823274</v>
      </c>
      <c r="E50" s="25">
        <f>B50*D50</f>
        <v>0.39532660974788952</v>
      </c>
      <c r="F50" s="25"/>
      <c r="G50" s="21"/>
      <c r="I50" s="25" t="s">
        <v>110</v>
      </c>
      <c r="J50" s="25">
        <f>-L9/K9</f>
        <v>-0.5</v>
      </c>
      <c r="K50" s="25">
        <f>LOG(L9/K9)</f>
        <v>-0.3010299956639812</v>
      </c>
      <c r="L50" s="25">
        <f>K50/K51</f>
        <v>-1</v>
      </c>
      <c r="M50" s="25">
        <f>J50*L50</f>
        <v>0.5</v>
      </c>
      <c r="N50" s="25"/>
      <c r="O50" s="21"/>
    </row>
    <row r="51" spans="1:15" x14ac:dyDescent="0.3">
      <c r="A51" s="25" t="s">
        <v>111</v>
      </c>
      <c r="B51" s="25"/>
      <c r="C51" s="25">
        <f>LOG(2)</f>
        <v>0.3010299956639812</v>
      </c>
      <c r="D51" s="25"/>
      <c r="E51" s="25"/>
      <c r="F51" s="25">
        <f>E50+E52</f>
        <v>0.92445714099649257</v>
      </c>
      <c r="G51" s="21"/>
      <c r="I51" s="25" t="s">
        <v>111</v>
      </c>
      <c r="J51" s="25"/>
      <c r="K51" s="25">
        <f>LOG(2)</f>
        <v>0.3010299956639812</v>
      </c>
      <c r="L51" s="25"/>
      <c r="M51" s="25"/>
      <c r="N51" s="25">
        <f>M50+M52</f>
        <v>1</v>
      </c>
      <c r="O51" s="21"/>
    </row>
    <row r="52" spans="1:15" x14ac:dyDescent="0.3">
      <c r="A52" s="25" t="s">
        <v>112</v>
      </c>
      <c r="B52" s="25">
        <f>-E6/C6</f>
        <v>-0.33962264150943394</v>
      </c>
      <c r="C52" s="25">
        <f>LOG(E6/C6)</f>
        <v>-0.46900336449748298</v>
      </c>
      <c r="D52" s="25">
        <f>C52/C51</f>
        <v>-1.5579954531208868</v>
      </c>
      <c r="E52" s="25">
        <f>B52*D52</f>
        <v>0.5291305312486031</v>
      </c>
      <c r="F52" s="25"/>
      <c r="G52" s="21"/>
      <c r="I52" s="25" t="s">
        <v>112</v>
      </c>
      <c r="J52" s="25">
        <f>-M9/K9</f>
        <v>-0.5</v>
      </c>
      <c r="K52" s="25">
        <f>LOG(M9/K9)</f>
        <v>-0.3010299956639812</v>
      </c>
      <c r="L52" s="25">
        <f>K52/K51</f>
        <v>-1</v>
      </c>
      <c r="M52" s="25">
        <f>J52*L52</f>
        <v>0.5</v>
      </c>
      <c r="N52" s="25"/>
      <c r="O52" s="21"/>
    </row>
    <row r="53" spans="1:15" x14ac:dyDescent="0.3">
      <c r="A53" s="39" t="s">
        <v>115</v>
      </c>
      <c r="B53" s="40"/>
      <c r="C53" s="40"/>
      <c r="D53" s="40"/>
      <c r="E53" s="40"/>
      <c r="F53" s="41"/>
      <c r="G53" s="21"/>
      <c r="I53" s="39" t="s">
        <v>117</v>
      </c>
      <c r="J53" s="40"/>
      <c r="K53" s="40"/>
      <c r="L53" s="40"/>
      <c r="M53" s="40"/>
      <c r="N53" s="41"/>
      <c r="O53" s="21"/>
    </row>
    <row r="54" spans="1:15" x14ac:dyDescent="0.3">
      <c r="A54" s="25" t="s">
        <v>110</v>
      </c>
      <c r="B54" s="25">
        <f>-D7/C7</f>
        <v>-0.6875</v>
      </c>
      <c r="C54" s="25">
        <f>LOG(D7/C7)</f>
        <v>-0.16272729749769974</v>
      </c>
      <c r="D54" s="25">
        <f>C54/C55</f>
        <v>-0.54056838136270269</v>
      </c>
      <c r="E54" s="25">
        <f>B54*D54</f>
        <v>0.3716407621868581</v>
      </c>
      <c r="F54" s="25"/>
      <c r="G54" s="21"/>
      <c r="I54" s="25" t="s">
        <v>110</v>
      </c>
      <c r="J54" s="25">
        <f>-L10/K10</f>
        <v>-0.5</v>
      </c>
      <c r="K54" s="25">
        <f>LOG(L10/K10)</f>
        <v>-0.3010299956639812</v>
      </c>
      <c r="L54" s="25">
        <f>K54/K55</f>
        <v>-1</v>
      </c>
      <c r="M54" s="25">
        <f>J54*L54</f>
        <v>0.5</v>
      </c>
      <c r="N54" s="25"/>
      <c r="O54" s="21"/>
    </row>
    <row r="55" spans="1:15" x14ac:dyDescent="0.3">
      <c r="A55" s="25" t="s">
        <v>111</v>
      </c>
      <c r="B55" s="25"/>
      <c r="C55" s="25">
        <f>LOG(2)</f>
        <v>0.3010299956639812</v>
      </c>
      <c r="D55" s="25"/>
      <c r="E55" s="25"/>
      <c r="F55" s="25">
        <f>E54+E56</f>
        <v>0.89603823253455728</v>
      </c>
      <c r="G55" s="21"/>
      <c r="I55" s="25" t="s">
        <v>111</v>
      </c>
      <c r="J55" s="25"/>
      <c r="K55" s="25">
        <f>LOG(2)</f>
        <v>0.3010299956639812</v>
      </c>
      <c r="L55" s="25"/>
      <c r="M55" s="25"/>
      <c r="N55" s="25">
        <f>M54+M56</f>
        <v>1</v>
      </c>
      <c r="O55" s="21"/>
    </row>
    <row r="56" spans="1:15" x14ac:dyDescent="0.3">
      <c r="A56" s="25" t="s">
        <v>112</v>
      </c>
      <c r="B56" s="25">
        <f>-E7/C7</f>
        <v>-0.3125</v>
      </c>
      <c r="C56" s="25">
        <f>LOG(E7/C7)</f>
        <v>-0.50514997831990593</v>
      </c>
      <c r="D56" s="25">
        <f>C56/C55</f>
        <v>-1.6780719051126376</v>
      </c>
      <c r="E56" s="25">
        <f>B56*D56</f>
        <v>0.52439747034769923</v>
      </c>
      <c r="F56" s="25"/>
      <c r="G56" s="21"/>
      <c r="I56" s="25" t="s">
        <v>112</v>
      </c>
      <c r="J56" s="25">
        <f>-M10/K10</f>
        <v>-0.5</v>
      </c>
      <c r="K56" s="25">
        <f>LOG(M10/K10)</f>
        <v>-0.3010299956639812</v>
      </c>
      <c r="L56" s="25">
        <f>K56/K55</f>
        <v>-1</v>
      </c>
      <c r="M56" s="25">
        <f>J56*L56</f>
        <v>0.5</v>
      </c>
      <c r="N56" s="25"/>
      <c r="O56" s="21"/>
    </row>
    <row r="57" spans="1:15" x14ac:dyDescent="0.3">
      <c r="A57" s="39" t="s">
        <v>116</v>
      </c>
      <c r="B57" s="40"/>
      <c r="C57" s="40"/>
      <c r="D57" s="40"/>
      <c r="E57" s="40"/>
      <c r="F57" s="41"/>
      <c r="G57" s="21"/>
      <c r="I57" s="39" t="s">
        <v>118</v>
      </c>
      <c r="J57" s="40"/>
      <c r="K57" s="40"/>
      <c r="L57" s="40"/>
      <c r="M57" s="40"/>
      <c r="N57" s="41"/>
      <c r="O57" s="21"/>
    </row>
    <row r="58" spans="1:15" x14ac:dyDescent="0.3">
      <c r="A58" s="25" t="s">
        <v>110</v>
      </c>
      <c r="B58" s="25">
        <f>-D9/C9</f>
        <v>-0.75</v>
      </c>
      <c r="C58" s="25">
        <f>LOG(D9/C9)</f>
        <v>-0.12493873660829995</v>
      </c>
      <c r="D58" s="25">
        <f>C58/C59</f>
        <v>-0.41503749927884381</v>
      </c>
      <c r="E58" s="25">
        <f>B58*D58</f>
        <v>0.31127812445913283</v>
      </c>
      <c r="F58" s="25"/>
      <c r="G58" s="21"/>
      <c r="I58" s="25" t="s">
        <v>110</v>
      </c>
      <c r="J58" s="25">
        <f>-L11/K11</f>
        <v>-0.25</v>
      </c>
      <c r="K58" s="25">
        <f>LOG(L11/K11)</f>
        <v>-0.6020599913279624</v>
      </c>
      <c r="L58" s="25">
        <f>K58/K59</f>
        <v>-2</v>
      </c>
      <c r="M58" s="25">
        <f>J58*L58</f>
        <v>0.5</v>
      </c>
      <c r="N58" s="25"/>
      <c r="O58" s="21"/>
    </row>
    <row r="59" spans="1:15" x14ac:dyDescent="0.3">
      <c r="A59" s="25" t="s">
        <v>111</v>
      </c>
      <c r="B59" s="25"/>
      <c r="C59" s="25">
        <f>LOG(2)</f>
        <v>0.3010299956639812</v>
      </c>
      <c r="D59" s="25"/>
      <c r="E59" s="25"/>
      <c r="F59" s="25">
        <f>E58+E60</f>
        <v>0.81127812445913283</v>
      </c>
      <c r="G59" s="21"/>
      <c r="I59" s="25" t="s">
        <v>111</v>
      </c>
      <c r="J59" s="25"/>
      <c r="K59" s="25">
        <f>LOG(2)</f>
        <v>0.3010299956639812</v>
      </c>
      <c r="L59" s="25"/>
      <c r="M59" s="25"/>
      <c r="N59" s="25">
        <f>M58+M60</f>
        <v>0.81127812445913283</v>
      </c>
      <c r="O59" s="21"/>
    </row>
    <row r="60" spans="1:15" x14ac:dyDescent="0.3">
      <c r="A60" s="25" t="s">
        <v>112</v>
      </c>
      <c r="B60" s="25">
        <f>-E9/C9</f>
        <v>-0.25</v>
      </c>
      <c r="C60" s="25">
        <f>LOG(E9/C9)</f>
        <v>-0.6020599913279624</v>
      </c>
      <c r="D60" s="25">
        <f>C60/C59</f>
        <v>-2</v>
      </c>
      <c r="E60" s="25">
        <f>B60*D60</f>
        <v>0.5</v>
      </c>
      <c r="F60" s="25"/>
      <c r="G60" s="21"/>
      <c r="I60" s="25" t="s">
        <v>112</v>
      </c>
      <c r="J60" s="25">
        <f>-M11/K11</f>
        <v>-0.75</v>
      </c>
      <c r="K60" s="25">
        <f>LOG(M11/K11)</f>
        <v>-0.12493873660829995</v>
      </c>
      <c r="L60" s="25">
        <f>K60/K59</f>
        <v>-0.41503749927884381</v>
      </c>
      <c r="M60" s="25">
        <f>J60*L60</f>
        <v>0.31127812445913283</v>
      </c>
      <c r="N60" s="25"/>
      <c r="O60" s="21"/>
    </row>
    <row r="61" spans="1:15" x14ac:dyDescent="0.3">
      <c r="A61" s="39" t="s">
        <v>117</v>
      </c>
      <c r="B61" s="40"/>
      <c r="C61" s="40"/>
      <c r="D61" s="40"/>
      <c r="E61" s="40"/>
      <c r="F61" s="41"/>
      <c r="G61" s="21"/>
      <c r="I61" s="39" t="s">
        <v>119</v>
      </c>
      <c r="J61" s="40"/>
      <c r="K61" s="40"/>
      <c r="L61" s="40"/>
      <c r="M61" s="40"/>
      <c r="N61" s="41"/>
      <c r="O61" s="21"/>
    </row>
    <row r="62" spans="1:15" x14ac:dyDescent="0.3">
      <c r="A62" s="25" t="s">
        <v>110</v>
      </c>
      <c r="B62" s="25">
        <f>-D10/C10</f>
        <v>-0.5</v>
      </c>
      <c r="C62" s="25">
        <f>LOG(D10/C10)</f>
        <v>-0.3010299956639812</v>
      </c>
      <c r="D62" s="25">
        <f>C62/C63</f>
        <v>-1</v>
      </c>
      <c r="E62" s="25">
        <f>B62*D62</f>
        <v>0.5</v>
      </c>
      <c r="F62" s="25"/>
      <c r="G62" s="21"/>
      <c r="I62" s="25" t="s">
        <v>110</v>
      </c>
      <c r="J62" s="25">
        <f>-L12/K12</f>
        <v>-0.83333333333333337</v>
      </c>
      <c r="K62" s="25">
        <f>LOG(L12/K12)</f>
        <v>-7.9181246047624804E-2</v>
      </c>
      <c r="L62" s="25">
        <f>K62/K63</f>
        <v>-0.26303440583379373</v>
      </c>
      <c r="M62" s="25">
        <f>J62*L62</f>
        <v>0.21919533819482812</v>
      </c>
      <c r="N62" s="25"/>
      <c r="O62" s="21"/>
    </row>
    <row r="63" spans="1:15" x14ac:dyDescent="0.3">
      <c r="A63" s="25" t="s">
        <v>111</v>
      </c>
      <c r="B63" s="25"/>
      <c r="C63" s="25">
        <f>LOG(2)</f>
        <v>0.3010299956639812</v>
      </c>
      <c r="D63" s="25"/>
      <c r="E63" s="25"/>
      <c r="F63" s="25">
        <f>E62+E64</f>
        <v>1</v>
      </c>
      <c r="G63" s="21"/>
      <c r="I63" s="25" t="s">
        <v>111</v>
      </c>
      <c r="J63" s="25"/>
      <c r="K63" s="25">
        <f>LOG(2)</f>
        <v>0.3010299956639812</v>
      </c>
      <c r="L63" s="25"/>
      <c r="M63" s="25"/>
      <c r="N63" s="25">
        <f>M62+M64</f>
        <v>0.65002242164835411</v>
      </c>
      <c r="O63" s="21"/>
    </row>
    <row r="64" spans="1:15" x14ac:dyDescent="0.3">
      <c r="A64" s="25" t="s">
        <v>112</v>
      </c>
      <c r="B64" s="25">
        <f>-E10/C10</f>
        <v>-0.5</v>
      </c>
      <c r="C64" s="25">
        <f>LOG(E10/C10)</f>
        <v>-0.3010299956639812</v>
      </c>
      <c r="D64" s="25">
        <f>C64/C63</f>
        <v>-1</v>
      </c>
      <c r="E64" s="25">
        <f>B64*D64</f>
        <v>0.5</v>
      </c>
      <c r="F64" s="25"/>
      <c r="G64" s="21"/>
      <c r="I64" s="25" t="s">
        <v>112</v>
      </c>
      <c r="J64" s="25">
        <f>-M12/K12</f>
        <v>-0.16666666666666666</v>
      </c>
      <c r="K64" s="25">
        <f>LOG(M12/K12)</f>
        <v>-0.77815125038364363</v>
      </c>
      <c r="L64" s="25">
        <f>K64/K63</f>
        <v>-2.5849625007211561</v>
      </c>
      <c r="M64" s="25">
        <f>J64*L64</f>
        <v>0.43082708345352599</v>
      </c>
      <c r="N64" s="25"/>
      <c r="O64" s="21"/>
    </row>
    <row r="65" spans="1:15" x14ac:dyDescent="0.3">
      <c r="A65" s="39" t="s">
        <v>118</v>
      </c>
      <c r="B65" s="40"/>
      <c r="C65" s="40"/>
      <c r="D65" s="40"/>
      <c r="E65" s="40"/>
      <c r="F65" s="41"/>
      <c r="G65" s="21"/>
      <c r="I65" s="39" t="s">
        <v>120</v>
      </c>
      <c r="J65" s="40"/>
      <c r="K65" s="40"/>
      <c r="L65" s="40"/>
      <c r="M65" s="40"/>
      <c r="N65" s="41"/>
      <c r="O65" s="21"/>
    </row>
    <row r="66" spans="1:15" x14ac:dyDescent="0.3">
      <c r="A66" s="25" t="s">
        <v>110</v>
      </c>
      <c r="B66" s="25">
        <f>-D11/C11</f>
        <v>-0.5</v>
      </c>
      <c r="C66" s="25">
        <f>LOG(D11/C11)</f>
        <v>-0.3010299956639812</v>
      </c>
      <c r="D66" s="25">
        <f>C66/C67</f>
        <v>-1</v>
      </c>
      <c r="E66" s="25">
        <f>B66*D66</f>
        <v>0.5</v>
      </c>
      <c r="F66" s="25"/>
      <c r="G66" s="21"/>
      <c r="I66" s="25" t="s">
        <v>110</v>
      </c>
      <c r="J66" s="25">
        <f>-L13/K13</f>
        <v>-0.5</v>
      </c>
      <c r="K66" s="25">
        <f>LOG(L13/K13)</f>
        <v>-0.3010299956639812</v>
      </c>
      <c r="L66" s="25">
        <f>K66/K67</f>
        <v>-1</v>
      </c>
      <c r="M66" s="25">
        <f>J66*L66</f>
        <v>0.5</v>
      </c>
      <c r="N66" s="25"/>
      <c r="O66" s="21"/>
    </row>
    <row r="67" spans="1:15" x14ac:dyDescent="0.3">
      <c r="A67" s="25" t="s">
        <v>111</v>
      </c>
      <c r="B67" s="25"/>
      <c r="C67" s="25">
        <f>LOG(2)</f>
        <v>0.3010299956639812</v>
      </c>
      <c r="D67" s="25"/>
      <c r="E67" s="25"/>
      <c r="F67" s="25">
        <f>E66+E68</f>
        <v>1</v>
      </c>
      <c r="G67" s="21"/>
      <c r="I67" s="25" t="s">
        <v>111</v>
      </c>
      <c r="J67" s="25"/>
      <c r="K67" s="25">
        <f>LOG(2)</f>
        <v>0.3010299956639812</v>
      </c>
      <c r="L67" s="25"/>
      <c r="M67" s="25"/>
      <c r="N67" s="25">
        <f>M66+M68</f>
        <v>1</v>
      </c>
      <c r="O67" s="21"/>
    </row>
    <row r="68" spans="1:15" x14ac:dyDescent="0.3">
      <c r="A68" s="25" t="s">
        <v>112</v>
      </c>
      <c r="B68" s="25">
        <f>-E11/C11</f>
        <v>-0.5</v>
      </c>
      <c r="C68" s="25">
        <f>LOG(E11/C11)</f>
        <v>-0.3010299956639812</v>
      </c>
      <c r="D68" s="25">
        <f>C68/C67</f>
        <v>-1</v>
      </c>
      <c r="E68" s="25">
        <f>B68*D68</f>
        <v>0.5</v>
      </c>
      <c r="F68" s="25"/>
      <c r="G68" s="21"/>
      <c r="I68" s="25" t="s">
        <v>112</v>
      </c>
      <c r="J68" s="25">
        <f>-M13/K13</f>
        <v>-0.5</v>
      </c>
      <c r="K68" s="25">
        <f>LOG(M13/K13)</f>
        <v>-0.3010299956639812</v>
      </c>
      <c r="L68" s="25">
        <f>K68/K67</f>
        <v>-1</v>
      </c>
      <c r="M68" s="25">
        <f>J68*L68</f>
        <v>0.5</v>
      </c>
      <c r="N68" s="25"/>
      <c r="O68" s="21"/>
    </row>
    <row r="69" spans="1:15" x14ac:dyDescent="0.3">
      <c r="A69" s="39" t="s">
        <v>119</v>
      </c>
      <c r="B69" s="40"/>
      <c r="C69" s="40"/>
      <c r="D69" s="40"/>
      <c r="E69" s="40"/>
      <c r="F69" s="41"/>
      <c r="G69" s="21"/>
      <c r="I69" s="39" t="s">
        <v>121</v>
      </c>
      <c r="J69" s="40"/>
      <c r="K69" s="40"/>
      <c r="L69" s="40"/>
      <c r="M69" s="40"/>
      <c r="N69" s="41"/>
      <c r="O69" s="21"/>
    </row>
    <row r="70" spans="1:15" x14ac:dyDescent="0.3">
      <c r="A70" s="25" t="s">
        <v>110</v>
      </c>
      <c r="B70" s="25">
        <f>-D12/C12</f>
        <v>-0.82857142857142863</v>
      </c>
      <c r="C70" s="25">
        <f>LOG(D12/C12)</f>
        <v>-8.167004645131952E-2</v>
      </c>
      <c r="D70" s="25">
        <f>C70/C71</f>
        <v>-0.27130202181739421</v>
      </c>
      <c r="E70" s="25">
        <f>B70*D70</f>
        <v>0.22479310379155523</v>
      </c>
      <c r="F70" s="25"/>
      <c r="G70" s="21"/>
      <c r="I70" s="25" t="s">
        <v>110</v>
      </c>
      <c r="J70" s="25">
        <f>-L14/K14</f>
        <v>-0.5</v>
      </c>
      <c r="K70" s="25">
        <f>LOG(L14/K14)</f>
        <v>-0.3010299956639812</v>
      </c>
      <c r="L70" s="25">
        <f>K70/K71</f>
        <v>-1</v>
      </c>
      <c r="M70" s="25">
        <f>J70*L70</f>
        <v>0.5</v>
      </c>
      <c r="N70" s="25"/>
      <c r="O70" s="21"/>
    </row>
    <row r="71" spans="1:15" x14ac:dyDescent="0.3">
      <c r="A71" s="25" t="s">
        <v>111</v>
      </c>
      <c r="B71" s="25"/>
      <c r="C71" s="25">
        <f>LOG(2)</f>
        <v>0.3010299956639812</v>
      </c>
      <c r="D71" s="25"/>
      <c r="E71" s="25"/>
      <c r="F71" s="25">
        <f>E70+E72</f>
        <v>0.66096233514420843</v>
      </c>
      <c r="G71" s="21"/>
      <c r="I71" s="25" t="s">
        <v>111</v>
      </c>
      <c r="J71" s="25"/>
      <c r="K71" s="25">
        <f>LOG(2)</f>
        <v>0.3010299956639812</v>
      </c>
      <c r="L71" s="25"/>
      <c r="M71" s="25"/>
      <c r="N71" s="25">
        <f>M70+M72</f>
        <v>1</v>
      </c>
      <c r="O71" s="21"/>
    </row>
    <row r="72" spans="1:15" x14ac:dyDescent="0.3">
      <c r="A72" s="25" t="s">
        <v>112</v>
      </c>
      <c r="B72" s="25">
        <f>-E12/C12</f>
        <v>-0.17142857142857143</v>
      </c>
      <c r="C72" s="25">
        <f>LOG(E12/C12)</f>
        <v>-0.76591679396663204</v>
      </c>
      <c r="D72" s="25">
        <f>C72/C71</f>
        <v>-2.5443205162238103</v>
      </c>
      <c r="E72" s="25">
        <f>B72*D72</f>
        <v>0.43616923135265318</v>
      </c>
      <c r="F72" s="25"/>
      <c r="G72" s="21"/>
      <c r="I72" s="25" t="s">
        <v>112</v>
      </c>
      <c r="J72" s="25">
        <f>-M14/K14</f>
        <v>-0.5</v>
      </c>
      <c r="K72" s="25">
        <f>LOG(M14/K14)</f>
        <v>-0.3010299956639812</v>
      </c>
      <c r="L72" s="25">
        <f>K72/K71</f>
        <v>-1</v>
      </c>
      <c r="M72" s="25">
        <f>J72*L72</f>
        <v>0.5</v>
      </c>
      <c r="N72" s="25"/>
      <c r="O72" s="21"/>
    </row>
    <row r="73" spans="1:15" x14ac:dyDescent="0.3">
      <c r="A73" s="39" t="s">
        <v>120</v>
      </c>
      <c r="B73" s="40"/>
      <c r="C73" s="40"/>
      <c r="D73" s="40"/>
      <c r="E73" s="40"/>
      <c r="F73" s="41"/>
      <c r="G73" s="21"/>
      <c r="I73" s="39" t="s">
        <v>122</v>
      </c>
      <c r="J73" s="40"/>
      <c r="K73" s="40"/>
      <c r="L73" s="40"/>
      <c r="M73" s="40"/>
      <c r="N73" s="41"/>
      <c r="O73" s="21"/>
    </row>
    <row r="74" spans="1:15" x14ac:dyDescent="0.3">
      <c r="A74" s="25" t="s">
        <v>110</v>
      </c>
      <c r="B74" s="25">
        <f>-D13/C13</f>
        <v>-0.5</v>
      </c>
      <c r="C74" s="25">
        <f>LOG(D13/C13)</f>
        <v>-0.3010299956639812</v>
      </c>
      <c r="D74" s="25">
        <f>C74/C75</f>
        <v>-1</v>
      </c>
      <c r="E74" s="25">
        <f>B74*D74</f>
        <v>0.5</v>
      </c>
      <c r="F74" s="25"/>
      <c r="G74" s="21"/>
      <c r="I74" s="25" t="s">
        <v>110</v>
      </c>
      <c r="J74" s="25">
        <f>-L15/K15</f>
        <v>-0.75</v>
      </c>
      <c r="K74" s="25">
        <f>LOG(L15/K15)</f>
        <v>-0.12493873660829995</v>
      </c>
      <c r="L74" s="25">
        <f>K74/K75</f>
        <v>-0.41503749927884381</v>
      </c>
      <c r="M74" s="25">
        <f>J74*L74</f>
        <v>0.31127812445913283</v>
      </c>
      <c r="N74" s="25"/>
      <c r="O74" s="21"/>
    </row>
    <row r="75" spans="1:15" x14ac:dyDescent="0.3">
      <c r="A75" s="25" t="s">
        <v>111</v>
      </c>
      <c r="B75" s="25"/>
      <c r="C75" s="25">
        <f>LOG(2)</f>
        <v>0.3010299956639812</v>
      </c>
      <c r="D75" s="25"/>
      <c r="E75" s="25"/>
      <c r="F75" s="25">
        <f>E74+E76</f>
        <v>1</v>
      </c>
      <c r="G75" s="21"/>
      <c r="I75" s="25" t="s">
        <v>111</v>
      </c>
      <c r="J75" s="25"/>
      <c r="K75" s="25">
        <f>LOG(2)</f>
        <v>0.3010299956639812</v>
      </c>
      <c r="L75" s="25"/>
      <c r="M75" s="25"/>
      <c r="N75" s="25">
        <f>M74+M76</f>
        <v>0.81127812445913283</v>
      </c>
      <c r="O75" s="21"/>
    </row>
    <row r="76" spans="1:15" x14ac:dyDescent="0.3">
      <c r="A76" s="25" t="s">
        <v>112</v>
      </c>
      <c r="B76" s="25">
        <f>-E13/C13</f>
        <v>-0.5</v>
      </c>
      <c r="C76" s="25">
        <f>LOG(E13/C13)</f>
        <v>-0.3010299956639812</v>
      </c>
      <c r="D76" s="25">
        <f>C76/C75</f>
        <v>-1</v>
      </c>
      <c r="E76" s="25">
        <f>B76*D76</f>
        <v>0.5</v>
      </c>
      <c r="F76" s="25"/>
      <c r="G76" s="21"/>
      <c r="I76" s="25" t="s">
        <v>112</v>
      </c>
      <c r="J76" s="25">
        <f>-M15/K15</f>
        <v>-0.25</v>
      </c>
      <c r="K76" s="25">
        <f>LOG(M15/K15)</f>
        <v>-0.6020599913279624</v>
      </c>
      <c r="L76" s="25">
        <f>K76/K75</f>
        <v>-2</v>
      </c>
      <c r="M76" s="25">
        <f>J76*L76</f>
        <v>0.5</v>
      </c>
      <c r="N76" s="25"/>
      <c r="O76" s="21"/>
    </row>
    <row r="77" spans="1:15" x14ac:dyDescent="0.3">
      <c r="A77" s="39" t="s">
        <v>121</v>
      </c>
      <c r="B77" s="40"/>
      <c r="C77" s="40"/>
      <c r="D77" s="40"/>
      <c r="E77" s="40"/>
      <c r="F77" s="41"/>
      <c r="G77" s="21"/>
      <c r="I77" s="39" t="s">
        <v>123</v>
      </c>
      <c r="J77" s="40"/>
      <c r="K77" s="40"/>
      <c r="L77" s="40"/>
      <c r="M77" s="40"/>
      <c r="N77" s="41"/>
      <c r="O77" s="21"/>
    </row>
    <row r="78" spans="1:15" x14ac:dyDescent="0.3">
      <c r="A78" s="25" t="s">
        <v>110</v>
      </c>
      <c r="B78" s="25">
        <f>-D14/C14</f>
        <v>-0.5</v>
      </c>
      <c r="C78" s="25">
        <f>LOG(D14/C14)</f>
        <v>-0.3010299956639812</v>
      </c>
      <c r="D78" s="25">
        <f>C78/C79</f>
        <v>-1</v>
      </c>
      <c r="E78" s="25">
        <f>B78*D78</f>
        <v>0.5</v>
      </c>
      <c r="F78" s="25"/>
      <c r="G78" s="21"/>
      <c r="I78" s="25" t="s">
        <v>110</v>
      </c>
      <c r="J78" s="25">
        <f>-L17/K17</f>
        <v>-0.72307692307692306</v>
      </c>
      <c r="K78" s="25">
        <f>LOG(L17/K17)</f>
        <v>-0.14081549870713811</v>
      </c>
      <c r="L78" s="25">
        <f>K78/K79</f>
        <v>-0.46777896135081715</v>
      </c>
      <c r="M78" s="25">
        <f>J78*L78</f>
        <v>0.3382401720536678</v>
      </c>
      <c r="N78" s="25"/>
      <c r="O78" s="21"/>
    </row>
    <row r="79" spans="1:15" x14ac:dyDescent="0.3">
      <c r="A79" s="25" t="s">
        <v>111</v>
      </c>
      <c r="B79" s="25"/>
      <c r="C79" s="25">
        <f>LOG(2)</f>
        <v>0.3010299956639812</v>
      </c>
      <c r="D79" s="25"/>
      <c r="E79" s="25"/>
      <c r="F79" s="25">
        <f>E78+E80</f>
        <v>1</v>
      </c>
      <c r="G79" s="21"/>
      <c r="I79" s="25" t="s">
        <v>111</v>
      </c>
      <c r="J79" s="25"/>
      <c r="K79" s="25">
        <f>LOG(2)</f>
        <v>0.3010299956639812</v>
      </c>
      <c r="L79" s="25"/>
      <c r="M79" s="25"/>
      <c r="N79" s="25">
        <f>M78+M80</f>
        <v>0.85122433526213781</v>
      </c>
      <c r="O79" s="21"/>
    </row>
    <row r="80" spans="1:15" x14ac:dyDescent="0.3">
      <c r="A80" s="25" t="s">
        <v>112</v>
      </c>
      <c r="B80" s="25">
        <f>-E14/C14</f>
        <v>-0.5</v>
      </c>
      <c r="C80" s="25">
        <f>LOG(E14/C14)</f>
        <v>-0.3010299956639812</v>
      </c>
      <c r="D80" s="25">
        <f>C80/C79</f>
        <v>-1</v>
      </c>
      <c r="E80" s="25">
        <f>B80*D80</f>
        <v>0.5</v>
      </c>
      <c r="F80" s="25"/>
      <c r="G80" s="21"/>
      <c r="I80" s="25" t="s">
        <v>112</v>
      </c>
      <c r="J80" s="25">
        <f>-M17/K17</f>
        <v>-0.27692307692307694</v>
      </c>
      <c r="K80" s="25">
        <f>LOG(M17/K17)</f>
        <v>-0.55764085153954945</v>
      </c>
      <c r="L80" s="25">
        <f>K80/K79</f>
        <v>-1.852442811586142</v>
      </c>
      <c r="M80" s="25">
        <f>J80*L80</f>
        <v>0.51298416320847007</v>
      </c>
      <c r="N80" s="25"/>
      <c r="O80" s="21"/>
    </row>
    <row r="81" spans="1:15" x14ac:dyDescent="0.3">
      <c r="A81" s="39" t="s">
        <v>122</v>
      </c>
      <c r="B81" s="40"/>
      <c r="C81" s="40"/>
      <c r="D81" s="40"/>
      <c r="E81" s="40"/>
      <c r="F81" s="41"/>
      <c r="G81" s="21"/>
      <c r="I81" s="39" t="s">
        <v>124</v>
      </c>
      <c r="J81" s="40"/>
      <c r="K81" s="40"/>
      <c r="L81" s="40"/>
      <c r="M81" s="40"/>
      <c r="N81" s="41"/>
      <c r="O81" s="21"/>
    </row>
    <row r="82" spans="1:15" x14ac:dyDescent="0.3">
      <c r="A82" s="25" t="s">
        <v>110</v>
      </c>
      <c r="B82" s="25">
        <f>-D15/C15</f>
        <v>-0.75</v>
      </c>
      <c r="C82" s="25">
        <f>LOG(D15/C15)</f>
        <v>-0.12493873660829995</v>
      </c>
      <c r="D82" s="25">
        <f>C82/C83</f>
        <v>-0.41503749927884381</v>
      </c>
      <c r="E82" s="25">
        <f>B82*D82</f>
        <v>0.31127812445913283</v>
      </c>
      <c r="F82" s="25"/>
      <c r="G82" s="21"/>
      <c r="I82" s="25" t="s">
        <v>110</v>
      </c>
      <c r="J82" s="25">
        <f>-L18/K18</f>
        <v>-0.81818181818181823</v>
      </c>
      <c r="K82" s="25">
        <f>LOG(L18/K18)</f>
        <v>-8.7150175718900144E-2</v>
      </c>
      <c r="L82" s="25">
        <f>K82/K83</f>
        <v>-0.28950661719498483</v>
      </c>
      <c r="M82" s="25">
        <f>J82*L82</f>
        <v>0.23686905043226034</v>
      </c>
      <c r="N82" s="25"/>
      <c r="O82" s="21"/>
    </row>
    <row r="83" spans="1:15" x14ac:dyDescent="0.3">
      <c r="A83" s="25" t="s">
        <v>111</v>
      </c>
      <c r="B83" s="25"/>
      <c r="C83" s="25">
        <f>LOG(2)</f>
        <v>0.3010299956639812</v>
      </c>
      <c r="D83" s="25"/>
      <c r="E83" s="25"/>
      <c r="F83" s="25">
        <f>E82+E84</f>
        <v>0.81127812445913283</v>
      </c>
      <c r="G83" s="21"/>
      <c r="I83" s="25" t="s">
        <v>111</v>
      </c>
      <c r="J83" s="25"/>
      <c r="K83" s="25">
        <f>LOG(2)</f>
        <v>0.3010299956639812</v>
      </c>
      <c r="L83" s="25"/>
      <c r="M83" s="25"/>
      <c r="N83" s="25">
        <f>M82+M84</f>
        <v>0.68403843563904165</v>
      </c>
      <c r="O83" s="21"/>
    </row>
    <row r="84" spans="1:15" x14ac:dyDescent="0.3">
      <c r="A84" s="25" t="s">
        <v>112</v>
      </c>
      <c r="B84" s="25">
        <f>-E15/C15</f>
        <v>-0.25</v>
      </c>
      <c r="C84" s="25">
        <f>LOG(E15/C15)</f>
        <v>-0.6020599913279624</v>
      </c>
      <c r="D84" s="25">
        <f>C84/C83</f>
        <v>-2</v>
      </c>
      <c r="E84" s="25">
        <f>B84*D84</f>
        <v>0.5</v>
      </c>
      <c r="F84" s="25"/>
      <c r="G84" s="21"/>
      <c r="I84" s="25" t="s">
        <v>112</v>
      </c>
      <c r="J84" s="25">
        <f>-M18/K18</f>
        <v>-0.18181818181818182</v>
      </c>
      <c r="K84" s="25">
        <f>LOG(M18/K18)</f>
        <v>-0.74036268949424389</v>
      </c>
      <c r="L84" s="25">
        <f>K84/K83</f>
        <v>-2.4594316186372973</v>
      </c>
      <c r="M84" s="25">
        <f>J84*L84</f>
        <v>0.44716938520678134</v>
      </c>
      <c r="N84" s="25"/>
      <c r="O84" s="21"/>
    </row>
    <row r="85" spans="1:15" x14ac:dyDescent="0.3">
      <c r="A85" s="39" t="s">
        <v>123</v>
      </c>
      <c r="B85" s="40"/>
      <c r="C85" s="40"/>
      <c r="D85" s="40"/>
      <c r="E85" s="40"/>
      <c r="F85" s="41"/>
      <c r="G85" s="21"/>
      <c r="I85" s="42" t="s">
        <v>125</v>
      </c>
      <c r="J85" s="43"/>
      <c r="K85" s="43"/>
      <c r="L85" s="43"/>
      <c r="M85" s="43"/>
      <c r="N85" s="44"/>
    </row>
    <row r="86" spans="1:15" x14ac:dyDescent="0.3">
      <c r="A86" s="25" t="s">
        <v>110</v>
      </c>
      <c r="B86" s="25">
        <f>-D17/C17</f>
        <v>-0.7441860465116279</v>
      </c>
      <c r="C86" s="25">
        <f>LOG(D17/C17)</f>
        <v>-0.12831847725968057</v>
      </c>
      <c r="D86" s="25">
        <f>C86/C87</f>
        <v>-0.42626475470209801</v>
      </c>
      <c r="E86" s="25">
        <f>B86*D86</f>
        <v>0.31722028256900314</v>
      </c>
      <c r="F86" s="25"/>
      <c r="G86" s="21"/>
      <c r="I86" s="29" t="s">
        <v>110</v>
      </c>
      <c r="J86" s="29">
        <f>-L20/K20</f>
        <v>-0.58823529411764708</v>
      </c>
      <c r="K86" s="29">
        <f>LOG(L20/K20)</f>
        <v>-0.23044892137827391</v>
      </c>
      <c r="L86" s="29">
        <f>K86/K87</f>
        <v>-0.76553474636297703</v>
      </c>
      <c r="M86" s="29">
        <f>J86*L86</f>
        <v>0.45031455668410414</v>
      </c>
      <c r="N86" s="29"/>
    </row>
    <row r="87" spans="1:15" x14ac:dyDescent="0.3">
      <c r="A87" s="25" t="s">
        <v>111</v>
      </c>
      <c r="B87" s="25"/>
      <c r="C87" s="25">
        <f>LOG(2)</f>
        <v>0.3010299956639812</v>
      </c>
      <c r="D87" s="25"/>
      <c r="E87" s="25"/>
      <c r="F87" s="25">
        <f>E86+E88</f>
        <v>0.82036364295767317</v>
      </c>
      <c r="G87" s="21"/>
      <c r="I87" s="30" t="s">
        <v>111</v>
      </c>
      <c r="J87" s="31"/>
      <c r="K87" s="30">
        <f>LOG(2)</f>
        <v>0.3010299956639812</v>
      </c>
      <c r="L87" s="32"/>
      <c r="M87" s="31"/>
      <c r="N87" s="29">
        <f>M86+M88</f>
        <v>0.97741781752817158</v>
      </c>
    </row>
    <row r="88" spans="1:15" x14ac:dyDescent="0.3">
      <c r="A88" s="25" t="s">
        <v>112</v>
      </c>
      <c r="B88" s="25">
        <f>-E17/C17</f>
        <v>-0.2558139534883721</v>
      </c>
      <c r="C88" s="25">
        <f>LOG(E17/C17)</f>
        <v>-0.5920757704213615</v>
      </c>
      <c r="D88" s="25">
        <f>C88/C87</f>
        <v>-1.9668331360648008</v>
      </c>
      <c r="E88" s="25">
        <f>B88*D88</f>
        <v>0.50314336038867002</v>
      </c>
      <c r="F88" s="25"/>
      <c r="G88" s="21"/>
      <c r="I88" s="29" t="s">
        <v>112</v>
      </c>
      <c r="J88" s="29">
        <f>-M20/K20</f>
        <v>-0.41176470588235292</v>
      </c>
      <c r="K88" s="29">
        <f>LOG(M20/K20)</f>
        <v>-0.38535088136401713</v>
      </c>
      <c r="L88" s="29">
        <f>K88/K87</f>
        <v>-1.2801079191927354</v>
      </c>
      <c r="M88" s="29">
        <f>J88*L88</f>
        <v>0.52710326084406744</v>
      </c>
      <c r="N88" s="29"/>
    </row>
    <row r="89" spans="1:15" x14ac:dyDescent="0.3">
      <c r="A89" s="39" t="s">
        <v>124</v>
      </c>
      <c r="B89" s="40"/>
      <c r="C89" s="40"/>
      <c r="D89" s="40"/>
      <c r="E89" s="40"/>
      <c r="F89" s="41"/>
      <c r="G89" s="21"/>
      <c r="I89" s="39" t="s">
        <v>126</v>
      </c>
      <c r="J89" s="40"/>
      <c r="K89" s="40"/>
      <c r="L89" s="40"/>
      <c r="M89" s="40"/>
      <c r="N89" s="41"/>
    </row>
    <row r="90" spans="1:15" x14ac:dyDescent="0.3">
      <c r="A90" s="25" t="s">
        <v>110</v>
      </c>
      <c r="B90" s="25">
        <f>-D18/C18</f>
        <v>-0.7857142857142857</v>
      </c>
      <c r="C90" s="25">
        <f>LOG(D18/C18)</f>
        <v>-0.104735350520013</v>
      </c>
      <c r="D90" s="25">
        <f>C90/C91</f>
        <v>-0.34792330342030686</v>
      </c>
      <c r="E90" s="25">
        <f>B90*D90</f>
        <v>0.27336830983024107</v>
      </c>
      <c r="F90" s="25"/>
      <c r="G90" s="21"/>
      <c r="I90" s="25" t="s">
        <v>110</v>
      </c>
      <c r="J90" s="25">
        <f>-L21/K21</f>
        <v>-0.7</v>
      </c>
      <c r="K90" s="25">
        <f>LOG(L21/K21)</f>
        <v>-0.15490195998574319</v>
      </c>
      <c r="L90" s="25">
        <f>K90/K91</f>
        <v>-0.51457317282975834</v>
      </c>
      <c r="M90" s="25">
        <f>J90*L90</f>
        <v>0.36020122098083079</v>
      </c>
      <c r="N90" s="25"/>
    </row>
    <row r="91" spans="1:15" x14ac:dyDescent="0.3">
      <c r="A91" s="25" t="s">
        <v>111</v>
      </c>
      <c r="B91" s="25"/>
      <c r="C91" s="25">
        <f>LOG(2)</f>
        <v>0.3010299956639812</v>
      </c>
      <c r="D91" s="25"/>
      <c r="E91" s="25"/>
      <c r="F91" s="25">
        <f>E90+E92</f>
        <v>0.74959525725947984</v>
      </c>
      <c r="G91" s="21"/>
      <c r="I91" s="26" t="s">
        <v>111</v>
      </c>
      <c r="J91" s="27"/>
      <c r="K91" s="26">
        <f>LOG(2)</f>
        <v>0.3010299956639812</v>
      </c>
      <c r="L91" s="28"/>
      <c r="M91" s="27"/>
      <c r="N91" s="25">
        <f>M90+M92</f>
        <v>0.8812908992306927</v>
      </c>
    </row>
    <row r="92" spans="1:15" x14ac:dyDescent="0.3">
      <c r="A92" s="25" t="s">
        <v>112</v>
      </c>
      <c r="B92" s="25">
        <f>-E18/C18</f>
        <v>-0.21428571428571427</v>
      </c>
      <c r="C92" s="25">
        <f>LOG(E18/C18)</f>
        <v>-0.66900678095857558</v>
      </c>
      <c r="D92" s="25">
        <f>C92/C91</f>
        <v>-2.2223924213364477</v>
      </c>
      <c r="E92" s="25">
        <f>B92*D92</f>
        <v>0.47622694742923877</v>
      </c>
      <c r="F92" s="25"/>
      <c r="G92" s="21"/>
      <c r="I92" s="25" t="s">
        <v>112</v>
      </c>
      <c r="J92" s="25">
        <f>-M21/K21</f>
        <v>-0.3</v>
      </c>
      <c r="K92" s="25">
        <f>LOG(M21/K21)</f>
        <v>-0.52287874528033762</v>
      </c>
      <c r="L92" s="25">
        <f>K92/K91</f>
        <v>-1.7369655941662063</v>
      </c>
      <c r="M92" s="25">
        <f>J92*L92</f>
        <v>0.52108967824986185</v>
      </c>
      <c r="N92" s="25"/>
    </row>
    <row r="93" spans="1:15" x14ac:dyDescent="0.3">
      <c r="A93" s="42" t="s">
        <v>125</v>
      </c>
      <c r="B93" s="43"/>
      <c r="C93" s="43"/>
      <c r="D93" s="43"/>
      <c r="E93" s="43"/>
      <c r="F93" s="44"/>
      <c r="I93" s="39" t="s">
        <v>127</v>
      </c>
      <c r="J93" s="40"/>
      <c r="K93" s="40"/>
      <c r="L93" s="40"/>
      <c r="M93" s="40"/>
      <c r="N93" s="41"/>
    </row>
    <row r="94" spans="1:15" x14ac:dyDescent="0.3">
      <c r="A94" s="29" t="s">
        <v>110</v>
      </c>
      <c r="B94" s="29">
        <f>-D20/C20</f>
        <v>-0.58823529411764708</v>
      </c>
      <c r="C94" s="29">
        <f>LOG(D20/C20)</f>
        <v>-0.23044892137827391</v>
      </c>
      <c r="D94" s="29">
        <f>C94/C95</f>
        <v>-0.76553474636297703</v>
      </c>
      <c r="E94" s="29">
        <f>B94*D94</f>
        <v>0.45031455668410414</v>
      </c>
      <c r="F94" s="29"/>
      <c r="I94" s="25" t="s">
        <v>110</v>
      </c>
      <c r="J94" s="25">
        <f>-L22/K22</f>
        <v>-0.86206896551724133</v>
      </c>
      <c r="K94" s="25">
        <f>LOG(L22/K22)</f>
        <v>-6.4457989226918505E-2</v>
      </c>
      <c r="L94" s="25">
        <f t="shared" ref="L94" si="0">K94/K95</f>
        <v>-0.2141248053528475</v>
      </c>
      <c r="M94" s="25">
        <f t="shared" ref="M94" si="1">J94*L94</f>
        <v>0.18459034944210989</v>
      </c>
      <c r="N94" s="25"/>
    </row>
    <row r="95" spans="1:15" x14ac:dyDescent="0.3">
      <c r="A95" s="30" t="s">
        <v>111</v>
      </c>
      <c r="B95" s="31"/>
      <c r="C95" s="30">
        <f>LOG(2)</f>
        <v>0.3010299956639812</v>
      </c>
      <c r="D95" s="32"/>
      <c r="E95" s="31"/>
      <c r="F95" s="29">
        <f>E94+E96</f>
        <v>0.97741781752817158</v>
      </c>
      <c r="I95" s="26" t="s">
        <v>111</v>
      </c>
      <c r="J95" s="27"/>
      <c r="K95" s="26">
        <f t="shared" ref="K95" si="2">LOG(2)</f>
        <v>0.3010299956639812</v>
      </c>
      <c r="L95" s="28"/>
      <c r="M95" s="27"/>
      <c r="N95" s="25">
        <f t="shared" ref="N95" si="3">M94+M96</f>
        <v>0.57879462463211984</v>
      </c>
    </row>
    <row r="96" spans="1:15" x14ac:dyDescent="0.3">
      <c r="A96" s="29" t="s">
        <v>112</v>
      </c>
      <c r="B96" s="29">
        <f>-E20/C20</f>
        <v>-0.41176470588235292</v>
      </c>
      <c r="C96" s="29">
        <f>LOG(E20/C20)</f>
        <v>-0.38535088136401713</v>
      </c>
      <c r="D96" s="29">
        <f>C96/C95</f>
        <v>-1.2801079191927354</v>
      </c>
      <c r="E96" s="29">
        <f>B96*D96</f>
        <v>0.52710326084406744</v>
      </c>
      <c r="F96" s="29"/>
      <c r="I96" s="25" t="s">
        <v>112</v>
      </c>
      <c r="J96" s="25">
        <f>-M22/K22</f>
        <v>-0.13793103448275862</v>
      </c>
      <c r="K96" s="25">
        <f>LOG(M22/K22)</f>
        <v>-0.86033800657099369</v>
      </c>
      <c r="L96" s="25">
        <f t="shared" ref="L96" si="4">K96/K95</f>
        <v>-2.8579809951275719</v>
      </c>
      <c r="M96" s="25">
        <f t="shared" ref="M96" si="5">J96*L96</f>
        <v>0.39420427519000989</v>
      </c>
      <c r="N96" s="25"/>
    </row>
    <row r="97" spans="1:14" x14ac:dyDescent="0.3">
      <c r="A97" s="39" t="s">
        <v>126</v>
      </c>
      <c r="B97" s="40"/>
      <c r="C97" s="40"/>
      <c r="D97" s="40"/>
      <c r="E97" s="40"/>
      <c r="F97" s="41"/>
      <c r="I97" s="39" t="s">
        <v>128</v>
      </c>
      <c r="J97" s="40"/>
      <c r="K97" s="40"/>
      <c r="L97" s="40"/>
      <c r="M97" s="40"/>
      <c r="N97" s="41"/>
    </row>
    <row r="98" spans="1:14" x14ac:dyDescent="0.3">
      <c r="A98" s="25" t="s">
        <v>110</v>
      </c>
      <c r="B98" s="25">
        <f>-D21/C21</f>
        <v>-0.7</v>
      </c>
      <c r="C98" s="25">
        <f>LOG(D21/C21)</f>
        <v>-0.15490195998574319</v>
      </c>
      <c r="D98" s="25">
        <f>C98/C99</f>
        <v>-0.51457317282975834</v>
      </c>
      <c r="E98" s="25">
        <f>B98*D98</f>
        <v>0.36020122098083079</v>
      </c>
      <c r="F98" s="25"/>
      <c r="I98" s="25" t="s">
        <v>110</v>
      </c>
      <c r="J98" s="25">
        <f>-L23/K23</f>
        <v>-0.8</v>
      </c>
      <c r="K98" s="25">
        <f>LOG(L23/K23)</f>
        <v>-9.6910013008056392E-2</v>
      </c>
      <c r="L98" s="25">
        <f t="shared" ref="L98" si="6">K98/K99</f>
        <v>-0.32192809488736229</v>
      </c>
      <c r="M98" s="25">
        <f t="shared" ref="M98" si="7">J98*L98</f>
        <v>0.25754247590988982</v>
      </c>
      <c r="N98" s="25"/>
    </row>
    <row r="99" spans="1:14" x14ac:dyDescent="0.3">
      <c r="A99" s="26" t="s">
        <v>111</v>
      </c>
      <c r="B99" s="27"/>
      <c r="C99" s="26">
        <f>LOG(2)</f>
        <v>0.3010299956639812</v>
      </c>
      <c r="D99" s="28"/>
      <c r="E99" s="27"/>
      <c r="F99" s="25">
        <f>E98+E100</f>
        <v>0.8812908992306927</v>
      </c>
      <c r="I99" s="26" t="s">
        <v>111</v>
      </c>
      <c r="J99" s="27"/>
      <c r="K99" s="26">
        <f t="shared" ref="K99" si="8">LOG(2)</f>
        <v>0.3010299956639812</v>
      </c>
      <c r="L99" s="28"/>
      <c r="M99" s="27"/>
      <c r="N99" s="25">
        <f t="shared" ref="N99" si="9">M98+M100</f>
        <v>0.72192809488736231</v>
      </c>
    </row>
    <row r="100" spans="1:14" x14ac:dyDescent="0.3">
      <c r="A100" s="25" t="s">
        <v>112</v>
      </c>
      <c r="B100" s="25">
        <f>-E21/C21</f>
        <v>-0.3</v>
      </c>
      <c r="C100" s="25">
        <f>LOG(E21/C21)</f>
        <v>-0.52287874528033762</v>
      </c>
      <c r="D100" s="25">
        <f>C100/C99</f>
        <v>-1.7369655941662063</v>
      </c>
      <c r="E100" s="25">
        <f>B100*D100</f>
        <v>0.52108967824986185</v>
      </c>
      <c r="F100" s="25"/>
      <c r="I100" s="25" t="s">
        <v>112</v>
      </c>
      <c r="J100" s="25">
        <f>-M23/K23</f>
        <v>-0.2</v>
      </c>
      <c r="K100" s="25">
        <f>LOG(M23/K23)</f>
        <v>-0.69897000433601875</v>
      </c>
      <c r="L100" s="25">
        <f t="shared" ref="L100" si="10">K100/K99</f>
        <v>-2.3219280948873622</v>
      </c>
      <c r="M100" s="25">
        <f t="shared" ref="M100" si="11">J100*L100</f>
        <v>0.46438561897747244</v>
      </c>
      <c r="N100" s="25"/>
    </row>
    <row r="101" spans="1:14" x14ac:dyDescent="0.3">
      <c r="A101" s="39" t="s">
        <v>129</v>
      </c>
      <c r="B101" s="40"/>
      <c r="C101" s="40"/>
      <c r="D101" s="40"/>
      <c r="E101" s="40"/>
      <c r="F101" s="41"/>
      <c r="I101" s="39" t="s">
        <v>130</v>
      </c>
      <c r="J101" s="40"/>
      <c r="K101" s="40"/>
      <c r="L101" s="40"/>
      <c r="M101" s="40"/>
      <c r="N101" s="41"/>
    </row>
    <row r="102" spans="1:14" x14ac:dyDescent="0.3">
      <c r="A102" s="25" t="s">
        <v>110</v>
      </c>
      <c r="B102" s="25">
        <f>-D22/C22</f>
        <v>-1</v>
      </c>
      <c r="C102" s="25">
        <f>LOG(D22/C22)</f>
        <v>0</v>
      </c>
      <c r="D102" s="25">
        <f>C102/C103</f>
        <v>0</v>
      </c>
      <c r="E102" s="25">
        <f>B102*D102</f>
        <v>0</v>
      </c>
      <c r="F102" s="25"/>
      <c r="I102" s="25" t="s">
        <v>110</v>
      </c>
      <c r="J102" s="25">
        <f>-L24/K24</f>
        <v>-0.6</v>
      </c>
      <c r="K102" s="25">
        <f>LOG(L24/K24)</f>
        <v>-0.22184874961635639</v>
      </c>
      <c r="L102" s="25">
        <f t="shared" ref="L102" si="12">K102/K103</f>
        <v>-0.73696559416620622</v>
      </c>
      <c r="M102" s="25">
        <f t="shared" ref="M102" si="13">J102*L102</f>
        <v>0.44217935649972373</v>
      </c>
      <c r="N102" s="25"/>
    </row>
    <row r="103" spans="1:14" x14ac:dyDescent="0.3">
      <c r="A103" s="26" t="s">
        <v>111</v>
      </c>
      <c r="B103" s="27"/>
      <c r="C103" s="26">
        <f>LOG(2)</f>
        <v>0.3010299956639812</v>
      </c>
      <c r="D103" s="28"/>
      <c r="E103" s="27"/>
      <c r="F103" s="25">
        <f>E102+E104</f>
        <v>0</v>
      </c>
      <c r="I103" s="26" t="s">
        <v>111</v>
      </c>
      <c r="J103" s="27"/>
      <c r="K103" s="26">
        <f t="shared" ref="K103" si="14">LOG(2)</f>
        <v>0.3010299956639812</v>
      </c>
      <c r="L103" s="28"/>
      <c r="M103" s="27"/>
      <c r="N103" s="25">
        <f t="shared" ref="N103" si="15">M102+M104</f>
        <v>0.97095059445466869</v>
      </c>
    </row>
    <row r="104" spans="1:14" x14ac:dyDescent="0.3">
      <c r="A104" s="25" t="s">
        <v>112</v>
      </c>
      <c r="B104" s="25">
        <f>-E22/C22</f>
        <v>0</v>
      </c>
      <c r="C104" s="25">
        <v>0</v>
      </c>
      <c r="D104" s="25">
        <f>C104/C103</f>
        <v>0</v>
      </c>
      <c r="E104" s="25">
        <f>B104*D104</f>
        <v>0</v>
      </c>
      <c r="F104" s="25"/>
      <c r="I104" s="25" t="s">
        <v>112</v>
      </c>
      <c r="J104" s="25">
        <f>-M24/K24</f>
        <v>-0.4</v>
      </c>
      <c r="K104" s="25">
        <f>LOG(M24/K24)</f>
        <v>-0.3979400086720376</v>
      </c>
      <c r="L104" s="25">
        <f t="shared" ref="L104" si="16">K104/K103</f>
        <v>-1.3219280948873624</v>
      </c>
      <c r="M104" s="25">
        <f t="shared" ref="M104" si="17">J104*L104</f>
        <v>0.52877123795494496</v>
      </c>
      <c r="N104" s="25"/>
    </row>
    <row r="105" spans="1:14" x14ac:dyDescent="0.3">
      <c r="A105" s="39" t="s">
        <v>127</v>
      </c>
      <c r="B105" s="40"/>
      <c r="C105" s="40"/>
      <c r="D105" s="40"/>
      <c r="E105" s="40"/>
      <c r="F105" s="41"/>
      <c r="I105" s="39" t="s">
        <v>131</v>
      </c>
      <c r="J105" s="40"/>
      <c r="K105" s="40"/>
      <c r="L105" s="40"/>
      <c r="M105" s="40"/>
      <c r="N105" s="41"/>
    </row>
    <row r="106" spans="1:14" x14ac:dyDescent="0.3">
      <c r="A106" s="25" t="s">
        <v>110</v>
      </c>
      <c r="B106" s="25">
        <f>-D23/C23</f>
        <v>-0.86206896551724133</v>
      </c>
      <c r="C106" s="25">
        <f>LOG(D23/C23)</f>
        <v>-6.4457989226918505E-2</v>
      </c>
      <c r="D106" s="25">
        <f t="shared" ref="D106" si="18">C106/C107</f>
        <v>-0.2141248053528475</v>
      </c>
      <c r="E106" s="25">
        <f t="shared" ref="E106" si="19">B106*D106</f>
        <v>0.18459034944210989</v>
      </c>
      <c r="F106" s="25"/>
      <c r="I106" s="25" t="s">
        <v>110</v>
      </c>
      <c r="J106" s="25">
        <f>-L26/K26</f>
        <v>-0.6097560975609756</v>
      </c>
      <c r="K106" s="25">
        <f>LOG(L26/K26)</f>
        <v>-0.21484384804769791</v>
      </c>
      <c r="L106" s="25">
        <f t="shared" ref="L106" si="20">K106/K107</f>
        <v>-0.71369581484335909</v>
      </c>
      <c r="M106" s="25">
        <f t="shared" ref="M106" si="21">J106*L106</f>
        <v>0.43518037490448724</v>
      </c>
      <c r="N106" s="25"/>
    </row>
    <row r="107" spans="1:14" x14ac:dyDescent="0.3">
      <c r="A107" s="26" t="s">
        <v>111</v>
      </c>
      <c r="B107" s="27"/>
      <c r="C107" s="26">
        <f t="shared" ref="C107" si="22">LOG(2)</f>
        <v>0.3010299956639812</v>
      </c>
      <c r="D107" s="28"/>
      <c r="E107" s="27"/>
      <c r="F107" s="25">
        <f t="shared" ref="F107" si="23">E106+E108</f>
        <v>0.57879462463211984</v>
      </c>
      <c r="I107" s="26" t="s">
        <v>111</v>
      </c>
      <c r="J107" s="27"/>
      <c r="K107" s="26">
        <f t="shared" ref="K107" si="24">LOG(2)</f>
        <v>0.3010299956639812</v>
      </c>
      <c r="L107" s="28"/>
      <c r="M107" s="27"/>
      <c r="N107" s="25">
        <f t="shared" ref="N107" si="25">M106+M108</f>
        <v>0.96495676695056876</v>
      </c>
    </row>
    <row r="108" spans="1:14" x14ac:dyDescent="0.3">
      <c r="A108" s="25" t="s">
        <v>112</v>
      </c>
      <c r="B108" s="25">
        <f>-E23/C23</f>
        <v>-0.13793103448275862</v>
      </c>
      <c r="C108" s="25">
        <f>LOG(E23/C23)</f>
        <v>-0.86033800657099369</v>
      </c>
      <c r="D108" s="25">
        <f t="shared" ref="D108" si="26">C108/C107</f>
        <v>-2.8579809951275719</v>
      </c>
      <c r="E108" s="25">
        <f t="shared" ref="E108" si="27">B108*D108</f>
        <v>0.39420427519000989</v>
      </c>
      <c r="F108" s="25"/>
      <c r="I108" s="25" t="s">
        <v>112</v>
      </c>
      <c r="J108" s="25">
        <f>-M26/K26</f>
        <v>-0.3902439024390244</v>
      </c>
      <c r="K108" s="25">
        <f>LOG(M26/K26)</f>
        <v>-0.40866387406381072</v>
      </c>
      <c r="L108" s="25">
        <f t="shared" ref="L108" si="28">K108/K107</f>
        <v>-1.3575520046180838</v>
      </c>
      <c r="M108" s="25">
        <f t="shared" ref="M108" si="29">J108*L108</f>
        <v>0.52977639204608151</v>
      </c>
      <c r="N108" s="25"/>
    </row>
    <row r="109" spans="1:14" x14ac:dyDescent="0.3">
      <c r="A109" s="39" t="s">
        <v>132</v>
      </c>
      <c r="B109" s="40"/>
      <c r="C109" s="40"/>
      <c r="D109" s="40"/>
      <c r="E109" s="40"/>
      <c r="F109" s="41"/>
      <c r="I109" s="39" t="s">
        <v>133</v>
      </c>
      <c r="J109" s="40"/>
      <c r="K109" s="40"/>
      <c r="L109" s="40"/>
      <c r="M109" s="40"/>
      <c r="N109" s="41"/>
    </row>
    <row r="110" spans="1:14" x14ac:dyDescent="0.3">
      <c r="A110" s="25" t="s">
        <v>110</v>
      </c>
      <c r="B110" s="25">
        <f>-D24/C24</f>
        <v>-1</v>
      </c>
      <c r="C110" s="25">
        <f>LOG(D24/C24)</f>
        <v>0</v>
      </c>
      <c r="D110" s="25">
        <f t="shared" ref="D110" si="30">C110/C111</f>
        <v>0</v>
      </c>
      <c r="E110" s="25">
        <f t="shared" ref="E110" si="31">B110*D110</f>
        <v>0</v>
      </c>
      <c r="F110" s="25"/>
      <c r="I110" s="25" t="s">
        <v>110</v>
      </c>
      <c r="J110" s="25">
        <f>-L27/K27</f>
        <v>-0.7857142857142857</v>
      </c>
      <c r="K110" s="25">
        <f>LOG(L27/K27)</f>
        <v>-0.104735350520013</v>
      </c>
      <c r="L110" s="25">
        <f t="shared" ref="L110" si="32">K110/K111</f>
        <v>-0.34792330342030686</v>
      </c>
      <c r="M110" s="25">
        <f t="shared" ref="M110" si="33">J110*L110</f>
        <v>0.27336830983024107</v>
      </c>
      <c r="N110" s="25"/>
    </row>
    <row r="111" spans="1:14" x14ac:dyDescent="0.3">
      <c r="A111" s="26" t="s">
        <v>111</v>
      </c>
      <c r="B111" s="27"/>
      <c r="C111" s="26">
        <f t="shared" ref="C111" si="34">LOG(2)</f>
        <v>0.3010299956639812</v>
      </c>
      <c r="D111" s="28"/>
      <c r="E111" s="27"/>
      <c r="F111" s="25">
        <f t="shared" ref="F111" si="35">E110+E112</f>
        <v>0</v>
      </c>
      <c r="I111" s="26" t="s">
        <v>111</v>
      </c>
      <c r="J111" s="27"/>
      <c r="K111" s="26">
        <f t="shared" ref="K111" si="36">LOG(2)</f>
        <v>0.3010299956639812</v>
      </c>
      <c r="L111" s="28"/>
      <c r="M111" s="27"/>
      <c r="N111" s="25">
        <f t="shared" ref="N111" si="37">M110+M112</f>
        <v>0.74959525725947984</v>
      </c>
    </row>
    <row r="112" spans="1:14" x14ac:dyDescent="0.3">
      <c r="A112" s="25" t="s">
        <v>112</v>
      </c>
      <c r="B112" s="25">
        <f>-E24/C24</f>
        <v>0</v>
      </c>
      <c r="C112" s="25">
        <v>0</v>
      </c>
      <c r="D112" s="25">
        <f t="shared" ref="D112" si="38">C112/C111</f>
        <v>0</v>
      </c>
      <c r="E112" s="25">
        <f t="shared" ref="E112" si="39">B112*D112</f>
        <v>0</v>
      </c>
      <c r="F112" s="25"/>
      <c r="I112" s="25" t="s">
        <v>112</v>
      </c>
      <c r="J112" s="25">
        <f>-M27/K27</f>
        <v>-0.21428571428571427</v>
      </c>
      <c r="K112" s="25">
        <f>LOG(M27/K27)</f>
        <v>-0.66900678095857558</v>
      </c>
      <c r="L112" s="25">
        <f t="shared" ref="L112" si="40">K112/K111</f>
        <v>-2.2223924213364477</v>
      </c>
      <c r="M112" s="25">
        <f t="shared" ref="M112" si="41">J112*L112</f>
        <v>0.47622694742923877</v>
      </c>
      <c r="N112" s="25"/>
    </row>
    <row r="113" spans="1:14" x14ac:dyDescent="0.3">
      <c r="A113" s="39" t="s">
        <v>128</v>
      </c>
      <c r="B113" s="40"/>
      <c r="C113" s="40"/>
      <c r="D113" s="40"/>
      <c r="E113" s="40"/>
      <c r="F113" s="41"/>
      <c r="I113" s="39" t="s">
        <v>134</v>
      </c>
      <c r="J113" s="40"/>
      <c r="K113" s="40"/>
      <c r="L113" s="40"/>
      <c r="M113" s="40"/>
      <c r="N113" s="41"/>
    </row>
    <row r="114" spans="1:14" x14ac:dyDescent="0.3">
      <c r="A114" s="25" t="s">
        <v>110</v>
      </c>
      <c r="B114" s="25">
        <f>-D25/C25</f>
        <v>-0.8</v>
      </c>
      <c r="C114" s="25">
        <f>LOG(D25/C25)</f>
        <v>-9.6910013008056392E-2</v>
      </c>
      <c r="D114" s="25">
        <f t="shared" ref="D114" si="42">C114/C115</f>
        <v>-0.32192809488736229</v>
      </c>
      <c r="E114" s="25">
        <f t="shared" ref="E114" si="43">B114*D114</f>
        <v>0.25754247590988982</v>
      </c>
      <c r="F114" s="25"/>
      <c r="I114" s="25" t="s">
        <v>110</v>
      </c>
      <c r="J114" s="25">
        <f>-L28/K28</f>
        <v>-0.94444444444444442</v>
      </c>
      <c r="K114" s="25">
        <f>LOG(L28/K28)</f>
        <v>-2.4823583725032152E-2</v>
      </c>
      <c r="L114" s="25">
        <f t="shared" ref="L114" si="44">K114/K115</f>
        <v>-8.2462160191972986E-2</v>
      </c>
      <c r="M114" s="25">
        <f t="shared" ref="M114" si="45">J114*L114</f>
        <v>7.7880929070196711E-2</v>
      </c>
      <c r="N114" s="25"/>
    </row>
    <row r="115" spans="1:14" x14ac:dyDescent="0.3">
      <c r="A115" s="26" t="s">
        <v>111</v>
      </c>
      <c r="B115" s="27"/>
      <c r="C115" s="26">
        <f t="shared" ref="C115" si="46">LOG(2)</f>
        <v>0.3010299956639812</v>
      </c>
      <c r="D115" s="28"/>
      <c r="E115" s="27"/>
      <c r="F115" s="25">
        <f t="shared" ref="F115" si="47">E114+E116</f>
        <v>0.72192809488736231</v>
      </c>
      <c r="I115" s="26" t="s">
        <v>111</v>
      </c>
      <c r="J115" s="27"/>
      <c r="K115" s="26">
        <f t="shared" ref="K115" si="48">LOG(2)</f>
        <v>0.3010299956639812</v>
      </c>
      <c r="L115" s="28"/>
      <c r="M115" s="27"/>
      <c r="N115" s="25">
        <f t="shared" ref="N115" si="49">M114+M116</f>
        <v>0.30954342915032518</v>
      </c>
    </row>
    <row r="116" spans="1:14" x14ac:dyDescent="0.3">
      <c r="A116" s="25" t="s">
        <v>112</v>
      </c>
      <c r="B116" s="25">
        <f>-E25/C25</f>
        <v>-0.2</v>
      </c>
      <c r="C116" s="25">
        <f>LOG(E25/C25)</f>
        <v>-0.69897000433601875</v>
      </c>
      <c r="D116" s="25">
        <f t="shared" ref="D116" si="50">C116/C115</f>
        <v>-2.3219280948873622</v>
      </c>
      <c r="E116" s="25">
        <f t="shared" ref="E116" si="51">B116*D116</f>
        <v>0.46438561897747244</v>
      </c>
      <c r="F116" s="25"/>
      <c r="I116" s="25" t="s">
        <v>112</v>
      </c>
      <c r="J116" s="25">
        <f>-M28/K28</f>
        <v>-5.5555555555555552E-2</v>
      </c>
      <c r="K116" s="25">
        <f>LOG(M28/K28)</f>
        <v>-1.255272505103306</v>
      </c>
      <c r="L116" s="25">
        <f t="shared" ref="L116" si="52">K116/K115</f>
        <v>-4.1699250014423122</v>
      </c>
      <c r="M116" s="25">
        <f t="shared" ref="M116" si="53">J116*L116</f>
        <v>0.23166250008012845</v>
      </c>
      <c r="N116" s="25"/>
    </row>
    <row r="117" spans="1:14" x14ac:dyDescent="0.3">
      <c r="A117" s="39" t="s">
        <v>135</v>
      </c>
      <c r="B117" s="40"/>
      <c r="C117" s="40"/>
      <c r="D117" s="40"/>
      <c r="E117" s="40"/>
      <c r="F117" s="41"/>
      <c r="I117" s="39" t="s">
        <v>136</v>
      </c>
      <c r="J117" s="40"/>
      <c r="K117" s="40"/>
      <c r="L117" s="40"/>
      <c r="M117" s="40"/>
      <c r="N117" s="41"/>
    </row>
    <row r="118" spans="1:14" x14ac:dyDescent="0.3">
      <c r="A118" s="25" t="s">
        <v>110</v>
      </c>
      <c r="B118" s="25">
        <f>-D26/C26</f>
        <v>-1</v>
      </c>
      <c r="C118" s="25">
        <f>LOG(D26/C26)</f>
        <v>0</v>
      </c>
      <c r="D118" s="25">
        <f t="shared" ref="D118" si="54">C118/C119</f>
        <v>0</v>
      </c>
      <c r="E118" s="25">
        <f t="shared" ref="E118" si="55">B118*D118</f>
        <v>0</v>
      </c>
      <c r="F118" s="25"/>
      <c r="I118" s="25" t="s">
        <v>110</v>
      </c>
      <c r="J118" s="25">
        <f>-L29/K29</f>
        <v>-1</v>
      </c>
      <c r="K118" s="25">
        <f>LOG(L29/K29)</f>
        <v>0</v>
      </c>
      <c r="L118" s="25">
        <f t="shared" ref="L118" si="56">K118/K119</f>
        <v>0</v>
      </c>
      <c r="M118" s="25">
        <f t="shared" ref="M118" si="57">J118*L118</f>
        <v>0</v>
      </c>
      <c r="N118" s="25"/>
    </row>
    <row r="119" spans="1:14" x14ac:dyDescent="0.3">
      <c r="A119" s="26" t="s">
        <v>111</v>
      </c>
      <c r="B119" s="27"/>
      <c r="C119" s="26">
        <f t="shared" ref="C119" si="58">LOG(2)</f>
        <v>0.3010299956639812</v>
      </c>
      <c r="D119" s="28"/>
      <c r="E119" s="27"/>
      <c r="F119" s="25">
        <f t="shared" ref="F119" si="59">E118+E120</f>
        <v>0</v>
      </c>
      <c r="I119" s="26" t="s">
        <v>111</v>
      </c>
      <c r="J119" s="27"/>
      <c r="K119" s="26">
        <f t="shared" ref="K119" si="60">LOG(2)</f>
        <v>0.3010299956639812</v>
      </c>
      <c r="L119" s="28"/>
      <c r="M119" s="27"/>
      <c r="N119" s="25">
        <f>M118+M120</f>
        <v>0</v>
      </c>
    </row>
    <row r="120" spans="1:14" x14ac:dyDescent="0.3">
      <c r="A120" s="25" t="s">
        <v>112</v>
      </c>
      <c r="B120" s="25">
        <f>-E26/C26</f>
        <v>0</v>
      </c>
      <c r="C120" s="25">
        <v>0</v>
      </c>
      <c r="D120" s="25">
        <f t="shared" ref="D120" si="61">C120/C119</f>
        <v>0</v>
      </c>
      <c r="E120" s="25">
        <f t="shared" ref="E120" si="62">B120*D120</f>
        <v>0</v>
      </c>
      <c r="F120" s="25"/>
      <c r="I120" s="25" t="s">
        <v>112</v>
      </c>
      <c r="J120" s="25">
        <f>-M29/K29</f>
        <v>0</v>
      </c>
      <c r="K120" s="25">
        <v>0</v>
      </c>
      <c r="L120" s="25">
        <f t="shared" ref="L120" si="63">K120/K119</f>
        <v>0</v>
      </c>
      <c r="M120" s="25">
        <f t="shared" ref="M120" si="64">J120*L120</f>
        <v>0</v>
      </c>
      <c r="N120" s="25"/>
    </row>
    <row r="121" spans="1:14" x14ac:dyDescent="0.3">
      <c r="A121" s="39" t="s">
        <v>137</v>
      </c>
      <c r="B121" s="40"/>
      <c r="C121" s="40"/>
      <c r="D121" s="40"/>
      <c r="E121" s="40"/>
      <c r="F121" s="41"/>
      <c r="I121" s="39" t="s">
        <v>138</v>
      </c>
      <c r="J121" s="40"/>
      <c r="K121" s="40"/>
      <c r="L121" s="40"/>
      <c r="M121" s="40"/>
      <c r="N121" s="41"/>
    </row>
    <row r="122" spans="1:14" x14ac:dyDescent="0.3">
      <c r="A122" s="25" t="s">
        <v>110</v>
      </c>
      <c r="B122" s="25">
        <f>-D27/C27</f>
        <v>-1</v>
      </c>
      <c r="C122" s="25">
        <f>LOG(D27/C27)</f>
        <v>0</v>
      </c>
      <c r="D122" s="25">
        <f t="shared" ref="D122" si="65">C122/C123</f>
        <v>0</v>
      </c>
      <c r="E122" s="25">
        <f t="shared" ref="E122" si="66">B122*D122</f>
        <v>0</v>
      </c>
      <c r="F122" s="25"/>
      <c r="I122" s="25" t="s">
        <v>110</v>
      </c>
      <c r="J122" s="25">
        <v>0</v>
      </c>
      <c r="K122" s="25">
        <v>0</v>
      </c>
      <c r="L122" s="25">
        <f t="shared" ref="L122" si="67">K122/K123</f>
        <v>0</v>
      </c>
      <c r="M122" s="25">
        <v>0</v>
      </c>
      <c r="N122" s="25"/>
    </row>
    <row r="123" spans="1:14" x14ac:dyDescent="0.3">
      <c r="A123" s="26" t="s">
        <v>111</v>
      </c>
      <c r="B123" s="27"/>
      <c r="C123" s="26">
        <f t="shared" ref="C123" si="68">LOG(2)</f>
        <v>0.3010299956639812</v>
      </c>
      <c r="D123" s="28"/>
      <c r="E123" s="27"/>
      <c r="F123" s="25">
        <f t="shared" ref="F123" si="69">E122+E124</f>
        <v>0</v>
      </c>
      <c r="I123" s="26" t="s">
        <v>111</v>
      </c>
      <c r="J123" s="27"/>
      <c r="K123" s="26">
        <f t="shared" ref="K123" si="70">LOG(2)</f>
        <v>0.3010299956639812</v>
      </c>
      <c r="L123" s="28"/>
      <c r="M123" s="27"/>
      <c r="N123" s="25">
        <f>M122+M124</f>
        <v>0</v>
      </c>
    </row>
    <row r="124" spans="1:14" x14ac:dyDescent="0.3">
      <c r="A124" s="25" t="s">
        <v>112</v>
      </c>
      <c r="B124" s="25">
        <f>-E27/C27</f>
        <v>0</v>
      </c>
      <c r="C124" s="25">
        <v>0</v>
      </c>
      <c r="D124" s="25">
        <f t="shared" ref="D124" si="71">C124/C123</f>
        <v>0</v>
      </c>
      <c r="E124" s="25">
        <f t="shared" ref="E124" si="72">B124*D124</f>
        <v>0</v>
      </c>
      <c r="F124" s="25"/>
      <c r="I124" s="25" t="s">
        <v>112</v>
      </c>
      <c r="J124" s="25">
        <v>0</v>
      </c>
      <c r="K124" s="25">
        <v>0</v>
      </c>
      <c r="L124" s="25">
        <f t="shared" ref="L124" si="73">K124/K123</f>
        <v>0</v>
      </c>
      <c r="M124" s="25">
        <v>0</v>
      </c>
      <c r="N124" s="25"/>
    </row>
    <row r="125" spans="1:14" x14ac:dyDescent="0.3">
      <c r="A125" s="39" t="s">
        <v>130</v>
      </c>
      <c r="B125" s="40"/>
      <c r="C125" s="40"/>
      <c r="D125" s="40"/>
      <c r="E125" s="40"/>
      <c r="F125" s="41"/>
    </row>
    <row r="126" spans="1:14" x14ac:dyDescent="0.3">
      <c r="A126" s="25" t="s">
        <v>110</v>
      </c>
      <c r="B126" s="25">
        <f>-D28/C28</f>
        <v>-0.6</v>
      </c>
      <c r="C126" s="25">
        <f>LOG(D28/C28)</f>
        <v>-0.22184874961635639</v>
      </c>
      <c r="D126" s="25">
        <f t="shared" ref="D126" si="74">C126/C127</f>
        <v>-0.73696559416620622</v>
      </c>
      <c r="E126" s="25">
        <f t="shared" ref="E126" si="75">B126*D126</f>
        <v>0.44217935649972373</v>
      </c>
      <c r="F126" s="25"/>
      <c r="I126" s="39" t="s">
        <v>139</v>
      </c>
      <c r="J126" s="40"/>
      <c r="K126" s="40"/>
      <c r="L126" s="40"/>
      <c r="M126" s="40"/>
      <c r="N126" s="41"/>
    </row>
    <row r="127" spans="1:14" x14ac:dyDescent="0.3">
      <c r="A127" s="26" t="s">
        <v>111</v>
      </c>
      <c r="B127" s="27"/>
      <c r="C127" s="26">
        <f t="shared" ref="C127" si="76">LOG(2)</f>
        <v>0.3010299956639812</v>
      </c>
      <c r="D127" s="28"/>
      <c r="E127" s="27"/>
      <c r="F127" s="25">
        <f t="shared" ref="F127" si="77">E126+E128</f>
        <v>0.97095059445466869</v>
      </c>
      <c r="I127" s="42" t="s">
        <v>140</v>
      </c>
      <c r="J127" s="43"/>
      <c r="K127" s="43"/>
      <c r="L127" s="43"/>
      <c r="M127" s="43"/>
      <c r="N127" s="44"/>
    </row>
    <row r="128" spans="1:14" x14ac:dyDescent="0.3">
      <c r="A128" s="25" t="s">
        <v>112</v>
      </c>
      <c r="B128" s="25">
        <f>-E28/C28</f>
        <v>-0.4</v>
      </c>
      <c r="C128" s="25">
        <f>LOG(E28/C28)</f>
        <v>-0.3979400086720376</v>
      </c>
      <c r="D128" s="25">
        <f t="shared" ref="D128" si="78">C128/C127</f>
        <v>-1.3219280948873624</v>
      </c>
      <c r="E128" s="25">
        <f t="shared" ref="E128" si="79">B128*D128</f>
        <v>0.52877123795494496</v>
      </c>
      <c r="F128" s="25"/>
      <c r="I128" s="29"/>
      <c r="J128" s="42">
        <f>N3-((K5/K3*N5)+(K6/K3*N6)+(K7/K3*N7))</f>
        <v>9.2160401751088195E-2</v>
      </c>
      <c r="K128" s="43"/>
      <c r="L128" s="43"/>
      <c r="M128" s="44"/>
      <c r="N128" s="29"/>
    </row>
    <row r="129" spans="1:14" x14ac:dyDescent="0.3">
      <c r="A129" s="39" t="s">
        <v>141</v>
      </c>
      <c r="B129" s="40"/>
      <c r="C129" s="40"/>
      <c r="D129" s="40"/>
      <c r="E129" s="40"/>
      <c r="F129" s="41"/>
      <c r="I129" s="45" t="s">
        <v>142</v>
      </c>
      <c r="J129" s="46"/>
      <c r="K129" s="46"/>
      <c r="L129" s="46"/>
      <c r="M129" s="46"/>
      <c r="N129" s="47"/>
    </row>
    <row r="130" spans="1:14" x14ac:dyDescent="0.3">
      <c r="A130" s="25" t="s">
        <v>110</v>
      </c>
      <c r="B130" s="25">
        <f>-D29/C29</f>
        <v>-1</v>
      </c>
      <c r="C130" s="25">
        <f>LOG(D29/C29)</f>
        <v>0</v>
      </c>
      <c r="D130" s="25">
        <f t="shared" ref="D130" si="80">C130/C131</f>
        <v>0</v>
      </c>
      <c r="E130" s="25">
        <f t="shared" ref="E130" si="81">B130*D130</f>
        <v>0</v>
      </c>
      <c r="F130" s="25"/>
      <c r="I130" s="33"/>
      <c r="J130" s="45">
        <f>N3-((K9/K3*N9)+(K10/K3*N10)+(K11/K3*N11)+(K12/K3*N12)+(K13/K3*N13)+(K14/K3*N14)+(K15/K3*N15))</f>
        <v>0.10000812794809533</v>
      </c>
      <c r="K130" s="46"/>
      <c r="L130" s="46"/>
      <c r="M130" s="47"/>
      <c r="N130" s="33"/>
    </row>
    <row r="131" spans="1:14" x14ac:dyDescent="0.3">
      <c r="A131" s="26" t="s">
        <v>111</v>
      </c>
      <c r="B131" s="27"/>
      <c r="C131" s="26">
        <f t="shared" ref="C131" si="82">LOG(2)</f>
        <v>0.3010299956639812</v>
      </c>
      <c r="D131" s="28"/>
      <c r="E131" s="27"/>
      <c r="F131" s="25">
        <f t="shared" ref="F131" si="83">E130+E132</f>
        <v>0</v>
      </c>
      <c r="I131" s="42" t="s">
        <v>143</v>
      </c>
      <c r="J131" s="43"/>
      <c r="K131" s="43"/>
      <c r="L131" s="43"/>
      <c r="M131" s="43"/>
      <c r="N131" s="44"/>
    </row>
    <row r="132" spans="1:14" x14ac:dyDescent="0.3">
      <c r="A132" s="25" t="s">
        <v>112</v>
      </c>
      <c r="B132" s="25">
        <f>-E29/C29</f>
        <v>0</v>
      </c>
      <c r="C132" s="25">
        <v>0</v>
      </c>
      <c r="D132" s="25">
        <f t="shared" ref="D132" si="84">C132/C131</f>
        <v>0</v>
      </c>
      <c r="E132" s="25">
        <f t="shared" ref="E132" si="85">B132*D132</f>
        <v>0</v>
      </c>
      <c r="F132" s="25"/>
      <c r="I132" s="29"/>
      <c r="J132" s="42">
        <f>N3-((K17/K3*N17)+(K18/K3*N18))</f>
        <v>4.4480119035659182E-3</v>
      </c>
      <c r="K132" s="43"/>
      <c r="L132" s="43"/>
      <c r="M132" s="44"/>
      <c r="N132" s="29"/>
    </row>
    <row r="133" spans="1:14" x14ac:dyDescent="0.3">
      <c r="A133" s="39" t="s">
        <v>144</v>
      </c>
      <c r="B133" s="40"/>
      <c r="C133" s="40"/>
      <c r="D133" s="40"/>
      <c r="E133" s="40"/>
      <c r="F133" s="41"/>
      <c r="I133" s="42" t="s">
        <v>145</v>
      </c>
      <c r="J133" s="43"/>
      <c r="K133" s="43"/>
      <c r="L133" s="43"/>
      <c r="M133" s="43"/>
      <c r="N133" s="44"/>
    </row>
    <row r="134" spans="1:14" x14ac:dyDescent="0.3">
      <c r="A134" s="25" t="s">
        <v>110</v>
      </c>
      <c r="B134" s="25">
        <f>-D30/C30</f>
        <v>0</v>
      </c>
      <c r="C134" s="25">
        <v>0</v>
      </c>
      <c r="D134" s="25">
        <f t="shared" ref="D134" si="86">C134/C135</f>
        <v>0</v>
      </c>
      <c r="E134" s="25">
        <f t="shared" ref="E134" si="87">B134*D134</f>
        <v>0</v>
      </c>
      <c r="F134" s="25"/>
      <c r="I134" s="29"/>
      <c r="J134" s="42">
        <f>N3-((K20/K3*N20)+(K21/K3*N21)+(K22/K3*N22)+(K23/K3*N23)+(K24/K3*N24))</f>
        <v>4.8693355856645248E-2</v>
      </c>
      <c r="K134" s="43"/>
      <c r="L134" s="43"/>
      <c r="M134" s="44"/>
      <c r="N134" s="29"/>
    </row>
    <row r="135" spans="1:14" x14ac:dyDescent="0.3">
      <c r="A135" s="26" t="s">
        <v>111</v>
      </c>
      <c r="B135" s="27"/>
      <c r="C135" s="26">
        <f t="shared" ref="C135" si="88">LOG(2)</f>
        <v>0.3010299956639812</v>
      </c>
      <c r="D135" s="28"/>
      <c r="E135" s="27"/>
      <c r="F135" s="25">
        <f t="shared" ref="F135" si="89">E134+E136</f>
        <v>0</v>
      </c>
      <c r="I135" s="39" t="s">
        <v>146</v>
      </c>
      <c r="J135" s="40"/>
      <c r="K135" s="40"/>
      <c r="L135" s="40"/>
      <c r="M135" s="40"/>
      <c r="N135" s="41"/>
    </row>
    <row r="136" spans="1:14" x14ac:dyDescent="0.3">
      <c r="A136" s="25" t="s">
        <v>112</v>
      </c>
      <c r="B136" s="25">
        <f>-E30/C30</f>
        <v>-1</v>
      </c>
      <c r="C136" s="25">
        <f>LOG(E30/C30)</f>
        <v>0</v>
      </c>
      <c r="D136" s="25">
        <f t="shared" ref="D136" si="90">C136/C135</f>
        <v>0</v>
      </c>
      <c r="E136" s="25">
        <f t="shared" ref="E136" si="91">B136*D136</f>
        <v>0</v>
      </c>
      <c r="F136" s="25"/>
      <c r="I136" s="25"/>
      <c r="J136" s="39">
        <f>N3-((K26/K3*N26)+(K27/K3*N27)+(K28/K3*N28)+(K29/K3*N29)+(K30/K3*N30))</f>
        <v>9.9509351545099101E-2</v>
      </c>
      <c r="K136" s="40"/>
      <c r="L136" s="40"/>
      <c r="M136" s="41"/>
      <c r="N136" s="25"/>
    </row>
    <row r="137" spans="1:14" x14ac:dyDescent="0.3">
      <c r="A137" s="39" t="s">
        <v>147</v>
      </c>
      <c r="B137" s="40"/>
      <c r="C137" s="40"/>
      <c r="D137" s="40"/>
      <c r="E137" s="40"/>
      <c r="F137" s="41"/>
    </row>
    <row r="138" spans="1:14" x14ac:dyDescent="0.3">
      <c r="A138" s="25" t="s">
        <v>110</v>
      </c>
      <c r="B138" s="25">
        <f>-D31/C31</f>
        <v>-1</v>
      </c>
      <c r="C138" s="25">
        <f>LOG(D31/C31)</f>
        <v>0</v>
      </c>
      <c r="D138" s="25">
        <f t="shared" ref="D138" si="92">C138/C139</f>
        <v>0</v>
      </c>
      <c r="E138" s="25">
        <f t="shared" ref="E138" si="93">B138*D138</f>
        <v>0</v>
      </c>
      <c r="F138" s="25"/>
    </row>
    <row r="139" spans="1:14" x14ac:dyDescent="0.3">
      <c r="A139" s="26" t="s">
        <v>111</v>
      </c>
      <c r="B139" s="27"/>
      <c r="C139" s="26">
        <f t="shared" ref="C139" si="94">LOG(2)</f>
        <v>0.3010299956639812</v>
      </c>
      <c r="D139" s="28"/>
      <c r="E139" s="27"/>
      <c r="F139" s="25">
        <f t="shared" ref="F139:F143" si="95">E138+E140</f>
        <v>0</v>
      </c>
    </row>
    <row r="140" spans="1:14" x14ac:dyDescent="0.3">
      <c r="A140" s="25" t="s">
        <v>112</v>
      </c>
      <c r="B140" s="25">
        <f>-E31/C31</f>
        <v>0</v>
      </c>
      <c r="C140" s="25">
        <v>0</v>
      </c>
      <c r="D140" s="25">
        <f t="shared" ref="D140" si="96">C140/C139</f>
        <v>0</v>
      </c>
      <c r="E140" s="25">
        <f t="shared" ref="E140" si="97">B140*D140</f>
        <v>0</v>
      </c>
      <c r="F140" s="25"/>
    </row>
    <row r="141" spans="1:14" x14ac:dyDescent="0.3">
      <c r="A141" s="39" t="s">
        <v>148</v>
      </c>
      <c r="B141" s="40"/>
      <c r="C141" s="40"/>
      <c r="D141" s="40"/>
      <c r="E141" s="40"/>
      <c r="F141" s="41"/>
    </row>
    <row r="142" spans="1:14" x14ac:dyDescent="0.3">
      <c r="A142" s="25" t="s">
        <v>110</v>
      </c>
      <c r="B142" s="25">
        <f>-D32/C32</f>
        <v>0</v>
      </c>
      <c r="C142" s="25">
        <v>0</v>
      </c>
      <c r="D142" s="25">
        <f t="shared" ref="D142" si="98">C142/C143</f>
        <v>0</v>
      </c>
      <c r="E142" s="25">
        <f t="shared" ref="E142" si="99">B142*D142</f>
        <v>0</v>
      </c>
      <c r="F142" s="25"/>
    </row>
    <row r="143" spans="1:14" x14ac:dyDescent="0.3">
      <c r="A143" s="26" t="s">
        <v>111</v>
      </c>
      <c r="B143" s="27"/>
      <c r="C143" s="26">
        <f t="shared" ref="C143" si="100">LOG(2)</f>
        <v>0.3010299956639812</v>
      </c>
      <c r="D143" s="28"/>
      <c r="E143" s="27"/>
      <c r="F143" s="25">
        <f t="shared" si="95"/>
        <v>0</v>
      </c>
    </row>
    <row r="144" spans="1:14" x14ac:dyDescent="0.3">
      <c r="A144" s="25" t="s">
        <v>112</v>
      </c>
      <c r="B144" s="25">
        <f>-E32/C32</f>
        <v>-1</v>
      </c>
      <c r="C144" s="25">
        <f>LOG(E32/C32)</f>
        <v>0</v>
      </c>
      <c r="D144" s="25">
        <f t="shared" ref="D144" si="101">C144/C143</f>
        <v>0</v>
      </c>
      <c r="E144" s="25">
        <f t="shared" ref="E144" si="102">B144*D144</f>
        <v>0</v>
      </c>
      <c r="F144" s="25"/>
    </row>
    <row r="145" spans="1:6" x14ac:dyDescent="0.3">
      <c r="A145" s="39" t="s">
        <v>131</v>
      </c>
      <c r="B145" s="40"/>
      <c r="C145" s="40"/>
      <c r="D145" s="40"/>
      <c r="E145" s="40"/>
      <c r="F145" s="41"/>
    </row>
    <row r="146" spans="1:6" x14ac:dyDescent="0.3">
      <c r="A146" s="25" t="s">
        <v>110</v>
      </c>
      <c r="B146" s="25">
        <f>-D34/C34</f>
        <v>-0.6428571428571429</v>
      </c>
      <c r="C146" s="25">
        <f>LOG(D34/C34)</f>
        <v>-0.19188552623891311</v>
      </c>
      <c r="D146" s="25">
        <f t="shared" ref="D146" si="103">C146/C147</f>
        <v>-0.63742992061529158</v>
      </c>
      <c r="E146" s="25">
        <f t="shared" ref="E146" si="104">B146*D146</f>
        <v>0.40977637753840174</v>
      </c>
      <c r="F146" s="25"/>
    </row>
    <row r="147" spans="1:6" x14ac:dyDescent="0.3">
      <c r="A147" s="26" t="s">
        <v>111</v>
      </c>
      <c r="B147" s="27"/>
      <c r="C147" s="26">
        <f t="shared" ref="C147" si="105">LOG(2)</f>
        <v>0.3010299956639812</v>
      </c>
      <c r="D147" s="28"/>
      <c r="E147" s="27"/>
      <c r="F147" s="25">
        <f t="shared" ref="F147" si="106">E146+E148</f>
        <v>0.94028595867063092</v>
      </c>
    </row>
    <row r="148" spans="1:6" x14ac:dyDescent="0.3">
      <c r="A148" s="25" t="s">
        <v>112</v>
      </c>
      <c r="B148" s="25">
        <f>-E34/C34</f>
        <v>-0.35714285714285715</v>
      </c>
      <c r="C148" s="25">
        <f>LOG(E34/C34)</f>
        <v>-0.44715803134221921</v>
      </c>
      <c r="D148" s="25">
        <f t="shared" ref="D148" si="107">C148/C147</f>
        <v>-1.4854268271702418</v>
      </c>
      <c r="E148" s="25">
        <f t="shared" ref="E148" si="108">B148*D148</f>
        <v>0.53050958113222924</v>
      </c>
      <c r="F148" s="25"/>
    </row>
    <row r="149" spans="1:6" x14ac:dyDescent="0.3">
      <c r="A149" s="39" t="s">
        <v>133</v>
      </c>
      <c r="B149" s="40"/>
      <c r="C149" s="40"/>
      <c r="D149" s="40"/>
      <c r="E149" s="40"/>
      <c r="F149" s="41"/>
    </row>
    <row r="150" spans="1:6" x14ac:dyDescent="0.3">
      <c r="A150" s="25" t="s">
        <v>110</v>
      </c>
      <c r="B150" s="25">
        <f>-D35/C35</f>
        <v>-0.8</v>
      </c>
      <c r="C150" s="25">
        <f>LOG(D35/C35)</f>
        <v>-9.6910013008056392E-2</v>
      </c>
      <c r="D150" s="25">
        <f t="shared" ref="D150" si="109">C150/C151</f>
        <v>-0.32192809488736229</v>
      </c>
      <c r="E150" s="25">
        <f t="shared" ref="E150" si="110">B150*D150</f>
        <v>0.25754247590988982</v>
      </c>
      <c r="F150" s="25"/>
    </row>
    <row r="151" spans="1:6" x14ac:dyDescent="0.3">
      <c r="A151" s="26" t="s">
        <v>111</v>
      </c>
      <c r="B151" s="27"/>
      <c r="C151" s="26">
        <f t="shared" ref="C151" si="111">LOG(2)</f>
        <v>0.3010299956639812</v>
      </c>
      <c r="D151" s="28"/>
      <c r="E151" s="27"/>
      <c r="F151" s="25">
        <f t="shared" ref="F151" si="112">E150+E152</f>
        <v>0.72192809488736231</v>
      </c>
    </row>
    <row r="152" spans="1:6" x14ac:dyDescent="0.3">
      <c r="A152" s="25" t="s">
        <v>112</v>
      </c>
      <c r="B152" s="25">
        <f>-E35/C35</f>
        <v>-0.2</v>
      </c>
      <c r="C152" s="25">
        <f>LOG(E35/C35)</f>
        <v>-0.69897000433601875</v>
      </c>
      <c r="D152" s="25">
        <f t="shared" ref="D152" si="113">C152/C151</f>
        <v>-2.3219280948873622</v>
      </c>
      <c r="E152" s="25">
        <f t="shared" ref="E152" si="114">B152*D152</f>
        <v>0.46438561897747244</v>
      </c>
      <c r="F152" s="25"/>
    </row>
    <row r="153" spans="1:6" x14ac:dyDescent="0.3">
      <c r="A153" s="39" t="s">
        <v>134</v>
      </c>
      <c r="B153" s="40"/>
      <c r="C153" s="40"/>
      <c r="D153" s="40"/>
      <c r="E153" s="40"/>
      <c r="F153" s="41"/>
    </row>
    <row r="154" spans="1:6" x14ac:dyDescent="0.3">
      <c r="A154" s="25" t="s">
        <v>110</v>
      </c>
      <c r="B154" s="25">
        <f>-D36/C36</f>
        <v>-0.91666666666666663</v>
      </c>
      <c r="C154" s="25">
        <f>LOG(D36/C36)</f>
        <v>-3.7788560889399803E-2</v>
      </c>
      <c r="D154" s="25">
        <f t="shared" ref="D154" si="115">C154/C155</f>
        <v>-0.12553088208385899</v>
      </c>
      <c r="E154" s="25">
        <f t="shared" ref="E154" si="116">B154*D154</f>
        <v>0.1150699752435374</v>
      </c>
      <c r="F154" s="25"/>
    </row>
    <row r="155" spans="1:6" x14ac:dyDescent="0.3">
      <c r="A155" s="26" t="s">
        <v>111</v>
      </c>
      <c r="B155" s="27"/>
      <c r="C155" s="26">
        <f t="shared" ref="C155" si="117">LOG(2)</f>
        <v>0.3010299956639812</v>
      </c>
      <c r="D155" s="28"/>
      <c r="E155" s="27"/>
      <c r="F155" s="25">
        <f t="shared" ref="F155" si="118">E154+E156</f>
        <v>0.41381685030363374</v>
      </c>
    </row>
    <row r="156" spans="1:6" x14ac:dyDescent="0.3">
      <c r="A156" s="25" t="s">
        <v>112</v>
      </c>
      <c r="B156" s="25">
        <f>-E36/C36</f>
        <v>-8.3333333333333329E-2</v>
      </c>
      <c r="C156" s="25">
        <f>LOG(E36/C36)</f>
        <v>-1.0791812460476249</v>
      </c>
      <c r="D156" s="25">
        <f t="shared" ref="D156" si="119">C156/C155</f>
        <v>-3.5849625007211565</v>
      </c>
      <c r="E156" s="25">
        <f t="shared" ref="E156" si="120">B156*D156</f>
        <v>0.29874687506009634</v>
      </c>
      <c r="F156" s="25"/>
    </row>
    <row r="157" spans="1:6" x14ac:dyDescent="0.3">
      <c r="A157" s="39" t="s">
        <v>136</v>
      </c>
      <c r="B157" s="40"/>
      <c r="C157" s="40"/>
      <c r="D157" s="40"/>
      <c r="E157" s="40"/>
      <c r="F157" s="41"/>
    </row>
    <row r="158" spans="1:6" x14ac:dyDescent="0.3">
      <c r="A158" s="25" t="s">
        <v>110</v>
      </c>
      <c r="B158" s="25">
        <f>-D37/C37</f>
        <v>-1</v>
      </c>
      <c r="C158" s="25">
        <f>LOG(D37/C37)</f>
        <v>0</v>
      </c>
      <c r="D158" s="25">
        <f t="shared" ref="D158" si="121">C158/C159</f>
        <v>0</v>
      </c>
      <c r="E158" s="25">
        <f t="shared" ref="E158" si="122">B158*D158</f>
        <v>0</v>
      </c>
      <c r="F158" s="25"/>
    </row>
    <row r="159" spans="1:6" x14ac:dyDescent="0.3">
      <c r="A159" s="26" t="s">
        <v>111</v>
      </c>
      <c r="B159" s="27"/>
      <c r="C159" s="26">
        <f t="shared" ref="C159" si="123">LOG(2)</f>
        <v>0.3010299956639812</v>
      </c>
      <c r="D159" s="28"/>
      <c r="E159" s="27"/>
      <c r="F159" s="25">
        <f t="shared" ref="F159" si="124">E158+E160</f>
        <v>0</v>
      </c>
    </row>
    <row r="160" spans="1:6" x14ac:dyDescent="0.3">
      <c r="A160" s="25" t="s">
        <v>112</v>
      </c>
      <c r="B160" s="25">
        <f>-E37/C37</f>
        <v>0</v>
      </c>
      <c r="C160" s="25">
        <v>0</v>
      </c>
      <c r="D160" s="25">
        <f t="shared" ref="D160" si="125">C160/C159</f>
        <v>0</v>
      </c>
      <c r="E160" s="25">
        <f t="shared" ref="E160" si="126">B160*D160</f>
        <v>0</v>
      </c>
      <c r="F160" s="25"/>
    </row>
    <row r="161" spans="1:6" x14ac:dyDescent="0.3">
      <c r="A161" s="39" t="s">
        <v>138</v>
      </c>
      <c r="B161" s="40"/>
      <c r="C161" s="40"/>
      <c r="D161" s="40"/>
      <c r="E161" s="40"/>
      <c r="F161" s="41"/>
    </row>
    <row r="162" spans="1:6" x14ac:dyDescent="0.3">
      <c r="A162" s="25" t="s">
        <v>110</v>
      </c>
      <c r="B162" s="25">
        <f>-D38/C38</f>
        <v>-1</v>
      </c>
      <c r="C162" s="25">
        <f>LOG(D38/C38)</f>
        <v>0</v>
      </c>
      <c r="D162" s="25">
        <f t="shared" ref="D162" si="127">C162/C163</f>
        <v>0</v>
      </c>
      <c r="E162" s="25">
        <f t="shared" ref="E162" si="128">B162*D162</f>
        <v>0</v>
      </c>
      <c r="F162" s="25"/>
    </row>
    <row r="163" spans="1:6" x14ac:dyDescent="0.3">
      <c r="A163" s="26" t="s">
        <v>111</v>
      </c>
      <c r="B163" s="27"/>
      <c r="C163" s="26">
        <f t="shared" ref="C163" si="129">LOG(2)</f>
        <v>0.3010299956639812</v>
      </c>
      <c r="D163" s="28"/>
      <c r="E163" s="27"/>
      <c r="F163" s="25">
        <f>E162+E164</f>
        <v>0</v>
      </c>
    </row>
    <row r="164" spans="1:6" x14ac:dyDescent="0.3">
      <c r="A164" s="25" t="s">
        <v>112</v>
      </c>
      <c r="B164" s="25">
        <f>-E38/C38</f>
        <v>0</v>
      </c>
      <c r="C164" s="25">
        <v>0</v>
      </c>
      <c r="D164" s="25">
        <f t="shared" ref="D164" si="130">C164/C163</f>
        <v>0</v>
      </c>
      <c r="E164" s="25">
        <f t="shared" ref="E164" si="131">B164*D164</f>
        <v>0</v>
      </c>
      <c r="F164" s="25"/>
    </row>
    <row r="166" spans="1:6" x14ac:dyDescent="0.3">
      <c r="A166" s="39" t="s">
        <v>139</v>
      </c>
      <c r="B166" s="40"/>
      <c r="C166" s="40"/>
      <c r="D166" s="40"/>
      <c r="E166" s="40"/>
      <c r="F166" s="41"/>
    </row>
    <row r="167" spans="1:6" x14ac:dyDescent="0.3">
      <c r="A167" s="42" t="s">
        <v>140</v>
      </c>
      <c r="B167" s="43"/>
      <c r="C167" s="43"/>
      <c r="D167" s="43"/>
      <c r="E167" s="43"/>
      <c r="F167" s="44"/>
    </row>
    <row r="168" spans="1:6" x14ac:dyDescent="0.3">
      <c r="A168" s="29"/>
      <c r="B168" s="42">
        <f>F3-((C5/C3*F5)+(C6/C3*F6)+(C7/C3*F7))</f>
        <v>7.0963354892527142E-2</v>
      </c>
      <c r="C168" s="43"/>
      <c r="D168" s="43"/>
      <c r="E168" s="44"/>
      <c r="F168" s="29"/>
    </row>
    <row r="169" spans="1:6" x14ac:dyDescent="0.3">
      <c r="A169" s="39" t="s">
        <v>142</v>
      </c>
      <c r="B169" s="40"/>
      <c r="C169" s="40"/>
      <c r="D169" s="40"/>
      <c r="E169" s="40"/>
      <c r="F169" s="41"/>
    </row>
    <row r="170" spans="1:6" x14ac:dyDescent="0.3">
      <c r="A170" s="25"/>
      <c r="B170" s="39">
        <f>F3-((C9/C3*F9)+(C10/C3*F10)+(C11/C3*F11)+(C12/C3*F12)+(C13/C3*F13)+(C14/C3*F14)+(C15/C3*F15))</f>
        <v>6.3702239901456292E-2</v>
      </c>
      <c r="C170" s="40"/>
      <c r="D170" s="40"/>
      <c r="E170" s="41"/>
      <c r="F170" s="25"/>
    </row>
    <row r="171" spans="1:6" x14ac:dyDescent="0.3">
      <c r="A171" s="42" t="s">
        <v>143</v>
      </c>
      <c r="B171" s="43"/>
      <c r="C171" s="43"/>
      <c r="D171" s="43"/>
      <c r="E171" s="43"/>
      <c r="F171" s="44"/>
    </row>
    <row r="172" spans="1:6" x14ac:dyDescent="0.3">
      <c r="A172" s="29"/>
      <c r="B172" s="42">
        <f>F3-((C17/C3*F17)+(C18/C3*F18))</f>
        <v>8.2205549920666421E-4</v>
      </c>
      <c r="C172" s="43"/>
      <c r="D172" s="43"/>
      <c r="E172" s="44"/>
      <c r="F172" s="29"/>
    </row>
    <row r="173" spans="1:6" x14ac:dyDescent="0.3">
      <c r="A173" s="45" t="s">
        <v>145</v>
      </c>
      <c r="B173" s="46"/>
      <c r="C173" s="46"/>
      <c r="D173" s="46"/>
      <c r="E173" s="46"/>
      <c r="F173" s="47"/>
    </row>
    <row r="174" spans="1:6" x14ac:dyDescent="0.3">
      <c r="A174" s="33"/>
      <c r="B174" s="45">
        <f>F3-((C20/C3*F20)+(C21/C3*F21)+(C22/C3*F22)+(C23/C3*F23)+(C24/C3*F24)+(C25/C3*F25)+(C26/C3*F26)+(C27/C3*F27)+(C28/C3*F28)+(C29/C3*F29)+(C30/C3*F30)+(C31/C3*F31)+(C32/C3*F32))</f>
        <v>0.21636454002278871</v>
      </c>
      <c r="C174" s="46"/>
      <c r="D174" s="46"/>
      <c r="E174" s="47"/>
      <c r="F174" s="33"/>
    </row>
    <row r="175" spans="1:6" x14ac:dyDescent="0.3">
      <c r="A175" s="39" t="s">
        <v>146</v>
      </c>
      <c r="B175" s="40"/>
      <c r="C175" s="40"/>
      <c r="D175" s="40"/>
      <c r="E175" s="40"/>
      <c r="F175" s="41"/>
    </row>
    <row r="176" spans="1:6" x14ac:dyDescent="0.3">
      <c r="A176" s="25"/>
      <c r="B176" s="39">
        <f>F3-((C34/C3*F34)+(C35/C3*F35)+(C36/C3*F36)+(C37/C3*F37)+(C38/C3*F38))</f>
        <v>7.7112729297603044E-2</v>
      </c>
      <c r="C176" s="40"/>
      <c r="D176" s="40"/>
      <c r="E176" s="41"/>
      <c r="F176" s="25"/>
    </row>
  </sheetData>
  <mergeCells count="80">
    <mergeCell ref="A40:F40"/>
    <mergeCell ref="A1:G1"/>
    <mergeCell ref="I1:O1"/>
    <mergeCell ref="I32:N32"/>
    <mergeCell ref="I33:N33"/>
    <mergeCell ref="I37:N37"/>
    <mergeCell ref="A41:F41"/>
    <mergeCell ref="I41:N41"/>
    <mergeCell ref="A45:F45"/>
    <mergeCell ref="I45:N45"/>
    <mergeCell ref="A49:F49"/>
    <mergeCell ref="I49:N49"/>
    <mergeCell ref="A53:F53"/>
    <mergeCell ref="I53:N53"/>
    <mergeCell ref="A57:F57"/>
    <mergeCell ref="I57:N57"/>
    <mergeCell ref="A61:F61"/>
    <mergeCell ref="I61:N61"/>
    <mergeCell ref="A65:F65"/>
    <mergeCell ref="I65:N65"/>
    <mergeCell ref="A69:F69"/>
    <mergeCell ref="I69:N69"/>
    <mergeCell ref="A73:F73"/>
    <mergeCell ref="I73:N73"/>
    <mergeCell ref="A77:F77"/>
    <mergeCell ref="I77:N77"/>
    <mergeCell ref="A81:F81"/>
    <mergeCell ref="I81:N81"/>
    <mergeCell ref="A85:F85"/>
    <mergeCell ref="I85:N85"/>
    <mergeCell ref="A89:F89"/>
    <mergeCell ref="I89:N89"/>
    <mergeCell ref="A93:F93"/>
    <mergeCell ref="I93:N93"/>
    <mergeCell ref="A97:F97"/>
    <mergeCell ref="I97:N97"/>
    <mergeCell ref="A101:F101"/>
    <mergeCell ref="I101:N101"/>
    <mergeCell ref="A105:F105"/>
    <mergeCell ref="I105:N105"/>
    <mergeCell ref="A109:F109"/>
    <mergeCell ref="I109:N109"/>
    <mergeCell ref="A113:F113"/>
    <mergeCell ref="I113:N113"/>
    <mergeCell ref="A117:F117"/>
    <mergeCell ref="I117:N117"/>
    <mergeCell ref="A121:F121"/>
    <mergeCell ref="I121:N121"/>
    <mergeCell ref="J134:M134"/>
    <mergeCell ref="A125:F125"/>
    <mergeCell ref="I126:N126"/>
    <mergeCell ref="I127:N127"/>
    <mergeCell ref="J128:M128"/>
    <mergeCell ref="A129:F129"/>
    <mergeCell ref="I129:N129"/>
    <mergeCell ref="J130:M130"/>
    <mergeCell ref="I131:N131"/>
    <mergeCell ref="J132:M132"/>
    <mergeCell ref="A133:F133"/>
    <mergeCell ref="I133:N133"/>
    <mergeCell ref="B168:E168"/>
    <mergeCell ref="I135:N135"/>
    <mergeCell ref="J136:M136"/>
    <mergeCell ref="A137:F137"/>
    <mergeCell ref="A141:F141"/>
    <mergeCell ref="A145:F145"/>
    <mergeCell ref="A149:F149"/>
    <mergeCell ref="A153:F153"/>
    <mergeCell ref="A157:F157"/>
    <mergeCell ref="A161:F161"/>
    <mergeCell ref="A166:F166"/>
    <mergeCell ref="A167:F167"/>
    <mergeCell ref="A175:F175"/>
    <mergeCell ref="B176:E176"/>
    <mergeCell ref="A169:F169"/>
    <mergeCell ref="B170:E170"/>
    <mergeCell ref="A171:F171"/>
    <mergeCell ref="B172:E172"/>
    <mergeCell ref="A173:F173"/>
    <mergeCell ref="B174:E1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"/>
  <sheetViews>
    <sheetView tabSelected="1" workbookViewId="0">
      <selection activeCell="B15" sqref="B15"/>
    </sheetView>
  </sheetViews>
  <sheetFormatPr defaultRowHeight="14.4" x14ac:dyDescent="0.3"/>
  <cols>
    <col min="2" max="2" width="41.88671875" bestFit="1" customWidth="1"/>
  </cols>
  <sheetData>
    <row r="8" spans="2:2" x14ac:dyDescent="0.3">
      <c r="B8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awal</vt:lpstr>
      <vt:lpstr>keterangan</vt:lpstr>
      <vt:lpstr>dataset</vt:lpstr>
      <vt:lpstr>skala liket</vt:lpstr>
      <vt:lpstr>proses</vt:lpstr>
      <vt:lpstr>Algoritma C4.5 &amp; Entropi, Gain</vt:lpstr>
      <vt:lpstr>link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SAYID RIDHO</dc:creator>
  <cp:lastModifiedBy>M SAYID RIDHO</cp:lastModifiedBy>
  <dcterms:created xsi:type="dcterms:W3CDTF">2024-06-29T10:46:48Z</dcterms:created>
  <dcterms:modified xsi:type="dcterms:W3CDTF">2024-06-29T13:02:19Z</dcterms:modified>
</cp:coreProperties>
</file>